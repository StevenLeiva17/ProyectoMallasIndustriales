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APTOP - TALLER CRS\Downloads\"/>
    </mc:Choice>
  </mc:AlternateContent>
  <xr:revisionPtr revIDLastSave="0" documentId="13_ncr:1_{7A9C0868-6FCB-4BD2-927C-F0BE7FECC62D}" xr6:coauthVersionLast="47" xr6:coauthVersionMax="47" xr10:uidLastSave="{00000000-0000-0000-0000-000000000000}"/>
  <bookViews>
    <workbookView xWindow="-108" yWindow="-108" windowWidth="23256" windowHeight="12576" activeTab="4" xr2:uid="{1EC1FFEC-C7C1-49B4-B9B0-9D0D61F8DEAB}"/>
  </bookViews>
  <sheets>
    <sheet name="BD_PERSONAL" sheetId="4" r:id="rId1"/>
    <sheet name="CARGA DATOS MOD" sheetId="10" r:id="rId2"/>
    <sheet name="CARGA DATOS MOI" sheetId="5" r:id="rId3"/>
    <sheet name="MOD" sheetId="6" r:id="rId4"/>
    <sheet name="MOI" sheetId="7" r:id="rId5"/>
    <sheet name="ADMINISTRATIVO" sheetId="8" r:id="rId6"/>
    <sheet name="CONTROL REGIMEN" sheetId="11" r:id="rId7"/>
    <sheet name="FORMATOS" sheetId="9" r:id="rId8"/>
  </sheets>
  <definedNames>
    <definedName name="DatosExternos_1" localSheetId="1" hidden="1">'CARGA DATOS MOD'!$A$30:$D$68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" i="7" l="1"/>
  <c r="AB2" i="7" s="1"/>
  <c r="AA3" i="7"/>
  <c r="AA4" i="7"/>
  <c r="AC4" i="7" s="1"/>
  <c r="AA5" i="7"/>
  <c r="AA6" i="7"/>
  <c r="AC6" i="7" s="1"/>
  <c r="AA7" i="7"/>
  <c r="AA8" i="7"/>
  <c r="AC8" i="7" s="1"/>
  <c r="U8" i="7"/>
  <c r="AC7" i="7"/>
  <c r="U7" i="7"/>
  <c r="Z7" i="7" s="1"/>
  <c r="U6" i="7"/>
  <c r="Z6" i="7" s="1"/>
  <c r="AC5" i="7"/>
  <c r="U5" i="7"/>
  <c r="Z5" i="7" s="1"/>
  <c r="U4" i="7"/>
  <c r="AB3" i="7"/>
  <c r="U3" i="7"/>
  <c r="Z3" i="7" s="1"/>
  <c r="U2" i="7"/>
  <c r="Z2" i="7" s="1"/>
  <c r="T3" i="6"/>
  <c r="T4" i="6"/>
  <c r="T5" i="6"/>
  <c r="T6" i="6"/>
  <c r="T7" i="6"/>
  <c r="T8" i="6"/>
  <c r="T2" i="6"/>
  <c r="C6" i="11"/>
  <c r="C2" i="11"/>
  <c r="C3" i="11"/>
  <c r="C4" i="11"/>
  <c r="C5" i="11"/>
  <c r="C7" i="11"/>
  <c r="C8" i="11"/>
  <c r="C9" i="11"/>
  <c r="C10" i="11"/>
  <c r="B2" i="11"/>
  <c r="B3" i="11"/>
  <c r="B4" i="11"/>
  <c r="B5" i="11"/>
  <c r="B6" i="11"/>
  <c r="B7" i="11"/>
  <c r="B8" i="11"/>
  <c r="B9" i="11"/>
  <c r="B10" i="11"/>
  <c r="B3297" i="11"/>
  <c r="A3297" i="11"/>
  <c r="B3296" i="11"/>
  <c r="A3296" i="11"/>
  <c r="B3295" i="11"/>
  <c r="A3295" i="11"/>
  <c r="B3294" i="11"/>
  <c r="A3294" i="11"/>
  <c r="B3293" i="11"/>
  <c r="A3293" i="11"/>
  <c r="B3292" i="11"/>
  <c r="A3292" i="11"/>
  <c r="B3291" i="11"/>
  <c r="A3291" i="11"/>
  <c r="B3290" i="11"/>
  <c r="A3290" i="11"/>
  <c r="B3289" i="11"/>
  <c r="A3289" i="11"/>
  <c r="B3288" i="11"/>
  <c r="A3288" i="11"/>
  <c r="B3287" i="11"/>
  <c r="A3287" i="11"/>
  <c r="B3286" i="11"/>
  <c r="A3286" i="11"/>
  <c r="B3285" i="11"/>
  <c r="A3285" i="11"/>
  <c r="B3284" i="11"/>
  <c r="A3284" i="11"/>
  <c r="B3283" i="11"/>
  <c r="A3283" i="11"/>
  <c r="B3282" i="11"/>
  <c r="A3282" i="11"/>
  <c r="B3281" i="11"/>
  <c r="A3281" i="11"/>
  <c r="B3280" i="11"/>
  <c r="A3280" i="11"/>
  <c r="B3279" i="11"/>
  <c r="A3279" i="11"/>
  <c r="B3278" i="11"/>
  <c r="A3278" i="11"/>
  <c r="B3277" i="11"/>
  <c r="A3277" i="11"/>
  <c r="B3276" i="11"/>
  <c r="A3276" i="11"/>
  <c r="B3275" i="11"/>
  <c r="A3275" i="11"/>
  <c r="B3274" i="11"/>
  <c r="A3274" i="11"/>
  <c r="B3273" i="11"/>
  <c r="A3273" i="11"/>
  <c r="B3272" i="11"/>
  <c r="A3272" i="11"/>
  <c r="B3271" i="11"/>
  <c r="A3271" i="11"/>
  <c r="B3270" i="11"/>
  <c r="A3270" i="11"/>
  <c r="B3269" i="11"/>
  <c r="A3269" i="11"/>
  <c r="B3268" i="11"/>
  <c r="A3268" i="11"/>
  <c r="B3267" i="11"/>
  <c r="A3267" i="11"/>
  <c r="B3266" i="11"/>
  <c r="A3266" i="11"/>
  <c r="B3265" i="11"/>
  <c r="A3265" i="11"/>
  <c r="B3264" i="11"/>
  <c r="A3264" i="11"/>
  <c r="B3263" i="11"/>
  <c r="A3263" i="11"/>
  <c r="B3262" i="11"/>
  <c r="A3262" i="11"/>
  <c r="B3261" i="11"/>
  <c r="A3261" i="11"/>
  <c r="B3260" i="11"/>
  <c r="A3260" i="11"/>
  <c r="B3259" i="11"/>
  <c r="A3259" i="11"/>
  <c r="B3258" i="11"/>
  <c r="A3258" i="11"/>
  <c r="B3257" i="11"/>
  <c r="A3257" i="11"/>
  <c r="B3256" i="11"/>
  <c r="A3256" i="11"/>
  <c r="B3255" i="11"/>
  <c r="A3255" i="11"/>
  <c r="B3254" i="11"/>
  <c r="A3254" i="11"/>
  <c r="B3253" i="11"/>
  <c r="A3253" i="11"/>
  <c r="B3252" i="11"/>
  <c r="A3252" i="11"/>
  <c r="B3251" i="11"/>
  <c r="A3251" i="11"/>
  <c r="B3250" i="11"/>
  <c r="A3250" i="11"/>
  <c r="B3249" i="11"/>
  <c r="A3249" i="11"/>
  <c r="B3248" i="11"/>
  <c r="A3248" i="11"/>
  <c r="B3247" i="11"/>
  <c r="A3247" i="11"/>
  <c r="B3246" i="11"/>
  <c r="A3246" i="11"/>
  <c r="B3245" i="11"/>
  <c r="A3245" i="11"/>
  <c r="B3244" i="11"/>
  <c r="A3244" i="11"/>
  <c r="B3243" i="11"/>
  <c r="A3243" i="11"/>
  <c r="B3242" i="11"/>
  <c r="A3242" i="11"/>
  <c r="B3241" i="11"/>
  <c r="A3241" i="11"/>
  <c r="B3240" i="11"/>
  <c r="A3240" i="11"/>
  <c r="B3239" i="11"/>
  <c r="A3239" i="11"/>
  <c r="B3238" i="11"/>
  <c r="A3238" i="11"/>
  <c r="B3237" i="11"/>
  <c r="A3237" i="11"/>
  <c r="B3236" i="11"/>
  <c r="A3236" i="11"/>
  <c r="B3235" i="11"/>
  <c r="A3235" i="11"/>
  <c r="B3234" i="11"/>
  <c r="A3234" i="11"/>
  <c r="B3233" i="11"/>
  <c r="A3233" i="11"/>
  <c r="B3232" i="11"/>
  <c r="A3232" i="11"/>
  <c r="B3231" i="11"/>
  <c r="A3231" i="11"/>
  <c r="B3230" i="11"/>
  <c r="A3230" i="11"/>
  <c r="B3229" i="11"/>
  <c r="A3229" i="11"/>
  <c r="B3228" i="11"/>
  <c r="A3228" i="11"/>
  <c r="B3227" i="11"/>
  <c r="A3227" i="11"/>
  <c r="B3226" i="11"/>
  <c r="A3226" i="11"/>
  <c r="B3225" i="11"/>
  <c r="A3225" i="11"/>
  <c r="B3224" i="11"/>
  <c r="A3224" i="11"/>
  <c r="B3223" i="11"/>
  <c r="A3223" i="11"/>
  <c r="B3222" i="11"/>
  <c r="A3222" i="11"/>
  <c r="B3221" i="11"/>
  <c r="A3221" i="11"/>
  <c r="B3220" i="11"/>
  <c r="A3220" i="11"/>
  <c r="B3219" i="11"/>
  <c r="A3219" i="11"/>
  <c r="B3218" i="11"/>
  <c r="A3218" i="11"/>
  <c r="B3217" i="11"/>
  <c r="A3217" i="11"/>
  <c r="B3216" i="11"/>
  <c r="A3216" i="11"/>
  <c r="B3215" i="11"/>
  <c r="A3215" i="11"/>
  <c r="B3214" i="11"/>
  <c r="A3214" i="11"/>
  <c r="B3213" i="11"/>
  <c r="A3213" i="11"/>
  <c r="B3212" i="11"/>
  <c r="A3212" i="11"/>
  <c r="B3211" i="11"/>
  <c r="A3211" i="11"/>
  <c r="B3210" i="11"/>
  <c r="A3210" i="11"/>
  <c r="B3209" i="11"/>
  <c r="A3209" i="11"/>
  <c r="B3208" i="11"/>
  <c r="A3208" i="11"/>
  <c r="B3207" i="11"/>
  <c r="A3207" i="11"/>
  <c r="B3206" i="11"/>
  <c r="A3206" i="11"/>
  <c r="B3205" i="11"/>
  <c r="A3205" i="11"/>
  <c r="B3204" i="11"/>
  <c r="A3204" i="11"/>
  <c r="B3203" i="11"/>
  <c r="A3203" i="11"/>
  <c r="B3202" i="11"/>
  <c r="A3202" i="11"/>
  <c r="B3201" i="11"/>
  <c r="A3201" i="11"/>
  <c r="B3200" i="11"/>
  <c r="A3200" i="11"/>
  <c r="B3199" i="11"/>
  <c r="A3199" i="11"/>
  <c r="B3198" i="11"/>
  <c r="A3198" i="11"/>
  <c r="B3197" i="11"/>
  <c r="A3197" i="11"/>
  <c r="B3196" i="11"/>
  <c r="A3196" i="11"/>
  <c r="B3195" i="11"/>
  <c r="A3195" i="11"/>
  <c r="B3194" i="11"/>
  <c r="A3194" i="11"/>
  <c r="B3193" i="11"/>
  <c r="A3193" i="11"/>
  <c r="B3192" i="11"/>
  <c r="A3192" i="11"/>
  <c r="B3191" i="11"/>
  <c r="A3191" i="11"/>
  <c r="B3190" i="11"/>
  <c r="A3190" i="11"/>
  <c r="B3189" i="11"/>
  <c r="A3189" i="11"/>
  <c r="B3188" i="11"/>
  <c r="A3188" i="11"/>
  <c r="B3187" i="11"/>
  <c r="A3187" i="11"/>
  <c r="B3186" i="11"/>
  <c r="A3186" i="11"/>
  <c r="B3185" i="11"/>
  <c r="A3185" i="11"/>
  <c r="B3184" i="11"/>
  <c r="A3184" i="11"/>
  <c r="B3183" i="11"/>
  <c r="A3183" i="11"/>
  <c r="B3182" i="11"/>
  <c r="A3182" i="11"/>
  <c r="B3181" i="11"/>
  <c r="A3181" i="11"/>
  <c r="B3180" i="11"/>
  <c r="A3180" i="11"/>
  <c r="B3179" i="11"/>
  <c r="A3179" i="11"/>
  <c r="B3178" i="11"/>
  <c r="A3178" i="11"/>
  <c r="B3177" i="11"/>
  <c r="A3177" i="11"/>
  <c r="B3176" i="11"/>
  <c r="A3176" i="11"/>
  <c r="B3175" i="11"/>
  <c r="A3175" i="11"/>
  <c r="B3174" i="11"/>
  <c r="A3174" i="11"/>
  <c r="B3173" i="11"/>
  <c r="A3173" i="11"/>
  <c r="B3172" i="11"/>
  <c r="A3172" i="11"/>
  <c r="B3171" i="11"/>
  <c r="A3171" i="11"/>
  <c r="B3170" i="11"/>
  <c r="A3170" i="11"/>
  <c r="B3169" i="11"/>
  <c r="A3169" i="11"/>
  <c r="B3168" i="11"/>
  <c r="A3168" i="11"/>
  <c r="B3167" i="11"/>
  <c r="A3167" i="11"/>
  <c r="B3166" i="11"/>
  <c r="A3166" i="11"/>
  <c r="B3165" i="11"/>
  <c r="A3165" i="11"/>
  <c r="B3164" i="11"/>
  <c r="A3164" i="11"/>
  <c r="B3163" i="11"/>
  <c r="A3163" i="11"/>
  <c r="B3162" i="11"/>
  <c r="A3162" i="11"/>
  <c r="B3161" i="11"/>
  <c r="A3161" i="11"/>
  <c r="B3160" i="11"/>
  <c r="A3160" i="11"/>
  <c r="B3159" i="11"/>
  <c r="A3159" i="11"/>
  <c r="B3158" i="11"/>
  <c r="A3158" i="11"/>
  <c r="B3157" i="11"/>
  <c r="A3157" i="11"/>
  <c r="B3156" i="11"/>
  <c r="A3156" i="11"/>
  <c r="B3155" i="11"/>
  <c r="A3155" i="11"/>
  <c r="B3154" i="11"/>
  <c r="A3154" i="11"/>
  <c r="B3153" i="11"/>
  <c r="A3153" i="11"/>
  <c r="B3152" i="11"/>
  <c r="A3152" i="11"/>
  <c r="B3151" i="11"/>
  <c r="A3151" i="11"/>
  <c r="B3150" i="11"/>
  <c r="A3150" i="11"/>
  <c r="B3149" i="11"/>
  <c r="A3149" i="11"/>
  <c r="B3148" i="11"/>
  <c r="A3148" i="11"/>
  <c r="B3147" i="11"/>
  <c r="A3147" i="11"/>
  <c r="B3146" i="11"/>
  <c r="A3146" i="11"/>
  <c r="B3145" i="11"/>
  <c r="A3145" i="11"/>
  <c r="B3144" i="11"/>
  <c r="A3144" i="11"/>
  <c r="B3143" i="11"/>
  <c r="A3143" i="11"/>
  <c r="B3142" i="11"/>
  <c r="A3142" i="11"/>
  <c r="B3141" i="11"/>
  <c r="A3141" i="11"/>
  <c r="B3140" i="11"/>
  <c r="A3140" i="11"/>
  <c r="B3139" i="11"/>
  <c r="A3139" i="11"/>
  <c r="B3138" i="11"/>
  <c r="A3138" i="11"/>
  <c r="B3137" i="11"/>
  <c r="A3137" i="11"/>
  <c r="B3136" i="11"/>
  <c r="A3136" i="11"/>
  <c r="B3135" i="11"/>
  <c r="A3135" i="11"/>
  <c r="B3134" i="11"/>
  <c r="A3134" i="11"/>
  <c r="B3133" i="11"/>
  <c r="A3133" i="11"/>
  <c r="B3132" i="11"/>
  <c r="A3132" i="11"/>
  <c r="B3131" i="11"/>
  <c r="A3131" i="11"/>
  <c r="B3130" i="11"/>
  <c r="A3130" i="11"/>
  <c r="B3129" i="11"/>
  <c r="A3129" i="11"/>
  <c r="B3128" i="11"/>
  <c r="A3128" i="11"/>
  <c r="B3127" i="11"/>
  <c r="A3127" i="11"/>
  <c r="B3126" i="11"/>
  <c r="A3126" i="11"/>
  <c r="B3125" i="11"/>
  <c r="A3125" i="11"/>
  <c r="B3124" i="11"/>
  <c r="A3124" i="11"/>
  <c r="B3123" i="11"/>
  <c r="A3123" i="11"/>
  <c r="B3122" i="11"/>
  <c r="A3122" i="11"/>
  <c r="B3121" i="11"/>
  <c r="A3121" i="11"/>
  <c r="B3120" i="11"/>
  <c r="A3120" i="11"/>
  <c r="B3119" i="11"/>
  <c r="A3119" i="11"/>
  <c r="B3118" i="11"/>
  <c r="A3118" i="11"/>
  <c r="B3117" i="11"/>
  <c r="A3117" i="11"/>
  <c r="B3116" i="11"/>
  <c r="A3116" i="11"/>
  <c r="B3115" i="11"/>
  <c r="A3115" i="11"/>
  <c r="B3114" i="11"/>
  <c r="A3114" i="11"/>
  <c r="B3113" i="11"/>
  <c r="A3113" i="11"/>
  <c r="B3112" i="11"/>
  <c r="A3112" i="11"/>
  <c r="B3111" i="11"/>
  <c r="A3111" i="11"/>
  <c r="B3110" i="11"/>
  <c r="A3110" i="11"/>
  <c r="B3109" i="11"/>
  <c r="A3109" i="11"/>
  <c r="B3108" i="11"/>
  <c r="A3108" i="11"/>
  <c r="B3107" i="11"/>
  <c r="A3107" i="11"/>
  <c r="B3106" i="11"/>
  <c r="A3106" i="11"/>
  <c r="B3105" i="11"/>
  <c r="A3105" i="11"/>
  <c r="B3104" i="11"/>
  <c r="A3104" i="11"/>
  <c r="B3103" i="11"/>
  <c r="A3103" i="11"/>
  <c r="B3102" i="11"/>
  <c r="A3102" i="11"/>
  <c r="B3101" i="11"/>
  <c r="A3101" i="11"/>
  <c r="B3100" i="11"/>
  <c r="A3100" i="11"/>
  <c r="B3099" i="11"/>
  <c r="A3099" i="11"/>
  <c r="B3098" i="11"/>
  <c r="A3098" i="11"/>
  <c r="B3097" i="11"/>
  <c r="A3097" i="11"/>
  <c r="B3096" i="11"/>
  <c r="A3096" i="11"/>
  <c r="B3095" i="11"/>
  <c r="A3095" i="11"/>
  <c r="B3094" i="11"/>
  <c r="A3094" i="11"/>
  <c r="B3093" i="11"/>
  <c r="A3093" i="11"/>
  <c r="B3092" i="11"/>
  <c r="A3092" i="11"/>
  <c r="B3091" i="11"/>
  <c r="A3091" i="11"/>
  <c r="B3090" i="11"/>
  <c r="A3090" i="11"/>
  <c r="B3089" i="11"/>
  <c r="A3089" i="11"/>
  <c r="B3088" i="11"/>
  <c r="A3088" i="11"/>
  <c r="B3087" i="11"/>
  <c r="A3087" i="11"/>
  <c r="B3086" i="11"/>
  <c r="A3086" i="11"/>
  <c r="B3085" i="11"/>
  <c r="A3085" i="11"/>
  <c r="B3084" i="11"/>
  <c r="A3084" i="11"/>
  <c r="B3083" i="11"/>
  <c r="A3083" i="11"/>
  <c r="B3082" i="11"/>
  <c r="A3082" i="11"/>
  <c r="B3081" i="11"/>
  <c r="A3081" i="11"/>
  <c r="B3080" i="11"/>
  <c r="A3080" i="11"/>
  <c r="B3079" i="11"/>
  <c r="A3079" i="11"/>
  <c r="B3078" i="11"/>
  <c r="A3078" i="11"/>
  <c r="B3077" i="11"/>
  <c r="A3077" i="11"/>
  <c r="B3076" i="11"/>
  <c r="A3076" i="11"/>
  <c r="B3075" i="11"/>
  <c r="A3075" i="11"/>
  <c r="B3074" i="11"/>
  <c r="A3074" i="11"/>
  <c r="B3073" i="11"/>
  <c r="A3073" i="11"/>
  <c r="B3072" i="11"/>
  <c r="A3072" i="11"/>
  <c r="B3071" i="11"/>
  <c r="A3071" i="11"/>
  <c r="B3070" i="11"/>
  <c r="A3070" i="11"/>
  <c r="B3069" i="11"/>
  <c r="A3069" i="11"/>
  <c r="B3068" i="11"/>
  <c r="A3068" i="11"/>
  <c r="B3067" i="11"/>
  <c r="A3067" i="11"/>
  <c r="B3066" i="11"/>
  <c r="A3066" i="11"/>
  <c r="B3065" i="11"/>
  <c r="A3065" i="11"/>
  <c r="B3064" i="11"/>
  <c r="A3064" i="11"/>
  <c r="B3063" i="11"/>
  <c r="A3063" i="11"/>
  <c r="B3062" i="11"/>
  <c r="A3062" i="11"/>
  <c r="B3061" i="11"/>
  <c r="A3061" i="11"/>
  <c r="B3060" i="11"/>
  <c r="A3060" i="11"/>
  <c r="B3059" i="11"/>
  <c r="A3059" i="11"/>
  <c r="B3058" i="11"/>
  <c r="A3058" i="11"/>
  <c r="B3057" i="11"/>
  <c r="A3057" i="11"/>
  <c r="B3056" i="11"/>
  <c r="A3056" i="11"/>
  <c r="B3055" i="11"/>
  <c r="A3055" i="11"/>
  <c r="B3054" i="11"/>
  <c r="A3054" i="11"/>
  <c r="B3053" i="11"/>
  <c r="A3053" i="11"/>
  <c r="B3052" i="11"/>
  <c r="A3052" i="11"/>
  <c r="B3051" i="11"/>
  <c r="A3051" i="11"/>
  <c r="B3050" i="11"/>
  <c r="A3050" i="11"/>
  <c r="B3049" i="11"/>
  <c r="A3049" i="11"/>
  <c r="B3048" i="11"/>
  <c r="A3048" i="11"/>
  <c r="B3047" i="11"/>
  <c r="A3047" i="11"/>
  <c r="B3046" i="11"/>
  <c r="A3046" i="11"/>
  <c r="B3045" i="11"/>
  <c r="A3045" i="11"/>
  <c r="B3044" i="11"/>
  <c r="A3044" i="11"/>
  <c r="B3043" i="11"/>
  <c r="A3043" i="11"/>
  <c r="B3042" i="11"/>
  <c r="A3042" i="11"/>
  <c r="B3041" i="11"/>
  <c r="A3041" i="11"/>
  <c r="B3040" i="11"/>
  <c r="A3040" i="11"/>
  <c r="B3039" i="11"/>
  <c r="A3039" i="11"/>
  <c r="B3038" i="11"/>
  <c r="A3038" i="11"/>
  <c r="B3037" i="11"/>
  <c r="A3037" i="11"/>
  <c r="B3036" i="11"/>
  <c r="A3036" i="11"/>
  <c r="B3035" i="11"/>
  <c r="A3035" i="11"/>
  <c r="B3034" i="11"/>
  <c r="A3034" i="11"/>
  <c r="B3033" i="11"/>
  <c r="A3033" i="11"/>
  <c r="B3032" i="11"/>
  <c r="A3032" i="11"/>
  <c r="B3031" i="11"/>
  <c r="A3031" i="11"/>
  <c r="B3030" i="11"/>
  <c r="A3030" i="11"/>
  <c r="B3029" i="11"/>
  <c r="A3029" i="11"/>
  <c r="B3028" i="11"/>
  <c r="A3028" i="11"/>
  <c r="B3027" i="11"/>
  <c r="A3027" i="11"/>
  <c r="B3026" i="11"/>
  <c r="A3026" i="11"/>
  <c r="B3025" i="11"/>
  <c r="A3025" i="11"/>
  <c r="B3024" i="11"/>
  <c r="A3024" i="11"/>
  <c r="B3023" i="11"/>
  <c r="A3023" i="11"/>
  <c r="B3022" i="11"/>
  <c r="A3022" i="11"/>
  <c r="B3021" i="11"/>
  <c r="A3021" i="11"/>
  <c r="B3020" i="11"/>
  <c r="A3020" i="11"/>
  <c r="B3019" i="11"/>
  <c r="A3019" i="11"/>
  <c r="B3018" i="11"/>
  <c r="A3018" i="11"/>
  <c r="B3017" i="11"/>
  <c r="A3017" i="11"/>
  <c r="B3016" i="11"/>
  <c r="A3016" i="11"/>
  <c r="B3015" i="11"/>
  <c r="A3015" i="11"/>
  <c r="B3014" i="11"/>
  <c r="A3014" i="11"/>
  <c r="B3013" i="11"/>
  <c r="A3013" i="11"/>
  <c r="B3012" i="11"/>
  <c r="A3012" i="11"/>
  <c r="B3011" i="11"/>
  <c r="A3011" i="11"/>
  <c r="B3010" i="11"/>
  <c r="A3010" i="11"/>
  <c r="B3009" i="11"/>
  <c r="A3009" i="11"/>
  <c r="B3008" i="11"/>
  <c r="A3008" i="11"/>
  <c r="B3007" i="11"/>
  <c r="A3007" i="11"/>
  <c r="B3006" i="11"/>
  <c r="A3006" i="11"/>
  <c r="B3005" i="11"/>
  <c r="A3005" i="11"/>
  <c r="B3004" i="11"/>
  <c r="A3004" i="11"/>
  <c r="B3003" i="11"/>
  <c r="A3003" i="11"/>
  <c r="B3002" i="11"/>
  <c r="A3002" i="11"/>
  <c r="B3001" i="11"/>
  <c r="A3001" i="11"/>
  <c r="B3000" i="11"/>
  <c r="A3000" i="11"/>
  <c r="B2999" i="11"/>
  <c r="A2999" i="11"/>
  <c r="B2998" i="11"/>
  <c r="A2998" i="11"/>
  <c r="B2997" i="11"/>
  <c r="A2997" i="11"/>
  <c r="B2996" i="11"/>
  <c r="A2996" i="11"/>
  <c r="B2995" i="11"/>
  <c r="A2995" i="11"/>
  <c r="B2994" i="11"/>
  <c r="A2994" i="11"/>
  <c r="B2993" i="11"/>
  <c r="A2993" i="11"/>
  <c r="B2992" i="11"/>
  <c r="A2992" i="11"/>
  <c r="B2991" i="11"/>
  <c r="A2991" i="11"/>
  <c r="B2990" i="11"/>
  <c r="A2990" i="11"/>
  <c r="B2989" i="11"/>
  <c r="A2989" i="11"/>
  <c r="B2988" i="11"/>
  <c r="A2988" i="11"/>
  <c r="B2987" i="11"/>
  <c r="A2987" i="11"/>
  <c r="B2986" i="11"/>
  <c r="A2986" i="11"/>
  <c r="B2985" i="11"/>
  <c r="A2985" i="11"/>
  <c r="B2984" i="11"/>
  <c r="A2984" i="11"/>
  <c r="B2983" i="11"/>
  <c r="A2983" i="11"/>
  <c r="B2982" i="11"/>
  <c r="A2982" i="11"/>
  <c r="B2981" i="11"/>
  <c r="A2981" i="11"/>
  <c r="B2980" i="11"/>
  <c r="A2980" i="11"/>
  <c r="B2979" i="11"/>
  <c r="A2979" i="11"/>
  <c r="B2978" i="11"/>
  <c r="A2978" i="11"/>
  <c r="B2977" i="11"/>
  <c r="A2977" i="11"/>
  <c r="B2976" i="11"/>
  <c r="A2976" i="11"/>
  <c r="B2975" i="11"/>
  <c r="A2975" i="11"/>
  <c r="B2974" i="11"/>
  <c r="A2974" i="11"/>
  <c r="B2973" i="11"/>
  <c r="A2973" i="11"/>
  <c r="B2972" i="11"/>
  <c r="A2972" i="11"/>
  <c r="B2971" i="11"/>
  <c r="A2971" i="11"/>
  <c r="B2970" i="11"/>
  <c r="A2970" i="11"/>
  <c r="B2969" i="11"/>
  <c r="A2969" i="11"/>
  <c r="B2968" i="11"/>
  <c r="A2968" i="11"/>
  <c r="B2967" i="11"/>
  <c r="A2967" i="11"/>
  <c r="B2966" i="11"/>
  <c r="A2966" i="11"/>
  <c r="B2965" i="11"/>
  <c r="A2965" i="11"/>
  <c r="B2964" i="11"/>
  <c r="A2964" i="11"/>
  <c r="B2963" i="11"/>
  <c r="A2963" i="11"/>
  <c r="B2962" i="11"/>
  <c r="A2962" i="11"/>
  <c r="B2961" i="11"/>
  <c r="A2961" i="11"/>
  <c r="B2960" i="11"/>
  <c r="A2960" i="11"/>
  <c r="B2959" i="11"/>
  <c r="A2959" i="11"/>
  <c r="B2958" i="11"/>
  <c r="A2958" i="11"/>
  <c r="B2957" i="11"/>
  <c r="A2957" i="11"/>
  <c r="B2956" i="11"/>
  <c r="A2956" i="11"/>
  <c r="B2955" i="11"/>
  <c r="A2955" i="11"/>
  <c r="B2954" i="11"/>
  <c r="A2954" i="11"/>
  <c r="B2953" i="11"/>
  <c r="A2953" i="11"/>
  <c r="B2952" i="11"/>
  <c r="A2952" i="11"/>
  <c r="B2951" i="11"/>
  <c r="A2951" i="11"/>
  <c r="B2950" i="11"/>
  <c r="A2950" i="11"/>
  <c r="B2949" i="11"/>
  <c r="A2949" i="11"/>
  <c r="B2948" i="11"/>
  <c r="A2948" i="11"/>
  <c r="B2947" i="11"/>
  <c r="A2947" i="11"/>
  <c r="B2946" i="11"/>
  <c r="A2946" i="11"/>
  <c r="B2945" i="11"/>
  <c r="A2945" i="11"/>
  <c r="B2944" i="11"/>
  <c r="A2944" i="11"/>
  <c r="B2943" i="11"/>
  <c r="A2943" i="11"/>
  <c r="B2942" i="11"/>
  <c r="A2942" i="11"/>
  <c r="B2941" i="11"/>
  <c r="A2941" i="11"/>
  <c r="B2940" i="11"/>
  <c r="A2940" i="11"/>
  <c r="B2939" i="11"/>
  <c r="A2939" i="11"/>
  <c r="B2938" i="11"/>
  <c r="A2938" i="11"/>
  <c r="B2937" i="11"/>
  <c r="A2937" i="11"/>
  <c r="B2936" i="11"/>
  <c r="A2936" i="11"/>
  <c r="B2935" i="11"/>
  <c r="A2935" i="11"/>
  <c r="B2934" i="11"/>
  <c r="A2934" i="11"/>
  <c r="B2933" i="11"/>
  <c r="A2933" i="11"/>
  <c r="B2932" i="11"/>
  <c r="A2932" i="11"/>
  <c r="B2931" i="11"/>
  <c r="A2931" i="11"/>
  <c r="B2930" i="11"/>
  <c r="A2930" i="11"/>
  <c r="B2929" i="11"/>
  <c r="A2929" i="11"/>
  <c r="B2928" i="11"/>
  <c r="A2928" i="11"/>
  <c r="B2927" i="11"/>
  <c r="A2927" i="11"/>
  <c r="B2926" i="11"/>
  <c r="A2926" i="11"/>
  <c r="B2925" i="11"/>
  <c r="A2925" i="11"/>
  <c r="B2924" i="11"/>
  <c r="A2924" i="11"/>
  <c r="B2923" i="11"/>
  <c r="A2923" i="11"/>
  <c r="B2922" i="11"/>
  <c r="A2922" i="11"/>
  <c r="B2921" i="11"/>
  <c r="A2921" i="11"/>
  <c r="B2920" i="11"/>
  <c r="A2920" i="11"/>
  <c r="B2919" i="11"/>
  <c r="A2919" i="11"/>
  <c r="B2918" i="11"/>
  <c r="A2918" i="11"/>
  <c r="B2917" i="11"/>
  <c r="A2917" i="11"/>
  <c r="B2916" i="11"/>
  <c r="A2916" i="11"/>
  <c r="B2915" i="11"/>
  <c r="A2915" i="11"/>
  <c r="B2914" i="11"/>
  <c r="A2914" i="11"/>
  <c r="B2913" i="11"/>
  <c r="A2913" i="11"/>
  <c r="B2912" i="11"/>
  <c r="A2912" i="11"/>
  <c r="B2911" i="11"/>
  <c r="A2911" i="11"/>
  <c r="B2910" i="11"/>
  <c r="A2910" i="11"/>
  <c r="B2909" i="11"/>
  <c r="A2909" i="11"/>
  <c r="B2908" i="11"/>
  <c r="A2908" i="11"/>
  <c r="B2907" i="11"/>
  <c r="A2907" i="11"/>
  <c r="B2906" i="11"/>
  <c r="A2906" i="11"/>
  <c r="B2905" i="11"/>
  <c r="A2905" i="11"/>
  <c r="B2904" i="11"/>
  <c r="A2904" i="11"/>
  <c r="B2903" i="11"/>
  <c r="A2903" i="11"/>
  <c r="B2902" i="11"/>
  <c r="A2902" i="11"/>
  <c r="B2901" i="11"/>
  <c r="A2901" i="11"/>
  <c r="B2900" i="11"/>
  <c r="A2900" i="11"/>
  <c r="B2899" i="11"/>
  <c r="A2899" i="11"/>
  <c r="B2898" i="11"/>
  <c r="A2898" i="11"/>
  <c r="B2897" i="11"/>
  <c r="A2897" i="11"/>
  <c r="B2896" i="11"/>
  <c r="A2896" i="11"/>
  <c r="B2895" i="11"/>
  <c r="A2895" i="11"/>
  <c r="B2894" i="11"/>
  <c r="A2894" i="11"/>
  <c r="B2893" i="11"/>
  <c r="A2893" i="11"/>
  <c r="B2892" i="11"/>
  <c r="A2892" i="11"/>
  <c r="B2891" i="11"/>
  <c r="A2891" i="11"/>
  <c r="B2890" i="11"/>
  <c r="A2890" i="11"/>
  <c r="B2889" i="11"/>
  <c r="A2889" i="11"/>
  <c r="B2888" i="11"/>
  <c r="A2888" i="11"/>
  <c r="B2887" i="11"/>
  <c r="A2887" i="11"/>
  <c r="B2886" i="11"/>
  <c r="A2886" i="11"/>
  <c r="B2885" i="11"/>
  <c r="A2885" i="11"/>
  <c r="B2884" i="11"/>
  <c r="A2884" i="11"/>
  <c r="B2883" i="11"/>
  <c r="A2883" i="11"/>
  <c r="B2882" i="11"/>
  <c r="A2882" i="11"/>
  <c r="B2881" i="11"/>
  <c r="A2881" i="11"/>
  <c r="B2880" i="11"/>
  <c r="A2880" i="11"/>
  <c r="B2879" i="11"/>
  <c r="A2879" i="11"/>
  <c r="B2878" i="11"/>
  <c r="A2878" i="11"/>
  <c r="B2877" i="11"/>
  <c r="A2877" i="11"/>
  <c r="B2876" i="11"/>
  <c r="A2876" i="11"/>
  <c r="B2875" i="11"/>
  <c r="A2875" i="11"/>
  <c r="B2874" i="11"/>
  <c r="A2874" i="11"/>
  <c r="B2873" i="11"/>
  <c r="A2873" i="11"/>
  <c r="B2872" i="11"/>
  <c r="A2872" i="11"/>
  <c r="B2871" i="11"/>
  <c r="A2871" i="11"/>
  <c r="B2870" i="11"/>
  <c r="A2870" i="11"/>
  <c r="B2869" i="11"/>
  <c r="A2869" i="11"/>
  <c r="B2868" i="11"/>
  <c r="A2868" i="11"/>
  <c r="B2867" i="11"/>
  <c r="A2867" i="11"/>
  <c r="B2866" i="11"/>
  <c r="A2866" i="11"/>
  <c r="B2865" i="11"/>
  <c r="A2865" i="11"/>
  <c r="B2864" i="11"/>
  <c r="A2864" i="11"/>
  <c r="B2863" i="11"/>
  <c r="A2863" i="11"/>
  <c r="B2862" i="11"/>
  <c r="A2862" i="11"/>
  <c r="B2861" i="11"/>
  <c r="A2861" i="11"/>
  <c r="B2860" i="11"/>
  <c r="A2860" i="11"/>
  <c r="B2859" i="11"/>
  <c r="A2859" i="11"/>
  <c r="B2858" i="11"/>
  <c r="A2858" i="11"/>
  <c r="B2857" i="11"/>
  <c r="A2857" i="11"/>
  <c r="B2856" i="11"/>
  <c r="A2856" i="11"/>
  <c r="B2855" i="11"/>
  <c r="A2855" i="11"/>
  <c r="B2854" i="11"/>
  <c r="A2854" i="11"/>
  <c r="B2853" i="11"/>
  <c r="A2853" i="11"/>
  <c r="B2852" i="11"/>
  <c r="A2852" i="11"/>
  <c r="B2851" i="11"/>
  <c r="A2851" i="11"/>
  <c r="B2850" i="11"/>
  <c r="A2850" i="11"/>
  <c r="B2849" i="11"/>
  <c r="A2849" i="11"/>
  <c r="B2848" i="11"/>
  <c r="A2848" i="11"/>
  <c r="B2847" i="11"/>
  <c r="A2847" i="11"/>
  <c r="B2846" i="11"/>
  <c r="A2846" i="11"/>
  <c r="B2845" i="11"/>
  <c r="A2845" i="11"/>
  <c r="B2844" i="11"/>
  <c r="A2844" i="11"/>
  <c r="B2843" i="11"/>
  <c r="A2843" i="11"/>
  <c r="B2842" i="11"/>
  <c r="A2842" i="11"/>
  <c r="B2841" i="11"/>
  <c r="A2841" i="11"/>
  <c r="B2840" i="11"/>
  <c r="A2840" i="11"/>
  <c r="B2839" i="11"/>
  <c r="A2839" i="11"/>
  <c r="B2838" i="11"/>
  <c r="A2838" i="11"/>
  <c r="B2837" i="11"/>
  <c r="A2837" i="11"/>
  <c r="B2836" i="11"/>
  <c r="A2836" i="11"/>
  <c r="B2835" i="11"/>
  <c r="A2835" i="11"/>
  <c r="B2834" i="11"/>
  <c r="A2834" i="11"/>
  <c r="B2833" i="11"/>
  <c r="A2833" i="11"/>
  <c r="B2832" i="11"/>
  <c r="A2832" i="11"/>
  <c r="B2831" i="11"/>
  <c r="A2831" i="11"/>
  <c r="B2830" i="11"/>
  <c r="A2830" i="11"/>
  <c r="B2829" i="11"/>
  <c r="A2829" i="11"/>
  <c r="B2828" i="11"/>
  <c r="A2828" i="11"/>
  <c r="B2827" i="11"/>
  <c r="A2827" i="11"/>
  <c r="B2826" i="11"/>
  <c r="A2826" i="11"/>
  <c r="B2825" i="11"/>
  <c r="A2825" i="11"/>
  <c r="B2824" i="11"/>
  <c r="A2824" i="11"/>
  <c r="B2823" i="11"/>
  <c r="A2823" i="11"/>
  <c r="B2822" i="11"/>
  <c r="A2822" i="11"/>
  <c r="B2821" i="11"/>
  <c r="A2821" i="11"/>
  <c r="B2820" i="11"/>
  <c r="A2820" i="11"/>
  <c r="B2819" i="11"/>
  <c r="A2819" i="11"/>
  <c r="B2818" i="11"/>
  <c r="A2818" i="11"/>
  <c r="B2817" i="11"/>
  <c r="A2817" i="11"/>
  <c r="B2816" i="11"/>
  <c r="A2816" i="11"/>
  <c r="B2815" i="11"/>
  <c r="A2815" i="11"/>
  <c r="B2814" i="11"/>
  <c r="A2814" i="11"/>
  <c r="B2813" i="11"/>
  <c r="A2813" i="11"/>
  <c r="B2812" i="11"/>
  <c r="A2812" i="11"/>
  <c r="B2811" i="11"/>
  <c r="A2811" i="11"/>
  <c r="B2810" i="11"/>
  <c r="A2810" i="11"/>
  <c r="B2809" i="11"/>
  <c r="A2809" i="11"/>
  <c r="B2808" i="11"/>
  <c r="A2808" i="11"/>
  <c r="B2807" i="11"/>
  <c r="A2807" i="11"/>
  <c r="B2806" i="11"/>
  <c r="A2806" i="11"/>
  <c r="B2805" i="11"/>
  <c r="A2805" i="11"/>
  <c r="B2804" i="11"/>
  <c r="A2804" i="11"/>
  <c r="B2803" i="11"/>
  <c r="A2803" i="11"/>
  <c r="B2802" i="11"/>
  <c r="A2802" i="11"/>
  <c r="B2801" i="11"/>
  <c r="A2801" i="11"/>
  <c r="B2800" i="11"/>
  <c r="A2800" i="11"/>
  <c r="B2799" i="11"/>
  <c r="A2799" i="11"/>
  <c r="B2798" i="11"/>
  <c r="A2798" i="11"/>
  <c r="B2797" i="11"/>
  <c r="A2797" i="11"/>
  <c r="B2796" i="11"/>
  <c r="A2796" i="11"/>
  <c r="B2795" i="11"/>
  <c r="A2795" i="11"/>
  <c r="B2794" i="11"/>
  <c r="A2794" i="11"/>
  <c r="B2793" i="11"/>
  <c r="A2793" i="11"/>
  <c r="B2792" i="11"/>
  <c r="A2792" i="11"/>
  <c r="B2791" i="11"/>
  <c r="A2791" i="11"/>
  <c r="B2790" i="11"/>
  <c r="A2790" i="11"/>
  <c r="B2789" i="11"/>
  <c r="A2789" i="11"/>
  <c r="B2788" i="11"/>
  <c r="A2788" i="11"/>
  <c r="B2787" i="11"/>
  <c r="A2787" i="11"/>
  <c r="B2786" i="11"/>
  <c r="A2786" i="11"/>
  <c r="B2785" i="11"/>
  <c r="A2785" i="11"/>
  <c r="B2784" i="11"/>
  <c r="A2784" i="11"/>
  <c r="B2783" i="11"/>
  <c r="A2783" i="11"/>
  <c r="B2782" i="11"/>
  <c r="A2782" i="11"/>
  <c r="B2781" i="11"/>
  <c r="A2781" i="11"/>
  <c r="B2780" i="11"/>
  <c r="A2780" i="11"/>
  <c r="B2779" i="11"/>
  <c r="A2779" i="11"/>
  <c r="B2778" i="11"/>
  <c r="A2778" i="11"/>
  <c r="B2777" i="11"/>
  <c r="A2777" i="11"/>
  <c r="B2776" i="11"/>
  <c r="A2776" i="11"/>
  <c r="B2775" i="11"/>
  <c r="A2775" i="11"/>
  <c r="B2774" i="11"/>
  <c r="A2774" i="11"/>
  <c r="B2773" i="11"/>
  <c r="A2773" i="11"/>
  <c r="B2772" i="11"/>
  <c r="A2772" i="11"/>
  <c r="B2771" i="11"/>
  <c r="A2771" i="11"/>
  <c r="B2770" i="11"/>
  <c r="A2770" i="11"/>
  <c r="B2769" i="11"/>
  <c r="A2769" i="11"/>
  <c r="B2768" i="11"/>
  <c r="A2768" i="11"/>
  <c r="B2767" i="11"/>
  <c r="A2767" i="11"/>
  <c r="B2766" i="11"/>
  <c r="A2766" i="11"/>
  <c r="B2765" i="11"/>
  <c r="A2765" i="11"/>
  <c r="B2764" i="11"/>
  <c r="A2764" i="11"/>
  <c r="B2763" i="11"/>
  <c r="A2763" i="11"/>
  <c r="B2762" i="11"/>
  <c r="A2762" i="11"/>
  <c r="B2761" i="11"/>
  <c r="A2761" i="11"/>
  <c r="B2760" i="11"/>
  <c r="A2760" i="11"/>
  <c r="B2759" i="11"/>
  <c r="A2759" i="11"/>
  <c r="B2758" i="11"/>
  <c r="A2758" i="11"/>
  <c r="B2757" i="11"/>
  <c r="A2757" i="11"/>
  <c r="B2756" i="11"/>
  <c r="A2756" i="11"/>
  <c r="B2755" i="11"/>
  <c r="A2755" i="11"/>
  <c r="B2754" i="11"/>
  <c r="A2754" i="11"/>
  <c r="B2753" i="11"/>
  <c r="A2753" i="11"/>
  <c r="B2752" i="11"/>
  <c r="A2752" i="11"/>
  <c r="B2751" i="11"/>
  <c r="A2751" i="11"/>
  <c r="B2750" i="11"/>
  <c r="A2750" i="11"/>
  <c r="B2749" i="11"/>
  <c r="A2749" i="11"/>
  <c r="B2748" i="11"/>
  <c r="A2748" i="11"/>
  <c r="B2747" i="11"/>
  <c r="A2747" i="11"/>
  <c r="B2746" i="11"/>
  <c r="A2746" i="11"/>
  <c r="B2745" i="11"/>
  <c r="A2745" i="11"/>
  <c r="B2744" i="11"/>
  <c r="A2744" i="11"/>
  <c r="B2743" i="11"/>
  <c r="A2743" i="11"/>
  <c r="B2742" i="11"/>
  <c r="A2742" i="11"/>
  <c r="B2741" i="11"/>
  <c r="A2741" i="11"/>
  <c r="B2740" i="11"/>
  <c r="A2740" i="11"/>
  <c r="B2739" i="11"/>
  <c r="A2739" i="11"/>
  <c r="B2738" i="11"/>
  <c r="A2738" i="11"/>
  <c r="B2737" i="11"/>
  <c r="A2737" i="11"/>
  <c r="B2736" i="11"/>
  <c r="A2736" i="11"/>
  <c r="B2735" i="11"/>
  <c r="A2735" i="11"/>
  <c r="B2734" i="11"/>
  <c r="A2734" i="11"/>
  <c r="B2733" i="11"/>
  <c r="A2733" i="11"/>
  <c r="B2732" i="11"/>
  <c r="A2732" i="11"/>
  <c r="B2731" i="11"/>
  <c r="A2731" i="11"/>
  <c r="B2730" i="11"/>
  <c r="A2730" i="11"/>
  <c r="B2729" i="11"/>
  <c r="A2729" i="11"/>
  <c r="B2728" i="11"/>
  <c r="A2728" i="11"/>
  <c r="B2727" i="11"/>
  <c r="A2727" i="11"/>
  <c r="B2726" i="11"/>
  <c r="A2726" i="11"/>
  <c r="B2725" i="11"/>
  <c r="A2725" i="11"/>
  <c r="B2724" i="11"/>
  <c r="A2724" i="11"/>
  <c r="B2723" i="11"/>
  <c r="A2723" i="11"/>
  <c r="B2722" i="11"/>
  <c r="A2722" i="11"/>
  <c r="B2721" i="11"/>
  <c r="A2721" i="11"/>
  <c r="B2720" i="11"/>
  <c r="A2720" i="11"/>
  <c r="B2719" i="11"/>
  <c r="A2719" i="11"/>
  <c r="B2718" i="11"/>
  <c r="A2718" i="11"/>
  <c r="B2717" i="11"/>
  <c r="A2717" i="11"/>
  <c r="B2716" i="11"/>
  <c r="A2716" i="11"/>
  <c r="B2715" i="11"/>
  <c r="A2715" i="11"/>
  <c r="B2714" i="11"/>
  <c r="A2714" i="11"/>
  <c r="B2713" i="11"/>
  <c r="A2713" i="11"/>
  <c r="B2712" i="11"/>
  <c r="A2712" i="11"/>
  <c r="B2711" i="11"/>
  <c r="A2711" i="11"/>
  <c r="B2710" i="11"/>
  <c r="A2710" i="11"/>
  <c r="B2709" i="11"/>
  <c r="A2709" i="11"/>
  <c r="B2708" i="11"/>
  <c r="A2708" i="11"/>
  <c r="B2707" i="11"/>
  <c r="A2707" i="11"/>
  <c r="B2706" i="11"/>
  <c r="A2706" i="11"/>
  <c r="B2705" i="11"/>
  <c r="A2705" i="11"/>
  <c r="B2704" i="11"/>
  <c r="A2704" i="11"/>
  <c r="B2703" i="11"/>
  <c r="A2703" i="11"/>
  <c r="B2702" i="11"/>
  <c r="A2702" i="11"/>
  <c r="B2701" i="11"/>
  <c r="A2701" i="11"/>
  <c r="B2700" i="11"/>
  <c r="A2700" i="11"/>
  <c r="B2699" i="11"/>
  <c r="A2699" i="11"/>
  <c r="B2698" i="11"/>
  <c r="A2698" i="11"/>
  <c r="B2697" i="11"/>
  <c r="A2697" i="11"/>
  <c r="B2696" i="11"/>
  <c r="A2696" i="11"/>
  <c r="B2695" i="11"/>
  <c r="A2695" i="11"/>
  <c r="B2694" i="11"/>
  <c r="A2694" i="11"/>
  <c r="B2693" i="11"/>
  <c r="A2693" i="11"/>
  <c r="B2692" i="11"/>
  <c r="A2692" i="11"/>
  <c r="B2691" i="11"/>
  <c r="A2691" i="11"/>
  <c r="B2690" i="11"/>
  <c r="A2690" i="11"/>
  <c r="B2689" i="11"/>
  <c r="A2689" i="11"/>
  <c r="B2688" i="11"/>
  <c r="A2688" i="11"/>
  <c r="B2687" i="11"/>
  <c r="A2687" i="11"/>
  <c r="B2686" i="11"/>
  <c r="A2686" i="11"/>
  <c r="B2685" i="11"/>
  <c r="A2685" i="11"/>
  <c r="B2684" i="11"/>
  <c r="A2684" i="11"/>
  <c r="B2683" i="11"/>
  <c r="A2683" i="11"/>
  <c r="B2682" i="11"/>
  <c r="A2682" i="11"/>
  <c r="B2681" i="11"/>
  <c r="A2681" i="11"/>
  <c r="B2680" i="11"/>
  <c r="A2680" i="11"/>
  <c r="B2679" i="11"/>
  <c r="A2679" i="11"/>
  <c r="B2678" i="11"/>
  <c r="A2678" i="11"/>
  <c r="B2677" i="11"/>
  <c r="A2677" i="11"/>
  <c r="B2676" i="11"/>
  <c r="A2676" i="11"/>
  <c r="B2675" i="11"/>
  <c r="A2675" i="11"/>
  <c r="B2674" i="11"/>
  <c r="A2674" i="11"/>
  <c r="B2673" i="11"/>
  <c r="A2673" i="11"/>
  <c r="B2672" i="11"/>
  <c r="A2672" i="11"/>
  <c r="B2671" i="11"/>
  <c r="A2671" i="11"/>
  <c r="B2670" i="11"/>
  <c r="A2670" i="11"/>
  <c r="B2669" i="11"/>
  <c r="A2669" i="11"/>
  <c r="B2668" i="11"/>
  <c r="A2668" i="11"/>
  <c r="B2667" i="11"/>
  <c r="A2667" i="11"/>
  <c r="B2666" i="11"/>
  <c r="A2666" i="11"/>
  <c r="B2665" i="11"/>
  <c r="A2665" i="11"/>
  <c r="B2664" i="11"/>
  <c r="A2664" i="11"/>
  <c r="B2663" i="11"/>
  <c r="A2663" i="11"/>
  <c r="B2662" i="11"/>
  <c r="A2662" i="11"/>
  <c r="B2661" i="11"/>
  <c r="A2661" i="11"/>
  <c r="B2660" i="11"/>
  <c r="A2660" i="11"/>
  <c r="B2659" i="11"/>
  <c r="A2659" i="11"/>
  <c r="B2658" i="11"/>
  <c r="A2658" i="11"/>
  <c r="B2657" i="11"/>
  <c r="A2657" i="11"/>
  <c r="B2656" i="11"/>
  <c r="A2656" i="11"/>
  <c r="B2655" i="11"/>
  <c r="A2655" i="11"/>
  <c r="B2654" i="11"/>
  <c r="A2654" i="11"/>
  <c r="B2653" i="11"/>
  <c r="A2653" i="11"/>
  <c r="B2652" i="11"/>
  <c r="A2652" i="11"/>
  <c r="B2651" i="11"/>
  <c r="A2651" i="11"/>
  <c r="B2650" i="11"/>
  <c r="A2650" i="11"/>
  <c r="B2649" i="11"/>
  <c r="A2649" i="11"/>
  <c r="B2648" i="11"/>
  <c r="A2648" i="11"/>
  <c r="B2647" i="11"/>
  <c r="A2647" i="11"/>
  <c r="B2646" i="11"/>
  <c r="A2646" i="11"/>
  <c r="B2645" i="11"/>
  <c r="A2645" i="11"/>
  <c r="B2644" i="11"/>
  <c r="A2644" i="11"/>
  <c r="B2643" i="11"/>
  <c r="A2643" i="11"/>
  <c r="B2642" i="11"/>
  <c r="A2642" i="11"/>
  <c r="B2641" i="11"/>
  <c r="A2641" i="11"/>
  <c r="B2640" i="11"/>
  <c r="A2640" i="11"/>
  <c r="B2639" i="11"/>
  <c r="A2639" i="11"/>
  <c r="B2638" i="11"/>
  <c r="A2638" i="11"/>
  <c r="B2637" i="11"/>
  <c r="A2637" i="11"/>
  <c r="B2636" i="11"/>
  <c r="A2636" i="11"/>
  <c r="B2635" i="11"/>
  <c r="A2635" i="11"/>
  <c r="B2634" i="11"/>
  <c r="A2634" i="11"/>
  <c r="B2633" i="11"/>
  <c r="A2633" i="11"/>
  <c r="B2632" i="11"/>
  <c r="A2632" i="11"/>
  <c r="B2631" i="11"/>
  <c r="A2631" i="11"/>
  <c r="B2630" i="11"/>
  <c r="A2630" i="11"/>
  <c r="B2629" i="11"/>
  <c r="A2629" i="11"/>
  <c r="B2628" i="11"/>
  <c r="A2628" i="11"/>
  <c r="B2627" i="11"/>
  <c r="A2627" i="11"/>
  <c r="B2626" i="11"/>
  <c r="A2626" i="11"/>
  <c r="B2625" i="11"/>
  <c r="A2625" i="11"/>
  <c r="B2624" i="11"/>
  <c r="A2624" i="11"/>
  <c r="B2623" i="11"/>
  <c r="A2623" i="11"/>
  <c r="B2622" i="11"/>
  <c r="A2622" i="11"/>
  <c r="B2621" i="11"/>
  <c r="A2621" i="11"/>
  <c r="B2620" i="11"/>
  <c r="A2620" i="11"/>
  <c r="B2619" i="11"/>
  <c r="A2619" i="11"/>
  <c r="B2618" i="11"/>
  <c r="A2618" i="11"/>
  <c r="B2617" i="11"/>
  <c r="A2617" i="11"/>
  <c r="B2616" i="11"/>
  <c r="A2616" i="11"/>
  <c r="B2615" i="11"/>
  <c r="A2615" i="11"/>
  <c r="B2614" i="11"/>
  <c r="A2614" i="11"/>
  <c r="B2613" i="11"/>
  <c r="A2613" i="11"/>
  <c r="B2612" i="11"/>
  <c r="A2612" i="11"/>
  <c r="B2611" i="11"/>
  <c r="A2611" i="11"/>
  <c r="B2610" i="11"/>
  <c r="A2610" i="11"/>
  <c r="B2609" i="11"/>
  <c r="A2609" i="11"/>
  <c r="B2608" i="11"/>
  <c r="A2608" i="11"/>
  <c r="B2607" i="11"/>
  <c r="A2607" i="11"/>
  <c r="B2606" i="11"/>
  <c r="A2606" i="11"/>
  <c r="B2605" i="11"/>
  <c r="A2605" i="11"/>
  <c r="B2604" i="11"/>
  <c r="A2604" i="11"/>
  <c r="B2603" i="11"/>
  <c r="A2603" i="11"/>
  <c r="B2602" i="11"/>
  <c r="A2602" i="11"/>
  <c r="B2601" i="11"/>
  <c r="A2601" i="11"/>
  <c r="B2600" i="11"/>
  <c r="A2600" i="11"/>
  <c r="B2599" i="11"/>
  <c r="A2599" i="11"/>
  <c r="B2598" i="11"/>
  <c r="A2598" i="11"/>
  <c r="B2597" i="11"/>
  <c r="A2597" i="11"/>
  <c r="B2596" i="11"/>
  <c r="A2596" i="11"/>
  <c r="B2595" i="11"/>
  <c r="A2595" i="11"/>
  <c r="B2594" i="11"/>
  <c r="A2594" i="11"/>
  <c r="B2593" i="11"/>
  <c r="A2593" i="11"/>
  <c r="B2592" i="11"/>
  <c r="A2592" i="11"/>
  <c r="B2591" i="11"/>
  <c r="A2591" i="11"/>
  <c r="B2590" i="11"/>
  <c r="A2590" i="11"/>
  <c r="B2589" i="11"/>
  <c r="A2589" i="11"/>
  <c r="B2588" i="11"/>
  <c r="A2588" i="11"/>
  <c r="B2587" i="11"/>
  <c r="A2587" i="11"/>
  <c r="B2586" i="11"/>
  <c r="A2586" i="11"/>
  <c r="B2585" i="11"/>
  <c r="A2585" i="11"/>
  <c r="B2584" i="11"/>
  <c r="A2584" i="11"/>
  <c r="B2583" i="11"/>
  <c r="A2583" i="11"/>
  <c r="B2582" i="11"/>
  <c r="A2582" i="11"/>
  <c r="B2581" i="11"/>
  <c r="A2581" i="11"/>
  <c r="B2580" i="11"/>
  <c r="A2580" i="11"/>
  <c r="B2579" i="11"/>
  <c r="A2579" i="11"/>
  <c r="B2578" i="11"/>
  <c r="A2578" i="11"/>
  <c r="B2577" i="11"/>
  <c r="A2577" i="11"/>
  <c r="B2576" i="11"/>
  <c r="A2576" i="11"/>
  <c r="B2575" i="11"/>
  <c r="A2575" i="11"/>
  <c r="B2574" i="11"/>
  <c r="A2574" i="11"/>
  <c r="B2573" i="11"/>
  <c r="A2573" i="11"/>
  <c r="B2572" i="11"/>
  <c r="A2572" i="11"/>
  <c r="B2571" i="11"/>
  <c r="A2571" i="11"/>
  <c r="B2570" i="11"/>
  <c r="A2570" i="11"/>
  <c r="B2569" i="11"/>
  <c r="A2569" i="11"/>
  <c r="B2568" i="11"/>
  <c r="A2568" i="11"/>
  <c r="B2567" i="11"/>
  <c r="A2567" i="11"/>
  <c r="B2566" i="11"/>
  <c r="A2566" i="11"/>
  <c r="B2565" i="11"/>
  <c r="A2565" i="11"/>
  <c r="B2564" i="11"/>
  <c r="A2564" i="11"/>
  <c r="B2563" i="11"/>
  <c r="A2563" i="11"/>
  <c r="B2562" i="11"/>
  <c r="A2562" i="11"/>
  <c r="B2561" i="11"/>
  <c r="A2561" i="11"/>
  <c r="B2560" i="11"/>
  <c r="A2560" i="11"/>
  <c r="B2559" i="11"/>
  <c r="A2559" i="11"/>
  <c r="B2558" i="11"/>
  <c r="A2558" i="11"/>
  <c r="B2557" i="11"/>
  <c r="A2557" i="11"/>
  <c r="B2556" i="11"/>
  <c r="A2556" i="11"/>
  <c r="B2555" i="11"/>
  <c r="A2555" i="11"/>
  <c r="B2554" i="11"/>
  <c r="A2554" i="11"/>
  <c r="B2553" i="11"/>
  <c r="A2553" i="11"/>
  <c r="B2552" i="11"/>
  <c r="A2552" i="11"/>
  <c r="B2551" i="11"/>
  <c r="A2551" i="11"/>
  <c r="B2550" i="11"/>
  <c r="A2550" i="11"/>
  <c r="B2549" i="11"/>
  <c r="A2549" i="11"/>
  <c r="B2548" i="11"/>
  <c r="A2548" i="11"/>
  <c r="B2547" i="11"/>
  <c r="A2547" i="11"/>
  <c r="B2546" i="11"/>
  <c r="A2546" i="11"/>
  <c r="B2545" i="11"/>
  <c r="A2545" i="11"/>
  <c r="B2544" i="11"/>
  <c r="A2544" i="11"/>
  <c r="B2543" i="11"/>
  <c r="A2543" i="11"/>
  <c r="B2542" i="11"/>
  <c r="A2542" i="11"/>
  <c r="B2541" i="11"/>
  <c r="A2541" i="11"/>
  <c r="B2540" i="11"/>
  <c r="A2540" i="11"/>
  <c r="B2539" i="11"/>
  <c r="A2539" i="11"/>
  <c r="B2538" i="11"/>
  <c r="A2538" i="11"/>
  <c r="B2537" i="11"/>
  <c r="A2537" i="11"/>
  <c r="B2536" i="11"/>
  <c r="A2536" i="11"/>
  <c r="B2535" i="11"/>
  <c r="A2535" i="11"/>
  <c r="B2534" i="11"/>
  <c r="A2534" i="11"/>
  <c r="B2533" i="11"/>
  <c r="A2533" i="11"/>
  <c r="B2532" i="11"/>
  <c r="A2532" i="11"/>
  <c r="B2531" i="11"/>
  <c r="A2531" i="11"/>
  <c r="B2530" i="11"/>
  <c r="A2530" i="11"/>
  <c r="B2529" i="11"/>
  <c r="A2529" i="11"/>
  <c r="B2528" i="11"/>
  <c r="A2528" i="11"/>
  <c r="B2527" i="11"/>
  <c r="A2527" i="11"/>
  <c r="B2526" i="11"/>
  <c r="A2526" i="11"/>
  <c r="B2525" i="11"/>
  <c r="A2525" i="11"/>
  <c r="B2524" i="11"/>
  <c r="A2524" i="11"/>
  <c r="B2523" i="11"/>
  <c r="A2523" i="11"/>
  <c r="B2522" i="11"/>
  <c r="A2522" i="11"/>
  <c r="B2521" i="11"/>
  <c r="A2521" i="11"/>
  <c r="B2520" i="11"/>
  <c r="A2520" i="11"/>
  <c r="B2519" i="11"/>
  <c r="A2519" i="11"/>
  <c r="B2518" i="11"/>
  <c r="A2518" i="11"/>
  <c r="B2517" i="11"/>
  <c r="A2517" i="11"/>
  <c r="B2516" i="11"/>
  <c r="A2516" i="11"/>
  <c r="B2515" i="11"/>
  <c r="A2515" i="11"/>
  <c r="B2514" i="11"/>
  <c r="A2514" i="11"/>
  <c r="B2513" i="11"/>
  <c r="A2513" i="11"/>
  <c r="B2512" i="11"/>
  <c r="A2512" i="11"/>
  <c r="B2511" i="11"/>
  <c r="A2511" i="11"/>
  <c r="B2510" i="11"/>
  <c r="A2510" i="11"/>
  <c r="B2509" i="11"/>
  <c r="A2509" i="11"/>
  <c r="B2508" i="11"/>
  <c r="A2508" i="11"/>
  <c r="B2507" i="11"/>
  <c r="A2507" i="11"/>
  <c r="B2506" i="11"/>
  <c r="A2506" i="11"/>
  <c r="B2505" i="11"/>
  <c r="A2505" i="11"/>
  <c r="B2504" i="11"/>
  <c r="A2504" i="11"/>
  <c r="B2503" i="11"/>
  <c r="A2503" i="11"/>
  <c r="B2502" i="11"/>
  <c r="A2502" i="11"/>
  <c r="B2501" i="11"/>
  <c r="A2501" i="11"/>
  <c r="B2500" i="11"/>
  <c r="A2500" i="11"/>
  <c r="B2499" i="11"/>
  <c r="A2499" i="11"/>
  <c r="B2498" i="11"/>
  <c r="A2498" i="11"/>
  <c r="B2497" i="11"/>
  <c r="A2497" i="11"/>
  <c r="B2496" i="11"/>
  <c r="A2496" i="11"/>
  <c r="B2495" i="11"/>
  <c r="A2495" i="11"/>
  <c r="B2494" i="11"/>
  <c r="A2494" i="11"/>
  <c r="B2493" i="11"/>
  <c r="A2493" i="11"/>
  <c r="B2492" i="11"/>
  <c r="A2492" i="11"/>
  <c r="B2491" i="11"/>
  <c r="A2491" i="11"/>
  <c r="B2490" i="11"/>
  <c r="A2490" i="11"/>
  <c r="B2489" i="11"/>
  <c r="A2489" i="11"/>
  <c r="B2488" i="11"/>
  <c r="A2488" i="11"/>
  <c r="B2487" i="11"/>
  <c r="A2487" i="11"/>
  <c r="B2486" i="11"/>
  <c r="A2486" i="11"/>
  <c r="B2485" i="11"/>
  <c r="A2485" i="11"/>
  <c r="B2484" i="11"/>
  <c r="A2484" i="11"/>
  <c r="B2483" i="11"/>
  <c r="A2483" i="11"/>
  <c r="B2482" i="11"/>
  <c r="A2482" i="11"/>
  <c r="B2481" i="11"/>
  <c r="A2481" i="11"/>
  <c r="B2480" i="11"/>
  <c r="A2480" i="11"/>
  <c r="B2479" i="11"/>
  <c r="A2479" i="11"/>
  <c r="B2478" i="11"/>
  <c r="A2478" i="11"/>
  <c r="B2477" i="11"/>
  <c r="A2477" i="11"/>
  <c r="B2476" i="11"/>
  <c r="A2476" i="11"/>
  <c r="B2475" i="11"/>
  <c r="A2475" i="11"/>
  <c r="B2474" i="11"/>
  <c r="A2474" i="11"/>
  <c r="B2473" i="11"/>
  <c r="A2473" i="11"/>
  <c r="B2472" i="11"/>
  <c r="A2472" i="11"/>
  <c r="B2471" i="11"/>
  <c r="A2471" i="11"/>
  <c r="B2470" i="11"/>
  <c r="A2470" i="11"/>
  <c r="B2469" i="11"/>
  <c r="A2469" i="11"/>
  <c r="B2468" i="11"/>
  <c r="A2468" i="11"/>
  <c r="B2467" i="11"/>
  <c r="A2467" i="11"/>
  <c r="B2466" i="11"/>
  <c r="A2466" i="11"/>
  <c r="B2465" i="11"/>
  <c r="A2465" i="11"/>
  <c r="B2464" i="11"/>
  <c r="A2464" i="11"/>
  <c r="B2463" i="11"/>
  <c r="A2463" i="11"/>
  <c r="B2462" i="11"/>
  <c r="A2462" i="11"/>
  <c r="B2461" i="11"/>
  <c r="A2461" i="11"/>
  <c r="B2460" i="11"/>
  <c r="A2460" i="11"/>
  <c r="B2459" i="11"/>
  <c r="A2459" i="11"/>
  <c r="B2458" i="11"/>
  <c r="A2458" i="11"/>
  <c r="B2457" i="11"/>
  <c r="A2457" i="11"/>
  <c r="B2456" i="11"/>
  <c r="A2456" i="11"/>
  <c r="B2455" i="11"/>
  <c r="A2455" i="11"/>
  <c r="B2454" i="11"/>
  <c r="A2454" i="11"/>
  <c r="B2453" i="11"/>
  <c r="A2453" i="11"/>
  <c r="B2452" i="11"/>
  <c r="A2452" i="11"/>
  <c r="B2451" i="11"/>
  <c r="A2451" i="11"/>
  <c r="B2450" i="11"/>
  <c r="A2450" i="11"/>
  <c r="B2449" i="11"/>
  <c r="A2449" i="11"/>
  <c r="B2448" i="11"/>
  <c r="A2448" i="11"/>
  <c r="B2447" i="11"/>
  <c r="A2447" i="11"/>
  <c r="B2446" i="11"/>
  <c r="A2446" i="11"/>
  <c r="B2445" i="11"/>
  <c r="A2445" i="11"/>
  <c r="B2444" i="11"/>
  <c r="A2444" i="11"/>
  <c r="B2443" i="11"/>
  <c r="A2443" i="11"/>
  <c r="B2442" i="11"/>
  <c r="A2442" i="11"/>
  <c r="B2441" i="11"/>
  <c r="A2441" i="11"/>
  <c r="B2440" i="11"/>
  <c r="A2440" i="11"/>
  <c r="B2439" i="11"/>
  <c r="A2439" i="11"/>
  <c r="B2438" i="11"/>
  <c r="A2438" i="11"/>
  <c r="B2437" i="11"/>
  <c r="A2437" i="11"/>
  <c r="B2436" i="11"/>
  <c r="A2436" i="11"/>
  <c r="B2435" i="11"/>
  <c r="A2435" i="11"/>
  <c r="B2434" i="11"/>
  <c r="A2434" i="11"/>
  <c r="B2433" i="11"/>
  <c r="A2433" i="11"/>
  <c r="B2432" i="11"/>
  <c r="A2432" i="11"/>
  <c r="B2431" i="11"/>
  <c r="A2431" i="11"/>
  <c r="B2430" i="11"/>
  <c r="A2430" i="11"/>
  <c r="B2429" i="11"/>
  <c r="A2429" i="11"/>
  <c r="B2428" i="11"/>
  <c r="A2428" i="11"/>
  <c r="B2427" i="11"/>
  <c r="A2427" i="11"/>
  <c r="B2426" i="11"/>
  <c r="A2426" i="11"/>
  <c r="B2425" i="11"/>
  <c r="A2425" i="11"/>
  <c r="B2424" i="11"/>
  <c r="A2424" i="11"/>
  <c r="B2423" i="11"/>
  <c r="A2423" i="11"/>
  <c r="B2422" i="11"/>
  <c r="A2422" i="11"/>
  <c r="B2421" i="11"/>
  <c r="A2421" i="11"/>
  <c r="B2420" i="11"/>
  <c r="A2420" i="11"/>
  <c r="B2419" i="11"/>
  <c r="A2419" i="11"/>
  <c r="B2418" i="11"/>
  <c r="A2418" i="11"/>
  <c r="B2417" i="11"/>
  <c r="A2417" i="11"/>
  <c r="B2416" i="11"/>
  <c r="A2416" i="11"/>
  <c r="B2415" i="11"/>
  <c r="A2415" i="11"/>
  <c r="B2414" i="11"/>
  <c r="A2414" i="11"/>
  <c r="B2413" i="11"/>
  <c r="A2413" i="11"/>
  <c r="B2412" i="11"/>
  <c r="A2412" i="11"/>
  <c r="B2411" i="11"/>
  <c r="A2411" i="11"/>
  <c r="B2410" i="11"/>
  <c r="A2410" i="11"/>
  <c r="B2409" i="11"/>
  <c r="A2409" i="11"/>
  <c r="B2408" i="11"/>
  <c r="A2408" i="11"/>
  <c r="B2407" i="11"/>
  <c r="A2407" i="11"/>
  <c r="B2406" i="11"/>
  <c r="A2406" i="11"/>
  <c r="B2405" i="11"/>
  <c r="A2405" i="11"/>
  <c r="B2404" i="11"/>
  <c r="A2404" i="11"/>
  <c r="B2403" i="11"/>
  <c r="A2403" i="11"/>
  <c r="B2402" i="11"/>
  <c r="A2402" i="11"/>
  <c r="B2401" i="11"/>
  <c r="A2401" i="11"/>
  <c r="B2400" i="11"/>
  <c r="A2400" i="11"/>
  <c r="B2399" i="11"/>
  <c r="A2399" i="11"/>
  <c r="B2398" i="11"/>
  <c r="A2398" i="11"/>
  <c r="B2397" i="11"/>
  <c r="A2397" i="11"/>
  <c r="B2396" i="11"/>
  <c r="A2396" i="11"/>
  <c r="B2395" i="11"/>
  <c r="A2395" i="11"/>
  <c r="B2394" i="11"/>
  <c r="A2394" i="11"/>
  <c r="B2393" i="11"/>
  <c r="A2393" i="11"/>
  <c r="B2392" i="11"/>
  <c r="A2392" i="11"/>
  <c r="B2391" i="11"/>
  <c r="A2391" i="11"/>
  <c r="B2390" i="11"/>
  <c r="A2390" i="11"/>
  <c r="B2389" i="11"/>
  <c r="A2389" i="11"/>
  <c r="B2388" i="11"/>
  <c r="A2388" i="11"/>
  <c r="B2387" i="11"/>
  <c r="A2387" i="11"/>
  <c r="B2386" i="11"/>
  <c r="A2386" i="11"/>
  <c r="B2385" i="11"/>
  <c r="A2385" i="11"/>
  <c r="B2384" i="11"/>
  <c r="A2384" i="11"/>
  <c r="B2383" i="11"/>
  <c r="A2383" i="11"/>
  <c r="B2382" i="11"/>
  <c r="A2382" i="11"/>
  <c r="B2381" i="11"/>
  <c r="A2381" i="11"/>
  <c r="B2380" i="11"/>
  <c r="A2380" i="11"/>
  <c r="B2379" i="11"/>
  <c r="A2379" i="11"/>
  <c r="B2378" i="11"/>
  <c r="A2378" i="11"/>
  <c r="B2377" i="11"/>
  <c r="A2377" i="11"/>
  <c r="B2376" i="11"/>
  <c r="A2376" i="11"/>
  <c r="B2375" i="11"/>
  <c r="A2375" i="11"/>
  <c r="B2374" i="11"/>
  <c r="A2374" i="11"/>
  <c r="B2373" i="11"/>
  <c r="A2373" i="11"/>
  <c r="B2372" i="11"/>
  <c r="A2372" i="11"/>
  <c r="B2371" i="11"/>
  <c r="A2371" i="11"/>
  <c r="B2370" i="11"/>
  <c r="A2370" i="11"/>
  <c r="B2369" i="11"/>
  <c r="A2369" i="11"/>
  <c r="B2368" i="11"/>
  <c r="A2368" i="11"/>
  <c r="B2367" i="11"/>
  <c r="A2367" i="11"/>
  <c r="B2366" i="11"/>
  <c r="A2366" i="11"/>
  <c r="B2365" i="11"/>
  <c r="A2365" i="11"/>
  <c r="B2364" i="11"/>
  <c r="A2364" i="11"/>
  <c r="B2363" i="11"/>
  <c r="A2363" i="11"/>
  <c r="B2362" i="11"/>
  <c r="A2362" i="11"/>
  <c r="B2361" i="11"/>
  <c r="A2361" i="11"/>
  <c r="B2360" i="11"/>
  <c r="A2360" i="11"/>
  <c r="B2359" i="11"/>
  <c r="A2359" i="11"/>
  <c r="B2358" i="11"/>
  <c r="A2358" i="11"/>
  <c r="B2357" i="11"/>
  <c r="A2357" i="11"/>
  <c r="B2356" i="11"/>
  <c r="A2356" i="11"/>
  <c r="B2355" i="11"/>
  <c r="A2355" i="11"/>
  <c r="B2354" i="11"/>
  <c r="A2354" i="11"/>
  <c r="B2353" i="11"/>
  <c r="A2353" i="11"/>
  <c r="B2352" i="11"/>
  <c r="A2352" i="11"/>
  <c r="B2351" i="11"/>
  <c r="A2351" i="11"/>
  <c r="B2350" i="11"/>
  <c r="A2350" i="11"/>
  <c r="B2349" i="11"/>
  <c r="A2349" i="11"/>
  <c r="B2348" i="11"/>
  <c r="A2348" i="11"/>
  <c r="B2347" i="11"/>
  <c r="A2347" i="11"/>
  <c r="B2346" i="11"/>
  <c r="A2346" i="11"/>
  <c r="B2345" i="11"/>
  <c r="A2345" i="11"/>
  <c r="B2344" i="11"/>
  <c r="A2344" i="11"/>
  <c r="B2343" i="11"/>
  <c r="A2343" i="11"/>
  <c r="B2342" i="11"/>
  <c r="A2342" i="11"/>
  <c r="B2341" i="11"/>
  <c r="A2341" i="11"/>
  <c r="B2340" i="11"/>
  <c r="A2340" i="11"/>
  <c r="B2339" i="11"/>
  <c r="A2339" i="11"/>
  <c r="B2338" i="11"/>
  <c r="A2338" i="11"/>
  <c r="B2337" i="11"/>
  <c r="A2337" i="11"/>
  <c r="B2336" i="11"/>
  <c r="A2336" i="11"/>
  <c r="B2335" i="11"/>
  <c r="A2335" i="11"/>
  <c r="B2334" i="11"/>
  <c r="A2334" i="11"/>
  <c r="B2333" i="11"/>
  <c r="A2333" i="11"/>
  <c r="B2332" i="11"/>
  <c r="A2332" i="11"/>
  <c r="B2331" i="11"/>
  <c r="A2331" i="11"/>
  <c r="B2330" i="11"/>
  <c r="A2330" i="11"/>
  <c r="B2329" i="11"/>
  <c r="A2329" i="11"/>
  <c r="B2328" i="11"/>
  <c r="A2328" i="11"/>
  <c r="B2327" i="11"/>
  <c r="A2327" i="11"/>
  <c r="B2326" i="11"/>
  <c r="A2326" i="11"/>
  <c r="B2325" i="11"/>
  <c r="A2325" i="11"/>
  <c r="B2324" i="11"/>
  <c r="A2324" i="11"/>
  <c r="B2323" i="11"/>
  <c r="A2323" i="11"/>
  <c r="B2322" i="11"/>
  <c r="A2322" i="11"/>
  <c r="B2321" i="11"/>
  <c r="A2321" i="11"/>
  <c r="B2320" i="11"/>
  <c r="A2320" i="11"/>
  <c r="B2319" i="11"/>
  <c r="A2319" i="11"/>
  <c r="B2318" i="11"/>
  <c r="A2318" i="11"/>
  <c r="B2317" i="11"/>
  <c r="A2317" i="11"/>
  <c r="B2316" i="11"/>
  <c r="A2316" i="11"/>
  <c r="B2315" i="11"/>
  <c r="A2315" i="11"/>
  <c r="B2314" i="11"/>
  <c r="A2314" i="11"/>
  <c r="B2313" i="11"/>
  <c r="A2313" i="11"/>
  <c r="B2312" i="11"/>
  <c r="A2312" i="11"/>
  <c r="B2311" i="11"/>
  <c r="A2311" i="11"/>
  <c r="B2310" i="11"/>
  <c r="A2310" i="11"/>
  <c r="B2309" i="11"/>
  <c r="A2309" i="11"/>
  <c r="B2308" i="11"/>
  <c r="A2308" i="11"/>
  <c r="B2307" i="11"/>
  <c r="A2307" i="11"/>
  <c r="B2306" i="11"/>
  <c r="A2306" i="11"/>
  <c r="B2305" i="11"/>
  <c r="A2305" i="11"/>
  <c r="B2304" i="11"/>
  <c r="A2304" i="11"/>
  <c r="B2303" i="11"/>
  <c r="A2303" i="11"/>
  <c r="B2302" i="11"/>
  <c r="A2302" i="11"/>
  <c r="B2301" i="11"/>
  <c r="A2301" i="11"/>
  <c r="B2300" i="11"/>
  <c r="A2300" i="11"/>
  <c r="B2299" i="11"/>
  <c r="A2299" i="11"/>
  <c r="B2298" i="11"/>
  <c r="A2298" i="11"/>
  <c r="B2297" i="11"/>
  <c r="A2297" i="11"/>
  <c r="B2296" i="11"/>
  <c r="A2296" i="11"/>
  <c r="B2295" i="11"/>
  <c r="A2295" i="11"/>
  <c r="B2294" i="11"/>
  <c r="A2294" i="11"/>
  <c r="B2293" i="11"/>
  <c r="A2293" i="11"/>
  <c r="B2292" i="11"/>
  <c r="A2292" i="11"/>
  <c r="B2291" i="11"/>
  <c r="A2291" i="11"/>
  <c r="B2290" i="11"/>
  <c r="A2290" i="11"/>
  <c r="B2289" i="11"/>
  <c r="A2289" i="11"/>
  <c r="B2288" i="11"/>
  <c r="A2288" i="11"/>
  <c r="B2287" i="11"/>
  <c r="A2287" i="11"/>
  <c r="B2286" i="11"/>
  <c r="A2286" i="11"/>
  <c r="B2285" i="11"/>
  <c r="A2285" i="11"/>
  <c r="B2284" i="11"/>
  <c r="A2284" i="11"/>
  <c r="B2283" i="11"/>
  <c r="A2283" i="11"/>
  <c r="B2282" i="11"/>
  <c r="A2282" i="11"/>
  <c r="B2281" i="11"/>
  <c r="A2281" i="11"/>
  <c r="B2280" i="11"/>
  <c r="A2280" i="11"/>
  <c r="B2279" i="11"/>
  <c r="A2279" i="11"/>
  <c r="B2278" i="11"/>
  <c r="A2278" i="11"/>
  <c r="B2277" i="11"/>
  <c r="A2277" i="11"/>
  <c r="B2276" i="11"/>
  <c r="A2276" i="11"/>
  <c r="B2275" i="11"/>
  <c r="A2275" i="11"/>
  <c r="B2274" i="11"/>
  <c r="A2274" i="11"/>
  <c r="B2273" i="11"/>
  <c r="A2273" i="11"/>
  <c r="B2272" i="11"/>
  <c r="A2272" i="11"/>
  <c r="B2271" i="11"/>
  <c r="A2271" i="11"/>
  <c r="B2270" i="11"/>
  <c r="A2270" i="11"/>
  <c r="B2269" i="11"/>
  <c r="A2269" i="11"/>
  <c r="B2268" i="11"/>
  <c r="A2268" i="11"/>
  <c r="B2267" i="11"/>
  <c r="A2267" i="11"/>
  <c r="B2266" i="11"/>
  <c r="A2266" i="11"/>
  <c r="B2265" i="11"/>
  <c r="A2265" i="11"/>
  <c r="B2264" i="11"/>
  <c r="A2264" i="11"/>
  <c r="B2263" i="11"/>
  <c r="A2263" i="11"/>
  <c r="B2262" i="11"/>
  <c r="A2262" i="11"/>
  <c r="B2261" i="11"/>
  <c r="A2261" i="11"/>
  <c r="B2260" i="11"/>
  <c r="A2260" i="11"/>
  <c r="B2259" i="11"/>
  <c r="A2259" i="11"/>
  <c r="B2258" i="11"/>
  <c r="A2258" i="11"/>
  <c r="B2257" i="11"/>
  <c r="A2257" i="11"/>
  <c r="B2256" i="11"/>
  <c r="A2256" i="11"/>
  <c r="B2255" i="11"/>
  <c r="A2255" i="11"/>
  <c r="B2254" i="11"/>
  <c r="A2254" i="11"/>
  <c r="B2253" i="11"/>
  <c r="A2253" i="11"/>
  <c r="B2252" i="11"/>
  <c r="A2252" i="11"/>
  <c r="B2251" i="11"/>
  <c r="A2251" i="11"/>
  <c r="B2250" i="11"/>
  <c r="A2250" i="11"/>
  <c r="B2249" i="11"/>
  <c r="A2249" i="11"/>
  <c r="B2248" i="11"/>
  <c r="A2248" i="11"/>
  <c r="B2247" i="11"/>
  <c r="A2247" i="11"/>
  <c r="B2246" i="11"/>
  <c r="A2246" i="11"/>
  <c r="B2245" i="11"/>
  <c r="A2245" i="11"/>
  <c r="B2244" i="11"/>
  <c r="A2244" i="11"/>
  <c r="B2243" i="11"/>
  <c r="A2243" i="11"/>
  <c r="B2242" i="11"/>
  <c r="A2242" i="11"/>
  <c r="B2241" i="11"/>
  <c r="A2241" i="11"/>
  <c r="B2240" i="11"/>
  <c r="A2240" i="11"/>
  <c r="B2239" i="11"/>
  <c r="A2239" i="11"/>
  <c r="B2238" i="11"/>
  <c r="A2238" i="11"/>
  <c r="B2237" i="11"/>
  <c r="A2237" i="11"/>
  <c r="B2236" i="11"/>
  <c r="A2236" i="11"/>
  <c r="B2235" i="11"/>
  <c r="A2235" i="11"/>
  <c r="B2234" i="11"/>
  <c r="A2234" i="11"/>
  <c r="B2233" i="11"/>
  <c r="A2233" i="11"/>
  <c r="B2232" i="11"/>
  <c r="A2232" i="11"/>
  <c r="B2231" i="11"/>
  <c r="A2231" i="11"/>
  <c r="B2230" i="11"/>
  <c r="A2230" i="11"/>
  <c r="B2229" i="11"/>
  <c r="A2229" i="11"/>
  <c r="B2228" i="11"/>
  <c r="A2228" i="11"/>
  <c r="B2227" i="11"/>
  <c r="A2227" i="11"/>
  <c r="B2226" i="11"/>
  <c r="A2226" i="11"/>
  <c r="B2225" i="11"/>
  <c r="A2225" i="11"/>
  <c r="B2224" i="11"/>
  <c r="A2224" i="11"/>
  <c r="B2223" i="11"/>
  <c r="A2223" i="11"/>
  <c r="B2222" i="11"/>
  <c r="A2222" i="11"/>
  <c r="B2221" i="11"/>
  <c r="A2221" i="11"/>
  <c r="B2220" i="11"/>
  <c r="A2220" i="11"/>
  <c r="B2219" i="11"/>
  <c r="A2219" i="11"/>
  <c r="B2218" i="11"/>
  <c r="A2218" i="11"/>
  <c r="B2217" i="11"/>
  <c r="A2217" i="11"/>
  <c r="B2216" i="11"/>
  <c r="A2216" i="11"/>
  <c r="B2215" i="11"/>
  <c r="A2215" i="11"/>
  <c r="B2214" i="11"/>
  <c r="A2214" i="11"/>
  <c r="B2213" i="11"/>
  <c r="A2213" i="11"/>
  <c r="B2212" i="11"/>
  <c r="A2212" i="11"/>
  <c r="B2211" i="11"/>
  <c r="A2211" i="11"/>
  <c r="B2210" i="11"/>
  <c r="A2210" i="11"/>
  <c r="B2209" i="11"/>
  <c r="A2209" i="11"/>
  <c r="B2208" i="11"/>
  <c r="A2208" i="11"/>
  <c r="B2207" i="11"/>
  <c r="A2207" i="11"/>
  <c r="B2206" i="11"/>
  <c r="A2206" i="11"/>
  <c r="B2205" i="11"/>
  <c r="A2205" i="11"/>
  <c r="B2204" i="11"/>
  <c r="A2204" i="11"/>
  <c r="B2203" i="11"/>
  <c r="A2203" i="11"/>
  <c r="B2202" i="11"/>
  <c r="A2202" i="11"/>
  <c r="B2201" i="11"/>
  <c r="A2201" i="11"/>
  <c r="B2200" i="11"/>
  <c r="A2200" i="11"/>
  <c r="B2199" i="11"/>
  <c r="A2199" i="11"/>
  <c r="B2198" i="11"/>
  <c r="A2198" i="11"/>
  <c r="B2197" i="11"/>
  <c r="A2197" i="11"/>
  <c r="B2196" i="11"/>
  <c r="A2196" i="11"/>
  <c r="B2195" i="11"/>
  <c r="A2195" i="11"/>
  <c r="B2194" i="11"/>
  <c r="A2194" i="11"/>
  <c r="B2193" i="11"/>
  <c r="A2193" i="11"/>
  <c r="B2192" i="11"/>
  <c r="A2192" i="11"/>
  <c r="B2191" i="11"/>
  <c r="A2191" i="11"/>
  <c r="B2190" i="11"/>
  <c r="A2190" i="11"/>
  <c r="B2189" i="11"/>
  <c r="A2189" i="11"/>
  <c r="B2188" i="11"/>
  <c r="A2188" i="11"/>
  <c r="B2187" i="11"/>
  <c r="A2187" i="11"/>
  <c r="B2186" i="11"/>
  <c r="A2186" i="11"/>
  <c r="B2185" i="11"/>
  <c r="A2185" i="11"/>
  <c r="B2184" i="11"/>
  <c r="A2184" i="11"/>
  <c r="B2183" i="11"/>
  <c r="A2183" i="11"/>
  <c r="B2182" i="11"/>
  <c r="A2182" i="11"/>
  <c r="B2181" i="11"/>
  <c r="A2181" i="11"/>
  <c r="B2180" i="11"/>
  <c r="A2180" i="11"/>
  <c r="B2179" i="11"/>
  <c r="A2179" i="11"/>
  <c r="B2178" i="11"/>
  <c r="A2178" i="11"/>
  <c r="B2177" i="11"/>
  <c r="A2177" i="11"/>
  <c r="B2176" i="11"/>
  <c r="A2176" i="11"/>
  <c r="B2175" i="11"/>
  <c r="A2175" i="11"/>
  <c r="B2174" i="11"/>
  <c r="A2174" i="11"/>
  <c r="B2173" i="11"/>
  <c r="A2173" i="11"/>
  <c r="B2172" i="11"/>
  <c r="A2172" i="11"/>
  <c r="B2171" i="11"/>
  <c r="A2171" i="11"/>
  <c r="B2170" i="11"/>
  <c r="A2170" i="11"/>
  <c r="B2169" i="11"/>
  <c r="A2169" i="11"/>
  <c r="B2168" i="11"/>
  <c r="A2168" i="11"/>
  <c r="B2167" i="11"/>
  <c r="A2167" i="11"/>
  <c r="B2166" i="11"/>
  <c r="A2166" i="11"/>
  <c r="B2165" i="11"/>
  <c r="A2165" i="11"/>
  <c r="B2164" i="11"/>
  <c r="A2164" i="11"/>
  <c r="B2163" i="11"/>
  <c r="A2163" i="11"/>
  <c r="B2162" i="11"/>
  <c r="A2162" i="11"/>
  <c r="B2161" i="11"/>
  <c r="A2161" i="11"/>
  <c r="B2160" i="11"/>
  <c r="A2160" i="11"/>
  <c r="B2159" i="11"/>
  <c r="A2159" i="11"/>
  <c r="B2158" i="11"/>
  <c r="A2158" i="11"/>
  <c r="B2157" i="11"/>
  <c r="A2157" i="11"/>
  <c r="B2156" i="11"/>
  <c r="A2156" i="11"/>
  <c r="B2155" i="11"/>
  <c r="A2155" i="11"/>
  <c r="B2154" i="11"/>
  <c r="A2154" i="11"/>
  <c r="B2153" i="11"/>
  <c r="A2153" i="11"/>
  <c r="B2152" i="11"/>
  <c r="A2152" i="11"/>
  <c r="B2151" i="11"/>
  <c r="A2151" i="11"/>
  <c r="B2150" i="11"/>
  <c r="A2150" i="11"/>
  <c r="B2149" i="11"/>
  <c r="A2149" i="11"/>
  <c r="B2148" i="11"/>
  <c r="A2148" i="11"/>
  <c r="B2147" i="11"/>
  <c r="A2147" i="11"/>
  <c r="B2146" i="11"/>
  <c r="A2146" i="11"/>
  <c r="B2145" i="11"/>
  <c r="A2145" i="11"/>
  <c r="B2144" i="11"/>
  <c r="A2144" i="11"/>
  <c r="B2143" i="11"/>
  <c r="A2143" i="11"/>
  <c r="B2142" i="11"/>
  <c r="A2142" i="11"/>
  <c r="B2141" i="11"/>
  <c r="A2141" i="11"/>
  <c r="B2140" i="11"/>
  <c r="A2140" i="11"/>
  <c r="B2139" i="11"/>
  <c r="A2139" i="11"/>
  <c r="B2138" i="11"/>
  <c r="A2138" i="11"/>
  <c r="B2137" i="11"/>
  <c r="A2137" i="11"/>
  <c r="B2136" i="11"/>
  <c r="A2136" i="11"/>
  <c r="B2135" i="11"/>
  <c r="A2135" i="11"/>
  <c r="B2134" i="11"/>
  <c r="A2134" i="11"/>
  <c r="B2133" i="11"/>
  <c r="A2133" i="11"/>
  <c r="B2132" i="11"/>
  <c r="A2132" i="11"/>
  <c r="B2131" i="11"/>
  <c r="A2131" i="11"/>
  <c r="B2130" i="11"/>
  <c r="A2130" i="11"/>
  <c r="B2129" i="11"/>
  <c r="A2129" i="11"/>
  <c r="B2128" i="11"/>
  <c r="A2128" i="11"/>
  <c r="B2127" i="11"/>
  <c r="A2127" i="11"/>
  <c r="B2126" i="11"/>
  <c r="A2126" i="11"/>
  <c r="B2125" i="11"/>
  <c r="A2125" i="11"/>
  <c r="B2124" i="11"/>
  <c r="A2124" i="11"/>
  <c r="B2123" i="11"/>
  <c r="A2123" i="11"/>
  <c r="B2122" i="11"/>
  <c r="A2122" i="11"/>
  <c r="B2121" i="11"/>
  <c r="A2121" i="11"/>
  <c r="B2120" i="11"/>
  <c r="A2120" i="11"/>
  <c r="B2119" i="11"/>
  <c r="A2119" i="11"/>
  <c r="B2118" i="11"/>
  <c r="A2118" i="11"/>
  <c r="B2117" i="11"/>
  <c r="A2117" i="11"/>
  <c r="B2116" i="11"/>
  <c r="A2116" i="11"/>
  <c r="B2115" i="11"/>
  <c r="A2115" i="11"/>
  <c r="B2114" i="11"/>
  <c r="A2114" i="11"/>
  <c r="B2113" i="11"/>
  <c r="A2113" i="11"/>
  <c r="B2112" i="11"/>
  <c r="A2112" i="11"/>
  <c r="B2111" i="11"/>
  <c r="A2111" i="11"/>
  <c r="B2110" i="11"/>
  <c r="A2110" i="11"/>
  <c r="B2109" i="11"/>
  <c r="A2109" i="11"/>
  <c r="B2108" i="11"/>
  <c r="A2108" i="11"/>
  <c r="B2107" i="11"/>
  <c r="A2107" i="11"/>
  <c r="B2106" i="11"/>
  <c r="A2106" i="11"/>
  <c r="B2105" i="11"/>
  <c r="A2105" i="11"/>
  <c r="B2104" i="11"/>
  <c r="A2104" i="11"/>
  <c r="B2103" i="11"/>
  <c r="A2103" i="11"/>
  <c r="B2102" i="11"/>
  <c r="A2102" i="11"/>
  <c r="B2101" i="11"/>
  <c r="A2101" i="11"/>
  <c r="B2100" i="11"/>
  <c r="A2100" i="11"/>
  <c r="B2099" i="11"/>
  <c r="A2099" i="11"/>
  <c r="B2098" i="11"/>
  <c r="A2098" i="11"/>
  <c r="B2097" i="11"/>
  <c r="A2097" i="11"/>
  <c r="B2096" i="11"/>
  <c r="A2096" i="11"/>
  <c r="B2095" i="11"/>
  <c r="A2095" i="11"/>
  <c r="B2094" i="11"/>
  <c r="A2094" i="11"/>
  <c r="B2093" i="11"/>
  <c r="A2093" i="11"/>
  <c r="B2092" i="11"/>
  <c r="A2092" i="11"/>
  <c r="B2091" i="11"/>
  <c r="A2091" i="11"/>
  <c r="B2090" i="11"/>
  <c r="A2090" i="11"/>
  <c r="B2089" i="11"/>
  <c r="A2089" i="11"/>
  <c r="B2088" i="11"/>
  <c r="A2088" i="11"/>
  <c r="B2087" i="11"/>
  <c r="A2087" i="11"/>
  <c r="B2086" i="11"/>
  <c r="A2086" i="11"/>
  <c r="B2085" i="11"/>
  <c r="A2085" i="11"/>
  <c r="B2084" i="11"/>
  <c r="A2084" i="11"/>
  <c r="B2083" i="11"/>
  <c r="A2083" i="11"/>
  <c r="B2082" i="11"/>
  <c r="A2082" i="11"/>
  <c r="B2081" i="11"/>
  <c r="A2081" i="11"/>
  <c r="B2080" i="11"/>
  <c r="A2080" i="11"/>
  <c r="B2079" i="11"/>
  <c r="A2079" i="11"/>
  <c r="B2078" i="11"/>
  <c r="A2078" i="11"/>
  <c r="B2077" i="11"/>
  <c r="A2077" i="11"/>
  <c r="B2076" i="11"/>
  <c r="A2076" i="11"/>
  <c r="B2075" i="11"/>
  <c r="A2075" i="11"/>
  <c r="B2074" i="11"/>
  <c r="A2074" i="11"/>
  <c r="B2073" i="11"/>
  <c r="A2073" i="11"/>
  <c r="B2072" i="11"/>
  <c r="A2072" i="11"/>
  <c r="B2071" i="11"/>
  <c r="A2071" i="11"/>
  <c r="B2070" i="11"/>
  <c r="A2070" i="11"/>
  <c r="B2069" i="11"/>
  <c r="A2069" i="11"/>
  <c r="B2068" i="11"/>
  <c r="A2068" i="11"/>
  <c r="B2067" i="11"/>
  <c r="A2067" i="11"/>
  <c r="B2066" i="11"/>
  <c r="A2066" i="11"/>
  <c r="B2065" i="11"/>
  <c r="A2065" i="11"/>
  <c r="B2064" i="11"/>
  <c r="A2064" i="11"/>
  <c r="B2063" i="11"/>
  <c r="A2063" i="11"/>
  <c r="B2062" i="11"/>
  <c r="A2062" i="11"/>
  <c r="B2061" i="11"/>
  <c r="A2061" i="11"/>
  <c r="B2060" i="11"/>
  <c r="A2060" i="11"/>
  <c r="B2059" i="11"/>
  <c r="A2059" i="11"/>
  <c r="B2058" i="11"/>
  <c r="A2058" i="11"/>
  <c r="B2057" i="11"/>
  <c r="A2057" i="11"/>
  <c r="B2056" i="11"/>
  <c r="A2056" i="11"/>
  <c r="B2055" i="11"/>
  <c r="A2055" i="11"/>
  <c r="B2054" i="11"/>
  <c r="A2054" i="11"/>
  <c r="B2053" i="11"/>
  <c r="A2053" i="11"/>
  <c r="B2052" i="11"/>
  <c r="A2052" i="11"/>
  <c r="B2051" i="11"/>
  <c r="A2051" i="11"/>
  <c r="B2050" i="11"/>
  <c r="A2050" i="11"/>
  <c r="B2049" i="11"/>
  <c r="A2049" i="11"/>
  <c r="B2048" i="11"/>
  <c r="A2048" i="11"/>
  <c r="B2047" i="11"/>
  <c r="A2047" i="11"/>
  <c r="B2046" i="11"/>
  <c r="A2046" i="11"/>
  <c r="B2045" i="11"/>
  <c r="A2045" i="11"/>
  <c r="B2044" i="11"/>
  <c r="A2044" i="11"/>
  <c r="B2043" i="11"/>
  <c r="A2043" i="11"/>
  <c r="B2042" i="11"/>
  <c r="A2042" i="11"/>
  <c r="B2041" i="11"/>
  <c r="A2041" i="11"/>
  <c r="B2040" i="11"/>
  <c r="A2040" i="11"/>
  <c r="B2039" i="11"/>
  <c r="A2039" i="11"/>
  <c r="B2038" i="11"/>
  <c r="A2038" i="11"/>
  <c r="B2037" i="11"/>
  <c r="A2037" i="11"/>
  <c r="B2036" i="11"/>
  <c r="A2036" i="11"/>
  <c r="B2035" i="11"/>
  <c r="A2035" i="11"/>
  <c r="B2034" i="11"/>
  <c r="A2034" i="11"/>
  <c r="B2033" i="11"/>
  <c r="A2033" i="11"/>
  <c r="B2032" i="11"/>
  <c r="A2032" i="11"/>
  <c r="B2031" i="11"/>
  <c r="A2031" i="11"/>
  <c r="B2030" i="11"/>
  <c r="A2030" i="11"/>
  <c r="B2029" i="11"/>
  <c r="A2029" i="11"/>
  <c r="B2028" i="11"/>
  <c r="A2028" i="11"/>
  <c r="B2027" i="11"/>
  <c r="A2027" i="11"/>
  <c r="B2026" i="11"/>
  <c r="A2026" i="11"/>
  <c r="B2025" i="11"/>
  <c r="A2025" i="11"/>
  <c r="B2024" i="11"/>
  <c r="A2024" i="11"/>
  <c r="B2023" i="11"/>
  <c r="A2023" i="11"/>
  <c r="B2022" i="11"/>
  <c r="A2022" i="11"/>
  <c r="B2021" i="11"/>
  <c r="A2021" i="11"/>
  <c r="B2020" i="11"/>
  <c r="A2020" i="11"/>
  <c r="B2019" i="11"/>
  <c r="A2019" i="11"/>
  <c r="B2018" i="11"/>
  <c r="A2018" i="11"/>
  <c r="B2017" i="11"/>
  <c r="A2017" i="11"/>
  <c r="B2016" i="11"/>
  <c r="A2016" i="11"/>
  <c r="B2015" i="11"/>
  <c r="A2015" i="11"/>
  <c r="B2014" i="11"/>
  <c r="A2014" i="11"/>
  <c r="B2013" i="11"/>
  <c r="A2013" i="11"/>
  <c r="B2012" i="11"/>
  <c r="A2012" i="11"/>
  <c r="B2011" i="11"/>
  <c r="A2011" i="11"/>
  <c r="B2010" i="11"/>
  <c r="A2010" i="11"/>
  <c r="B2009" i="11"/>
  <c r="A2009" i="11"/>
  <c r="B2008" i="11"/>
  <c r="A2008" i="11"/>
  <c r="B2007" i="11"/>
  <c r="A2007" i="11"/>
  <c r="B2006" i="11"/>
  <c r="A2006" i="11"/>
  <c r="B2005" i="11"/>
  <c r="A2005" i="11"/>
  <c r="B2004" i="11"/>
  <c r="A2004" i="11"/>
  <c r="B2003" i="11"/>
  <c r="A2003" i="11"/>
  <c r="B2002" i="11"/>
  <c r="A2002" i="11"/>
  <c r="B2001" i="11"/>
  <c r="A2001" i="11"/>
  <c r="B2000" i="11"/>
  <c r="A2000" i="11"/>
  <c r="B1999" i="11"/>
  <c r="A1999" i="11"/>
  <c r="B1998" i="11"/>
  <c r="A1998" i="11"/>
  <c r="B1997" i="11"/>
  <c r="A1997" i="11"/>
  <c r="B1996" i="11"/>
  <c r="A1996" i="11"/>
  <c r="B1995" i="11"/>
  <c r="A1995" i="11"/>
  <c r="B1994" i="11"/>
  <c r="A1994" i="11"/>
  <c r="B1993" i="11"/>
  <c r="A1993" i="11"/>
  <c r="B1992" i="11"/>
  <c r="A1992" i="11"/>
  <c r="B1991" i="11"/>
  <c r="A1991" i="11"/>
  <c r="B1990" i="11"/>
  <c r="A1990" i="11"/>
  <c r="B1989" i="11"/>
  <c r="A1989" i="11"/>
  <c r="B1988" i="11"/>
  <c r="A1988" i="11"/>
  <c r="B1987" i="11"/>
  <c r="A1987" i="11"/>
  <c r="B1986" i="11"/>
  <c r="A1986" i="11"/>
  <c r="B1985" i="11"/>
  <c r="A1985" i="11"/>
  <c r="B1984" i="11"/>
  <c r="A1984" i="11"/>
  <c r="B1983" i="11"/>
  <c r="A1983" i="11"/>
  <c r="B1982" i="11"/>
  <c r="A1982" i="11"/>
  <c r="B1981" i="11"/>
  <c r="A1981" i="11"/>
  <c r="B1980" i="11"/>
  <c r="A1980" i="11"/>
  <c r="B1979" i="11"/>
  <c r="A1979" i="11"/>
  <c r="B1978" i="11"/>
  <c r="A1978" i="11"/>
  <c r="B1977" i="11"/>
  <c r="A1977" i="11"/>
  <c r="B1976" i="11"/>
  <c r="A1976" i="11"/>
  <c r="B1975" i="11"/>
  <c r="A1975" i="11"/>
  <c r="B1974" i="11"/>
  <c r="A1974" i="11"/>
  <c r="B1973" i="11"/>
  <c r="A1973" i="11"/>
  <c r="B1972" i="11"/>
  <c r="A1972" i="11"/>
  <c r="B1971" i="11"/>
  <c r="A1971" i="11"/>
  <c r="B1970" i="11"/>
  <c r="A1970" i="11"/>
  <c r="B1969" i="11"/>
  <c r="A1969" i="11"/>
  <c r="B1968" i="11"/>
  <c r="A1968" i="11"/>
  <c r="B1967" i="11"/>
  <c r="A1967" i="11"/>
  <c r="B1966" i="11"/>
  <c r="A1966" i="11"/>
  <c r="B1965" i="11"/>
  <c r="A1965" i="11"/>
  <c r="B1964" i="11"/>
  <c r="A1964" i="11"/>
  <c r="B1963" i="11"/>
  <c r="A1963" i="11"/>
  <c r="B1962" i="11"/>
  <c r="A1962" i="11"/>
  <c r="B1961" i="11"/>
  <c r="A1961" i="11"/>
  <c r="B1960" i="11"/>
  <c r="A1960" i="11"/>
  <c r="B1959" i="11"/>
  <c r="A1959" i="11"/>
  <c r="B1958" i="11"/>
  <c r="A1958" i="11"/>
  <c r="B1957" i="11"/>
  <c r="A1957" i="11"/>
  <c r="B1956" i="11"/>
  <c r="A1956" i="11"/>
  <c r="B1955" i="11"/>
  <c r="A1955" i="11"/>
  <c r="B1954" i="11"/>
  <c r="A1954" i="11"/>
  <c r="B1953" i="11"/>
  <c r="A1953" i="11"/>
  <c r="B1952" i="11"/>
  <c r="A1952" i="11"/>
  <c r="B1951" i="11"/>
  <c r="A1951" i="11"/>
  <c r="B1950" i="11"/>
  <c r="A1950" i="11"/>
  <c r="B1949" i="11"/>
  <c r="A1949" i="11"/>
  <c r="B1948" i="11"/>
  <c r="A1948" i="11"/>
  <c r="B1947" i="11"/>
  <c r="A1947" i="11"/>
  <c r="B1946" i="11"/>
  <c r="A1946" i="11"/>
  <c r="B1945" i="11"/>
  <c r="A1945" i="11"/>
  <c r="B1944" i="11"/>
  <c r="A1944" i="11"/>
  <c r="B1943" i="11"/>
  <c r="A1943" i="11"/>
  <c r="B1942" i="11"/>
  <c r="A1942" i="11"/>
  <c r="B1941" i="11"/>
  <c r="A1941" i="11"/>
  <c r="B1940" i="11"/>
  <c r="A1940" i="11"/>
  <c r="B1939" i="11"/>
  <c r="A1939" i="11"/>
  <c r="B1938" i="11"/>
  <c r="A1938" i="11"/>
  <c r="B1937" i="11"/>
  <c r="A1937" i="11"/>
  <c r="B1936" i="11"/>
  <c r="A1936" i="11"/>
  <c r="B1935" i="11"/>
  <c r="A1935" i="11"/>
  <c r="B1934" i="11"/>
  <c r="A1934" i="11"/>
  <c r="B1933" i="11"/>
  <c r="A1933" i="11"/>
  <c r="B1932" i="11"/>
  <c r="A1932" i="11"/>
  <c r="B1931" i="11"/>
  <c r="A1931" i="11"/>
  <c r="B1930" i="11"/>
  <c r="A1930" i="11"/>
  <c r="B1929" i="11"/>
  <c r="A1929" i="11"/>
  <c r="B1928" i="11"/>
  <c r="A1928" i="11"/>
  <c r="B1927" i="11"/>
  <c r="A1927" i="11"/>
  <c r="B1926" i="11"/>
  <c r="A1926" i="11"/>
  <c r="B1925" i="11"/>
  <c r="A1925" i="11"/>
  <c r="B1924" i="11"/>
  <c r="A1924" i="11"/>
  <c r="B1923" i="11"/>
  <c r="A1923" i="11"/>
  <c r="B1922" i="11"/>
  <c r="A1922" i="11"/>
  <c r="B1921" i="11"/>
  <c r="A1921" i="11"/>
  <c r="B1920" i="11"/>
  <c r="A1920" i="11"/>
  <c r="B1919" i="11"/>
  <c r="A1919" i="11"/>
  <c r="B1918" i="11"/>
  <c r="A1918" i="11"/>
  <c r="B1917" i="11"/>
  <c r="A1917" i="11"/>
  <c r="B1916" i="11"/>
  <c r="A1916" i="11"/>
  <c r="B1915" i="11"/>
  <c r="A1915" i="11"/>
  <c r="B1914" i="11"/>
  <c r="A1914" i="11"/>
  <c r="B1913" i="11"/>
  <c r="A1913" i="11"/>
  <c r="B1912" i="11"/>
  <c r="A1912" i="11"/>
  <c r="B1911" i="11"/>
  <c r="A1911" i="11"/>
  <c r="B1910" i="11"/>
  <c r="A1910" i="11"/>
  <c r="B1909" i="11"/>
  <c r="A1909" i="11"/>
  <c r="B1908" i="11"/>
  <c r="A1908" i="11"/>
  <c r="B1907" i="11"/>
  <c r="A1907" i="11"/>
  <c r="B1906" i="11"/>
  <c r="A1906" i="11"/>
  <c r="B1905" i="11"/>
  <c r="A1905" i="11"/>
  <c r="B1904" i="11"/>
  <c r="A1904" i="11"/>
  <c r="B1903" i="11"/>
  <c r="A1903" i="11"/>
  <c r="B1902" i="11"/>
  <c r="A1902" i="11"/>
  <c r="B1901" i="11"/>
  <c r="A1901" i="11"/>
  <c r="B1900" i="11"/>
  <c r="A1900" i="11"/>
  <c r="B1899" i="11"/>
  <c r="A1899" i="11"/>
  <c r="B1898" i="11"/>
  <c r="A1898" i="11"/>
  <c r="B1897" i="11"/>
  <c r="A1897" i="11"/>
  <c r="B1896" i="11"/>
  <c r="A1896" i="11"/>
  <c r="B1895" i="11"/>
  <c r="A1895" i="11"/>
  <c r="B1894" i="11"/>
  <c r="A1894" i="11"/>
  <c r="B1893" i="11"/>
  <c r="A1893" i="11"/>
  <c r="B1892" i="11"/>
  <c r="A1892" i="11"/>
  <c r="B1891" i="11"/>
  <c r="A1891" i="11"/>
  <c r="B1890" i="11"/>
  <c r="A1890" i="11"/>
  <c r="B1889" i="11"/>
  <c r="A1889" i="11"/>
  <c r="B1888" i="11"/>
  <c r="A1888" i="11"/>
  <c r="B1887" i="11"/>
  <c r="A1887" i="11"/>
  <c r="B1886" i="11"/>
  <c r="A1886" i="11"/>
  <c r="B1885" i="11"/>
  <c r="A1885" i="11"/>
  <c r="B1884" i="11"/>
  <c r="A1884" i="11"/>
  <c r="B1883" i="11"/>
  <c r="A1883" i="11"/>
  <c r="B1882" i="11"/>
  <c r="A1882" i="11"/>
  <c r="B1881" i="11"/>
  <c r="A1881" i="11"/>
  <c r="B1880" i="11"/>
  <c r="A1880" i="11"/>
  <c r="B1879" i="11"/>
  <c r="A1879" i="11"/>
  <c r="B1878" i="11"/>
  <c r="A1878" i="11"/>
  <c r="B1877" i="11"/>
  <c r="A1877" i="11"/>
  <c r="B1876" i="11"/>
  <c r="A1876" i="11"/>
  <c r="B1875" i="11"/>
  <c r="A1875" i="11"/>
  <c r="B1874" i="11"/>
  <c r="A1874" i="11"/>
  <c r="B1873" i="11"/>
  <c r="A1873" i="11"/>
  <c r="B1872" i="11"/>
  <c r="A1872" i="11"/>
  <c r="B1871" i="11"/>
  <c r="A1871" i="11"/>
  <c r="B1870" i="11"/>
  <c r="A1870" i="11"/>
  <c r="B1869" i="11"/>
  <c r="A1869" i="11"/>
  <c r="B1868" i="11"/>
  <c r="A1868" i="11"/>
  <c r="B1867" i="11"/>
  <c r="A1867" i="11"/>
  <c r="B1866" i="11"/>
  <c r="A1866" i="11"/>
  <c r="B1865" i="11"/>
  <c r="A1865" i="11"/>
  <c r="B1864" i="11"/>
  <c r="A1864" i="11"/>
  <c r="B1863" i="11"/>
  <c r="A1863" i="11"/>
  <c r="B1862" i="11"/>
  <c r="A1862" i="11"/>
  <c r="B1861" i="11"/>
  <c r="A1861" i="11"/>
  <c r="B1860" i="11"/>
  <c r="A1860" i="11"/>
  <c r="B1859" i="11"/>
  <c r="A1859" i="11"/>
  <c r="B1858" i="11"/>
  <c r="A1858" i="11"/>
  <c r="B1857" i="11"/>
  <c r="A1857" i="11"/>
  <c r="B1856" i="11"/>
  <c r="A1856" i="11"/>
  <c r="B1855" i="11"/>
  <c r="A1855" i="11"/>
  <c r="B1854" i="11"/>
  <c r="A1854" i="11"/>
  <c r="B1853" i="11"/>
  <c r="A1853" i="11"/>
  <c r="B1852" i="11"/>
  <c r="A1852" i="11"/>
  <c r="B1851" i="11"/>
  <c r="A1851" i="11"/>
  <c r="B1850" i="11"/>
  <c r="A1850" i="11"/>
  <c r="B1849" i="11"/>
  <c r="A1849" i="11"/>
  <c r="B1848" i="11"/>
  <c r="A1848" i="11"/>
  <c r="B1847" i="11"/>
  <c r="A1847" i="11"/>
  <c r="B1846" i="11"/>
  <c r="A1846" i="11"/>
  <c r="B1845" i="11"/>
  <c r="A1845" i="11"/>
  <c r="B1844" i="11"/>
  <c r="A1844" i="11"/>
  <c r="B1843" i="11"/>
  <c r="A1843" i="11"/>
  <c r="B1842" i="11"/>
  <c r="A1842" i="11"/>
  <c r="B1841" i="11"/>
  <c r="A1841" i="11"/>
  <c r="B1840" i="11"/>
  <c r="A1840" i="11"/>
  <c r="B1839" i="11"/>
  <c r="A1839" i="11"/>
  <c r="B1838" i="11"/>
  <c r="A1838" i="11"/>
  <c r="B1837" i="11"/>
  <c r="A1837" i="11"/>
  <c r="B1836" i="11"/>
  <c r="A1836" i="11"/>
  <c r="B1835" i="11"/>
  <c r="A1835" i="11"/>
  <c r="B1834" i="11"/>
  <c r="A1834" i="11"/>
  <c r="B1833" i="11"/>
  <c r="A1833" i="11"/>
  <c r="B1832" i="11"/>
  <c r="A1832" i="11"/>
  <c r="B1831" i="11"/>
  <c r="A1831" i="11"/>
  <c r="B1830" i="11"/>
  <c r="A1830" i="11"/>
  <c r="B1829" i="11"/>
  <c r="A1829" i="11"/>
  <c r="B1828" i="11"/>
  <c r="A1828" i="11"/>
  <c r="B1827" i="11"/>
  <c r="A1827" i="11"/>
  <c r="B1826" i="11"/>
  <c r="A1826" i="11"/>
  <c r="B1825" i="11"/>
  <c r="A1825" i="11"/>
  <c r="B1824" i="11"/>
  <c r="A1824" i="11"/>
  <c r="B1823" i="11"/>
  <c r="A1823" i="11"/>
  <c r="B1822" i="11"/>
  <c r="A1822" i="11"/>
  <c r="B1821" i="11"/>
  <c r="A1821" i="11"/>
  <c r="B1820" i="11"/>
  <c r="A1820" i="11"/>
  <c r="B1819" i="11"/>
  <c r="A1819" i="11"/>
  <c r="B1818" i="11"/>
  <c r="A1818" i="11"/>
  <c r="B1817" i="11"/>
  <c r="A1817" i="11"/>
  <c r="B1816" i="11"/>
  <c r="A1816" i="11"/>
  <c r="B1815" i="11"/>
  <c r="A1815" i="11"/>
  <c r="B1814" i="11"/>
  <c r="A1814" i="11"/>
  <c r="B1813" i="11"/>
  <c r="A1813" i="11"/>
  <c r="B1812" i="11"/>
  <c r="A1812" i="11"/>
  <c r="B1811" i="11"/>
  <c r="A1811" i="11"/>
  <c r="B1810" i="11"/>
  <c r="A1810" i="11"/>
  <c r="B1809" i="11"/>
  <c r="A1809" i="11"/>
  <c r="B1808" i="11"/>
  <c r="A1808" i="11"/>
  <c r="B1807" i="11"/>
  <c r="A1807" i="11"/>
  <c r="B1806" i="11"/>
  <c r="A1806" i="11"/>
  <c r="B1805" i="11"/>
  <c r="A1805" i="11"/>
  <c r="B1804" i="11"/>
  <c r="A1804" i="11"/>
  <c r="B1803" i="11"/>
  <c r="A1803" i="11"/>
  <c r="B1802" i="11"/>
  <c r="A1802" i="11"/>
  <c r="B1801" i="11"/>
  <c r="A1801" i="11"/>
  <c r="B1800" i="11"/>
  <c r="A1800" i="11"/>
  <c r="B1799" i="11"/>
  <c r="A1799" i="11"/>
  <c r="B1798" i="11"/>
  <c r="A1798" i="11"/>
  <c r="B1797" i="11"/>
  <c r="A1797" i="11"/>
  <c r="B1796" i="11"/>
  <c r="A1796" i="11"/>
  <c r="B1795" i="11"/>
  <c r="A1795" i="11"/>
  <c r="B1794" i="11"/>
  <c r="A1794" i="11"/>
  <c r="B1793" i="11"/>
  <c r="A1793" i="11"/>
  <c r="B1792" i="11"/>
  <c r="A1792" i="11"/>
  <c r="B1791" i="11"/>
  <c r="A1791" i="11"/>
  <c r="B1790" i="11"/>
  <c r="A1790" i="11"/>
  <c r="B1789" i="11"/>
  <c r="A1789" i="11"/>
  <c r="B1788" i="11"/>
  <c r="A1788" i="11"/>
  <c r="B1787" i="11"/>
  <c r="A1787" i="11"/>
  <c r="B1786" i="11"/>
  <c r="A1786" i="11"/>
  <c r="B1785" i="11"/>
  <c r="A1785" i="11"/>
  <c r="B1784" i="11"/>
  <c r="A1784" i="11"/>
  <c r="B1783" i="11"/>
  <c r="A1783" i="11"/>
  <c r="B1782" i="11"/>
  <c r="A1782" i="11"/>
  <c r="B1781" i="11"/>
  <c r="A1781" i="11"/>
  <c r="B1780" i="11"/>
  <c r="A1780" i="11"/>
  <c r="B1779" i="11"/>
  <c r="A1779" i="11"/>
  <c r="B1778" i="11"/>
  <c r="A1778" i="11"/>
  <c r="B1777" i="11"/>
  <c r="A1777" i="11"/>
  <c r="B1776" i="11"/>
  <c r="A1776" i="11"/>
  <c r="B1775" i="11"/>
  <c r="A1775" i="11"/>
  <c r="B1774" i="11"/>
  <c r="A1774" i="11"/>
  <c r="B1773" i="11"/>
  <c r="A1773" i="11"/>
  <c r="B1772" i="11"/>
  <c r="A1772" i="11"/>
  <c r="B1771" i="11"/>
  <c r="A1771" i="11"/>
  <c r="B1770" i="11"/>
  <c r="A1770" i="11"/>
  <c r="B1769" i="11"/>
  <c r="A1769" i="11"/>
  <c r="B1768" i="11"/>
  <c r="A1768" i="11"/>
  <c r="B1767" i="11"/>
  <c r="A1767" i="11"/>
  <c r="B1766" i="11"/>
  <c r="A1766" i="11"/>
  <c r="B1765" i="11"/>
  <c r="A1765" i="11"/>
  <c r="B1764" i="11"/>
  <c r="A1764" i="11"/>
  <c r="B1763" i="11"/>
  <c r="A1763" i="11"/>
  <c r="B1762" i="11"/>
  <c r="A1762" i="11"/>
  <c r="B1761" i="11"/>
  <c r="A1761" i="11"/>
  <c r="B1760" i="11"/>
  <c r="A1760" i="11"/>
  <c r="B1759" i="11"/>
  <c r="A1759" i="11"/>
  <c r="B1758" i="11"/>
  <c r="A1758" i="11"/>
  <c r="B1757" i="11"/>
  <c r="A1757" i="11"/>
  <c r="B1756" i="11"/>
  <c r="A1756" i="11"/>
  <c r="B1755" i="11"/>
  <c r="A1755" i="11"/>
  <c r="B1754" i="11"/>
  <c r="A1754" i="11"/>
  <c r="B1753" i="11"/>
  <c r="A1753" i="11"/>
  <c r="B1752" i="11"/>
  <c r="A1752" i="11"/>
  <c r="B1751" i="11"/>
  <c r="A1751" i="11"/>
  <c r="B1750" i="11"/>
  <c r="A1750" i="11"/>
  <c r="B1749" i="11"/>
  <c r="A1749" i="11"/>
  <c r="B1748" i="11"/>
  <c r="A1748" i="11"/>
  <c r="B1747" i="11"/>
  <c r="A1747" i="11"/>
  <c r="B1746" i="11"/>
  <c r="A1746" i="11"/>
  <c r="B1745" i="11"/>
  <c r="A1745" i="11"/>
  <c r="B1744" i="11"/>
  <c r="A1744" i="11"/>
  <c r="B1743" i="11"/>
  <c r="A1743" i="11"/>
  <c r="B1742" i="11"/>
  <c r="A1742" i="11"/>
  <c r="B1741" i="11"/>
  <c r="A1741" i="11"/>
  <c r="B1740" i="11"/>
  <c r="A1740" i="11"/>
  <c r="B1739" i="11"/>
  <c r="A1739" i="11"/>
  <c r="B1738" i="11"/>
  <c r="A1738" i="11"/>
  <c r="B1737" i="11"/>
  <c r="A1737" i="11"/>
  <c r="B1736" i="11"/>
  <c r="A1736" i="11"/>
  <c r="B1735" i="11"/>
  <c r="A1735" i="11"/>
  <c r="B1734" i="11"/>
  <c r="A1734" i="11"/>
  <c r="B1733" i="11"/>
  <c r="A1733" i="11"/>
  <c r="B1732" i="11"/>
  <c r="A1732" i="11"/>
  <c r="B1731" i="11"/>
  <c r="A1731" i="11"/>
  <c r="B1730" i="11"/>
  <c r="A1730" i="11"/>
  <c r="B1729" i="11"/>
  <c r="A1729" i="11"/>
  <c r="B1728" i="11"/>
  <c r="A1728" i="11"/>
  <c r="B1727" i="11"/>
  <c r="A1727" i="11"/>
  <c r="B1726" i="11"/>
  <c r="A1726" i="11"/>
  <c r="B1725" i="11"/>
  <c r="A1725" i="11"/>
  <c r="B1724" i="11"/>
  <c r="A1724" i="11"/>
  <c r="B1723" i="11"/>
  <c r="A1723" i="11"/>
  <c r="B1722" i="11"/>
  <c r="A1722" i="11"/>
  <c r="B1721" i="11"/>
  <c r="A1721" i="11"/>
  <c r="B1720" i="11"/>
  <c r="A1720" i="11"/>
  <c r="B1719" i="11"/>
  <c r="A1719" i="11"/>
  <c r="B1718" i="11"/>
  <c r="A1718" i="11"/>
  <c r="B1717" i="11"/>
  <c r="A1717" i="11"/>
  <c r="B1716" i="11"/>
  <c r="A1716" i="11"/>
  <c r="B1715" i="11"/>
  <c r="A1715" i="11"/>
  <c r="B1714" i="11"/>
  <c r="A1714" i="11"/>
  <c r="B1713" i="11"/>
  <c r="A1713" i="11"/>
  <c r="B1712" i="11"/>
  <c r="A1712" i="11"/>
  <c r="B1711" i="11"/>
  <c r="A1711" i="11"/>
  <c r="B1710" i="11"/>
  <c r="A1710" i="11"/>
  <c r="B1709" i="11"/>
  <c r="A1709" i="11"/>
  <c r="B1708" i="11"/>
  <c r="A1708" i="11"/>
  <c r="B1707" i="11"/>
  <c r="A1707" i="11"/>
  <c r="B1706" i="11"/>
  <c r="A1706" i="11"/>
  <c r="B1705" i="11"/>
  <c r="A1705" i="11"/>
  <c r="B1704" i="11"/>
  <c r="A1704" i="11"/>
  <c r="B1703" i="11"/>
  <c r="A1703" i="11"/>
  <c r="B1702" i="11"/>
  <c r="A1702" i="11"/>
  <c r="B1701" i="11"/>
  <c r="A1701" i="11"/>
  <c r="B1700" i="11"/>
  <c r="A1700" i="11"/>
  <c r="B1699" i="11"/>
  <c r="A1699" i="11"/>
  <c r="B1698" i="11"/>
  <c r="A1698" i="11"/>
  <c r="B1697" i="11"/>
  <c r="A1697" i="11"/>
  <c r="B1696" i="11"/>
  <c r="A1696" i="11"/>
  <c r="B1695" i="11"/>
  <c r="A1695" i="11"/>
  <c r="B1694" i="11"/>
  <c r="A1694" i="11"/>
  <c r="B1693" i="11"/>
  <c r="A1693" i="11"/>
  <c r="B1692" i="11"/>
  <c r="A1692" i="11"/>
  <c r="B1691" i="11"/>
  <c r="A1691" i="11"/>
  <c r="B1690" i="11"/>
  <c r="A1690" i="11"/>
  <c r="B1689" i="11"/>
  <c r="A1689" i="11"/>
  <c r="B1688" i="11"/>
  <c r="A1688" i="11"/>
  <c r="B1687" i="11"/>
  <c r="A1687" i="11"/>
  <c r="B1686" i="11"/>
  <c r="A1686" i="11"/>
  <c r="B1685" i="11"/>
  <c r="A1685" i="11"/>
  <c r="B1684" i="11"/>
  <c r="A1684" i="11"/>
  <c r="B1683" i="11"/>
  <c r="A1683" i="11"/>
  <c r="B1682" i="11"/>
  <c r="A1682" i="11"/>
  <c r="B1681" i="11"/>
  <c r="A1681" i="11"/>
  <c r="B1680" i="11"/>
  <c r="A1680" i="11"/>
  <c r="B1679" i="11"/>
  <c r="A1679" i="11"/>
  <c r="B1678" i="11"/>
  <c r="A1678" i="11"/>
  <c r="B1677" i="11"/>
  <c r="A1677" i="11"/>
  <c r="B1676" i="11"/>
  <c r="A1676" i="11"/>
  <c r="B1675" i="11"/>
  <c r="A1675" i="11"/>
  <c r="B1674" i="11"/>
  <c r="A1674" i="11"/>
  <c r="B1673" i="11"/>
  <c r="A1673" i="11"/>
  <c r="B1672" i="11"/>
  <c r="A1672" i="11"/>
  <c r="B1671" i="11"/>
  <c r="A1671" i="11"/>
  <c r="B1670" i="11"/>
  <c r="A1670" i="11"/>
  <c r="B1669" i="11"/>
  <c r="A1669" i="11"/>
  <c r="B1668" i="11"/>
  <c r="A1668" i="11"/>
  <c r="B1667" i="11"/>
  <c r="A1667" i="11"/>
  <c r="B1666" i="11"/>
  <c r="A1666" i="11"/>
  <c r="B1665" i="11"/>
  <c r="A1665" i="11"/>
  <c r="B1664" i="11"/>
  <c r="A1664" i="11"/>
  <c r="B1663" i="11"/>
  <c r="A1663" i="11"/>
  <c r="B1662" i="11"/>
  <c r="A1662" i="11"/>
  <c r="B1661" i="11"/>
  <c r="A1661" i="11"/>
  <c r="B1660" i="11"/>
  <c r="A1660" i="11"/>
  <c r="B1659" i="11"/>
  <c r="A1659" i="11"/>
  <c r="B1658" i="11"/>
  <c r="A1658" i="11"/>
  <c r="B1657" i="11"/>
  <c r="A1657" i="11"/>
  <c r="B1656" i="11"/>
  <c r="A1656" i="11"/>
  <c r="B1655" i="11"/>
  <c r="A1655" i="11"/>
  <c r="B1654" i="11"/>
  <c r="A1654" i="11"/>
  <c r="B1653" i="11"/>
  <c r="A1653" i="11"/>
  <c r="B1652" i="11"/>
  <c r="A1652" i="11"/>
  <c r="B1651" i="11"/>
  <c r="A1651" i="11"/>
  <c r="B1650" i="11"/>
  <c r="A1650" i="11"/>
  <c r="B1649" i="11"/>
  <c r="A1649" i="11"/>
  <c r="B1648" i="11"/>
  <c r="A1648" i="11"/>
  <c r="B1647" i="11"/>
  <c r="A1647" i="11"/>
  <c r="B1646" i="11"/>
  <c r="A1646" i="11"/>
  <c r="B1645" i="11"/>
  <c r="A1645" i="11"/>
  <c r="B1644" i="11"/>
  <c r="A1644" i="11"/>
  <c r="B1643" i="11"/>
  <c r="A1643" i="11"/>
  <c r="B1642" i="11"/>
  <c r="A1642" i="11"/>
  <c r="B1641" i="11"/>
  <c r="A1641" i="11"/>
  <c r="B1640" i="11"/>
  <c r="A1640" i="11"/>
  <c r="B1639" i="11"/>
  <c r="A1639" i="11"/>
  <c r="B1638" i="11"/>
  <c r="A1638" i="11"/>
  <c r="B1637" i="11"/>
  <c r="A1637" i="11"/>
  <c r="B1636" i="11"/>
  <c r="A1636" i="11"/>
  <c r="B1635" i="11"/>
  <c r="A1635" i="11"/>
  <c r="B1634" i="11"/>
  <c r="A1634" i="11"/>
  <c r="B1633" i="11"/>
  <c r="A1633" i="11"/>
  <c r="B1632" i="11"/>
  <c r="A1632" i="11"/>
  <c r="B1631" i="11"/>
  <c r="A1631" i="11"/>
  <c r="B1630" i="11"/>
  <c r="A1630" i="11"/>
  <c r="B1629" i="11"/>
  <c r="A1629" i="11"/>
  <c r="B1628" i="11"/>
  <c r="A1628" i="11"/>
  <c r="B1627" i="11"/>
  <c r="A1627" i="11"/>
  <c r="B1626" i="11"/>
  <c r="A1626" i="11"/>
  <c r="B1625" i="11"/>
  <c r="A1625" i="11"/>
  <c r="B1624" i="11"/>
  <c r="A1624" i="11"/>
  <c r="B1623" i="11"/>
  <c r="A1623" i="11"/>
  <c r="B1622" i="11"/>
  <c r="A1622" i="11"/>
  <c r="B1621" i="11"/>
  <c r="A1621" i="11"/>
  <c r="B1620" i="11"/>
  <c r="A1620" i="11"/>
  <c r="B1619" i="11"/>
  <c r="A1619" i="11"/>
  <c r="B1618" i="11"/>
  <c r="A1618" i="11"/>
  <c r="B1617" i="11"/>
  <c r="A1617" i="11"/>
  <c r="B1616" i="11"/>
  <c r="A1616" i="11"/>
  <c r="B1615" i="11"/>
  <c r="A1615" i="11"/>
  <c r="B1614" i="11"/>
  <c r="A1614" i="11"/>
  <c r="B1613" i="11"/>
  <c r="A1613" i="11"/>
  <c r="B1612" i="11"/>
  <c r="A1612" i="11"/>
  <c r="B1611" i="11"/>
  <c r="A1611" i="11"/>
  <c r="B1610" i="11"/>
  <c r="A1610" i="11"/>
  <c r="B1609" i="11"/>
  <c r="A1609" i="11"/>
  <c r="B1608" i="11"/>
  <c r="A1608" i="11"/>
  <c r="B1607" i="11"/>
  <c r="A1607" i="11"/>
  <c r="B1606" i="11"/>
  <c r="A1606" i="11"/>
  <c r="B1605" i="11"/>
  <c r="A1605" i="11"/>
  <c r="B1604" i="11"/>
  <c r="A1604" i="11"/>
  <c r="B1603" i="11"/>
  <c r="A1603" i="11"/>
  <c r="B1602" i="11"/>
  <c r="A1602" i="11"/>
  <c r="B1601" i="11"/>
  <c r="A1601" i="11"/>
  <c r="B1600" i="11"/>
  <c r="A1600" i="11"/>
  <c r="B1599" i="11"/>
  <c r="A1599" i="11"/>
  <c r="B1598" i="11"/>
  <c r="A1598" i="11"/>
  <c r="B1597" i="11"/>
  <c r="A1597" i="11"/>
  <c r="B1596" i="11"/>
  <c r="A1596" i="11"/>
  <c r="B1595" i="11"/>
  <c r="A1595" i="11"/>
  <c r="B1594" i="11"/>
  <c r="A1594" i="11"/>
  <c r="B1593" i="11"/>
  <c r="A1593" i="11"/>
  <c r="B1592" i="11"/>
  <c r="A1592" i="11"/>
  <c r="B1591" i="11"/>
  <c r="A1591" i="11"/>
  <c r="B1590" i="11"/>
  <c r="A1590" i="11"/>
  <c r="B1589" i="11"/>
  <c r="A1589" i="11"/>
  <c r="B1588" i="11"/>
  <c r="A1588" i="11"/>
  <c r="B1587" i="11"/>
  <c r="A1587" i="11"/>
  <c r="B1586" i="11"/>
  <c r="A1586" i="11"/>
  <c r="B1585" i="11"/>
  <c r="A1585" i="11"/>
  <c r="B1584" i="11"/>
  <c r="A1584" i="11"/>
  <c r="B1583" i="11"/>
  <c r="A1583" i="11"/>
  <c r="B1582" i="11"/>
  <c r="A1582" i="11"/>
  <c r="B1581" i="11"/>
  <c r="A1581" i="11"/>
  <c r="B1580" i="11"/>
  <c r="A1580" i="11"/>
  <c r="B1579" i="11"/>
  <c r="A1579" i="11"/>
  <c r="B1578" i="11"/>
  <c r="A1578" i="11"/>
  <c r="B1577" i="11"/>
  <c r="A1577" i="11"/>
  <c r="B1576" i="11"/>
  <c r="A1576" i="11"/>
  <c r="B1575" i="11"/>
  <c r="A1575" i="11"/>
  <c r="B1574" i="11"/>
  <c r="A1574" i="11"/>
  <c r="B1573" i="11"/>
  <c r="A1573" i="11"/>
  <c r="B1572" i="11"/>
  <c r="A1572" i="11"/>
  <c r="B1571" i="11"/>
  <c r="A1571" i="11"/>
  <c r="B1570" i="11"/>
  <c r="A1570" i="11"/>
  <c r="B1569" i="11"/>
  <c r="A1569" i="11"/>
  <c r="B1568" i="11"/>
  <c r="A1568" i="11"/>
  <c r="B1567" i="11"/>
  <c r="A1567" i="11"/>
  <c r="B1566" i="11"/>
  <c r="A1566" i="11"/>
  <c r="B1565" i="11"/>
  <c r="A1565" i="11"/>
  <c r="B1564" i="11"/>
  <c r="A1564" i="11"/>
  <c r="B1563" i="11"/>
  <c r="A1563" i="11"/>
  <c r="B1562" i="11"/>
  <c r="A1562" i="11"/>
  <c r="B1561" i="11"/>
  <c r="A1561" i="11"/>
  <c r="B1560" i="11"/>
  <c r="A1560" i="11"/>
  <c r="B1559" i="11"/>
  <c r="A1559" i="11"/>
  <c r="B1558" i="11"/>
  <c r="A1558" i="11"/>
  <c r="B1557" i="11"/>
  <c r="A1557" i="11"/>
  <c r="B1556" i="11"/>
  <c r="A1556" i="11"/>
  <c r="B1555" i="11"/>
  <c r="A1555" i="11"/>
  <c r="B1554" i="11"/>
  <c r="A1554" i="11"/>
  <c r="B1553" i="11"/>
  <c r="A1553" i="11"/>
  <c r="B1552" i="11"/>
  <c r="A1552" i="11"/>
  <c r="B1551" i="11"/>
  <c r="A1551" i="11"/>
  <c r="B1550" i="11"/>
  <c r="A1550" i="11"/>
  <c r="B1549" i="11"/>
  <c r="A1549" i="11"/>
  <c r="B1548" i="11"/>
  <c r="A1548" i="11"/>
  <c r="B1547" i="11"/>
  <c r="A1547" i="11"/>
  <c r="B1546" i="11"/>
  <c r="A1546" i="11"/>
  <c r="B1545" i="11"/>
  <c r="A1545" i="11"/>
  <c r="B1544" i="11"/>
  <c r="A1544" i="11"/>
  <c r="B1543" i="11"/>
  <c r="A1543" i="11"/>
  <c r="B1542" i="11"/>
  <c r="A1542" i="11"/>
  <c r="B1541" i="11"/>
  <c r="A1541" i="11"/>
  <c r="B1540" i="11"/>
  <c r="A1540" i="11"/>
  <c r="B1539" i="11"/>
  <c r="A1539" i="11"/>
  <c r="B1538" i="11"/>
  <c r="A1538" i="11"/>
  <c r="B1537" i="11"/>
  <c r="A1537" i="11"/>
  <c r="B1536" i="11"/>
  <c r="A1536" i="11"/>
  <c r="B1535" i="11"/>
  <c r="A1535" i="11"/>
  <c r="B1534" i="11"/>
  <c r="A1534" i="11"/>
  <c r="B1533" i="11"/>
  <c r="A1533" i="11"/>
  <c r="B1532" i="11"/>
  <c r="A1532" i="11"/>
  <c r="B1531" i="11"/>
  <c r="A1531" i="11"/>
  <c r="B1530" i="11"/>
  <c r="A1530" i="11"/>
  <c r="B1529" i="11"/>
  <c r="A1529" i="11"/>
  <c r="B1528" i="11"/>
  <c r="A1528" i="11"/>
  <c r="B1527" i="11"/>
  <c r="A1527" i="11"/>
  <c r="B1526" i="11"/>
  <c r="A1526" i="11"/>
  <c r="B1525" i="11"/>
  <c r="A1525" i="11"/>
  <c r="B1524" i="11"/>
  <c r="A1524" i="11"/>
  <c r="B1523" i="11"/>
  <c r="A1523" i="11"/>
  <c r="B1522" i="11"/>
  <c r="A1522" i="11"/>
  <c r="B1521" i="11"/>
  <c r="A1521" i="11"/>
  <c r="B1520" i="11"/>
  <c r="A1520" i="11"/>
  <c r="B1519" i="11"/>
  <c r="A1519" i="11"/>
  <c r="B1518" i="11"/>
  <c r="A1518" i="11"/>
  <c r="B1517" i="11"/>
  <c r="A1517" i="11"/>
  <c r="B1516" i="11"/>
  <c r="A1516" i="11"/>
  <c r="B1515" i="11"/>
  <c r="A1515" i="11"/>
  <c r="B1514" i="11"/>
  <c r="A1514" i="11"/>
  <c r="B1513" i="11"/>
  <c r="A1513" i="11"/>
  <c r="B1512" i="11"/>
  <c r="A1512" i="11"/>
  <c r="B1511" i="11"/>
  <c r="A1511" i="11"/>
  <c r="B1510" i="11"/>
  <c r="A1510" i="11"/>
  <c r="B1509" i="11"/>
  <c r="A1509" i="11"/>
  <c r="B1508" i="11"/>
  <c r="A1508" i="11"/>
  <c r="B1507" i="11"/>
  <c r="A1507" i="11"/>
  <c r="B1506" i="11"/>
  <c r="A1506" i="11"/>
  <c r="B1505" i="11"/>
  <c r="A1505" i="11"/>
  <c r="B1504" i="11"/>
  <c r="A1504" i="11"/>
  <c r="B1503" i="11"/>
  <c r="A1503" i="11"/>
  <c r="B1502" i="11"/>
  <c r="A1502" i="11"/>
  <c r="B1501" i="11"/>
  <c r="A1501" i="11"/>
  <c r="B1500" i="11"/>
  <c r="A1500" i="11"/>
  <c r="B1499" i="11"/>
  <c r="A1499" i="11"/>
  <c r="B1498" i="11"/>
  <c r="A1498" i="11"/>
  <c r="B1497" i="11"/>
  <c r="A1497" i="11"/>
  <c r="B1496" i="11"/>
  <c r="A1496" i="11"/>
  <c r="B1495" i="11"/>
  <c r="A1495" i="11"/>
  <c r="B1494" i="11"/>
  <c r="A1494" i="11"/>
  <c r="B1493" i="11"/>
  <c r="A1493" i="11"/>
  <c r="B1492" i="11"/>
  <c r="A1492" i="11"/>
  <c r="B1491" i="11"/>
  <c r="A1491" i="11"/>
  <c r="B1490" i="11"/>
  <c r="A1490" i="11"/>
  <c r="B1489" i="11"/>
  <c r="A1489" i="11"/>
  <c r="B1488" i="11"/>
  <c r="A1488" i="11"/>
  <c r="B1487" i="11"/>
  <c r="A1487" i="11"/>
  <c r="B1486" i="11"/>
  <c r="A1486" i="11"/>
  <c r="B1485" i="11"/>
  <c r="A1485" i="11"/>
  <c r="B1484" i="11"/>
  <c r="A1484" i="11"/>
  <c r="B1483" i="11"/>
  <c r="A1483" i="11"/>
  <c r="B1482" i="11"/>
  <c r="A1482" i="11"/>
  <c r="B1481" i="11"/>
  <c r="A1481" i="11"/>
  <c r="B1480" i="11"/>
  <c r="A1480" i="11"/>
  <c r="B1479" i="11"/>
  <c r="A1479" i="11"/>
  <c r="B1478" i="11"/>
  <c r="A1478" i="11"/>
  <c r="B1477" i="11"/>
  <c r="A1477" i="11"/>
  <c r="B1476" i="11"/>
  <c r="A1476" i="11"/>
  <c r="B1475" i="11"/>
  <c r="A1475" i="11"/>
  <c r="B1474" i="11"/>
  <c r="A1474" i="11"/>
  <c r="B1473" i="11"/>
  <c r="A1473" i="11"/>
  <c r="B1472" i="11"/>
  <c r="A1472" i="11"/>
  <c r="B1471" i="11"/>
  <c r="A1471" i="11"/>
  <c r="B1470" i="11"/>
  <c r="A1470" i="11"/>
  <c r="B1469" i="11"/>
  <c r="A1469" i="11"/>
  <c r="B1468" i="11"/>
  <c r="A1468" i="11"/>
  <c r="B1467" i="11"/>
  <c r="A1467" i="11"/>
  <c r="B1466" i="11"/>
  <c r="A1466" i="11"/>
  <c r="B1465" i="11"/>
  <c r="A1465" i="11"/>
  <c r="B1464" i="11"/>
  <c r="A1464" i="11"/>
  <c r="B1463" i="11"/>
  <c r="A1463" i="11"/>
  <c r="B1462" i="11"/>
  <c r="A1462" i="11"/>
  <c r="B1461" i="11"/>
  <c r="A1461" i="11"/>
  <c r="B1460" i="11"/>
  <c r="A1460" i="11"/>
  <c r="B1459" i="11"/>
  <c r="A1459" i="11"/>
  <c r="B1458" i="11"/>
  <c r="A1458" i="11"/>
  <c r="B1457" i="11"/>
  <c r="A1457" i="11"/>
  <c r="B1456" i="11"/>
  <c r="A1456" i="11"/>
  <c r="B1455" i="11"/>
  <c r="A1455" i="11"/>
  <c r="B1454" i="11"/>
  <c r="A1454" i="11"/>
  <c r="B1453" i="11"/>
  <c r="A1453" i="11"/>
  <c r="B1452" i="11"/>
  <c r="A1452" i="11"/>
  <c r="B1451" i="11"/>
  <c r="A1451" i="11"/>
  <c r="B1450" i="11"/>
  <c r="A1450" i="11"/>
  <c r="B1449" i="11"/>
  <c r="A1449" i="11"/>
  <c r="B1448" i="11"/>
  <c r="A1448" i="11"/>
  <c r="B1447" i="11"/>
  <c r="A1447" i="11"/>
  <c r="B1446" i="11"/>
  <c r="A1446" i="11"/>
  <c r="B1445" i="11"/>
  <c r="A1445" i="11"/>
  <c r="B1444" i="11"/>
  <c r="A1444" i="11"/>
  <c r="B1443" i="11"/>
  <c r="A1443" i="11"/>
  <c r="B1442" i="11"/>
  <c r="A1442" i="11"/>
  <c r="B1441" i="11"/>
  <c r="A1441" i="11"/>
  <c r="B1440" i="11"/>
  <c r="A1440" i="11"/>
  <c r="B1439" i="11"/>
  <c r="A1439" i="11"/>
  <c r="B1438" i="11"/>
  <c r="A1438" i="11"/>
  <c r="B1437" i="11"/>
  <c r="A1437" i="11"/>
  <c r="B1436" i="11"/>
  <c r="A1436" i="11"/>
  <c r="B1435" i="11"/>
  <c r="A1435" i="11"/>
  <c r="B1434" i="11"/>
  <c r="A1434" i="11"/>
  <c r="B1433" i="11"/>
  <c r="A1433" i="11"/>
  <c r="B1432" i="11"/>
  <c r="A1432" i="11"/>
  <c r="B1431" i="11"/>
  <c r="A1431" i="11"/>
  <c r="B1430" i="11"/>
  <c r="A1430" i="11"/>
  <c r="B1429" i="11"/>
  <c r="A1429" i="11"/>
  <c r="B1428" i="11"/>
  <c r="A1428" i="11"/>
  <c r="B1427" i="11"/>
  <c r="A1427" i="11"/>
  <c r="B1426" i="11"/>
  <c r="A1426" i="11"/>
  <c r="B1425" i="11"/>
  <c r="A1425" i="11"/>
  <c r="B1424" i="11"/>
  <c r="A1424" i="11"/>
  <c r="B1423" i="11"/>
  <c r="A1423" i="11"/>
  <c r="B1422" i="11"/>
  <c r="A1422" i="11"/>
  <c r="B1421" i="11"/>
  <c r="A1421" i="11"/>
  <c r="B1420" i="11"/>
  <c r="A1420" i="11"/>
  <c r="B1419" i="11"/>
  <c r="A1419" i="11"/>
  <c r="B1418" i="11"/>
  <c r="A1418" i="11"/>
  <c r="B1417" i="11"/>
  <c r="A1417" i="11"/>
  <c r="B1416" i="11"/>
  <c r="A1416" i="11"/>
  <c r="B1415" i="11"/>
  <c r="A1415" i="11"/>
  <c r="B1414" i="11"/>
  <c r="A1414" i="11"/>
  <c r="B1413" i="11"/>
  <c r="A1413" i="11"/>
  <c r="B1412" i="11"/>
  <c r="A1412" i="11"/>
  <c r="B1411" i="11"/>
  <c r="A1411" i="11"/>
  <c r="B1410" i="11"/>
  <c r="A1410" i="11"/>
  <c r="B1409" i="11"/>
  <c r="A1409" i="11"/>
  <c r="B1408" i="11"/>
  <c r="A1408" i="11"/>
  <c r="B1407" i="11"/>
  <c r="A1407" i="11"/>
  <c r="B1406" i="11"/>
  <c r="A1406" i="11"/>
  <c r="B1405" i="11"/>
  <c r="A1405" i="11"/>
  <c r="B1404" i="11"/>
  <c r="A1404" i="11"/>
  <c r="B1403" i="11"/>
  <c r="A1403" i="11"/>
  <c r="B1402" i="11"/>
  <c r="A1402" i="11"/>
  <c r="B1401" i="11"/>
  <c r="A1401" i="11"/>
  <c r="B1400" i="11"/>
  <c r="A1400" i="11"/>
  <c r="B1399" i="11"/>
  <c r="A1399" i="11"/>
  <c r="B1398" i="11"/>
  <c r="A1398" i="11"/>
  <c r="B1397" i="11"/>
  <c r="A1397" i="11"/>
  <c r="B1396" i="11"/>
  <c r="A1396" i="11"/>
  <c r="B1395" i="11"/>
  <c r="A1395" i="11"/>
  <c r="B1394" i="11"/>
  <c r="A1394" i="11"/>
  <c r="B1393" i="11"/>
  <c r="A1393" i="11"/>
  <c r="B1392" i="11"/>
  <c r="A1392" i="11"/>
  <c r="B1391" i="11"/>
  <c r="A1391" i="11"/>
  <c r="B1390" i="11"/>
  <c r="A1390" i="11"/>
  <c r="B1389" i="11"/>
  <c r="A1389" i="11"/>
  <c r="B1388" i="11"/>
  <c r="A1388" i="11"/>
  <c r="B1387" i="11"/>
  <c r="A1387" i="11"/>
  <c r="B1386" i="11"/>
  <c r="A1386" i="11"/>
  <c r="B1385" i="11"/>
  <c r="A1385" i="11"/>
  <c r="B1384" i="11"/>
  <c r="A1384" i="11"/>
  <c r="B1383" i="11"/>
  <c r="A1383" i="11"/>
  <c r="B1382" i="11"/>
  <c r="A1382" i="11"/>
  <c r="B1381" i="11"/>
  <c r="A1381" i="11"/>
  <c r="B1380" i="11"/>
  <c r="A1380" i="11"/>
  <c r="B1379" i="11"/>
  <c r="A1379" i="11"/>
  <c r="B1378" i="11"/>
  <c r="A1378" i="11"/>
  <c r="B1377" i="11"/>
  <c r="A1377" i="11"/>
  <c r="B1376" i="11"/>
  <c r="A1376" i="11"/>
  <c r="B1375" i="11"/>
  <c r="A1375" i="11"/>
  <c r="B1374" i="11"/>
  <c r="A1374" i="11"/>
  <c r="B1373" i="11"/>
  <c r="A1373" i="11"/>
  <c r="B1372" i="11"/>
  <c r="A1372" i="11"/>
  <c r="B1371" i="11"/>
  <c r="A1371" i="11"/>
  <c r="B1370" i="11"/>
  <c r="A1370" i="11"/>
  <c r="B1369" i="11"/>
  <c r="A1369" i="11"/>
  <c r="B1368" i="11"/>
  <c r="A1368" i="11"/>
  <c r="B1367" i="11"/>
  <c r="A1367" i="11"/>
  <c r="B1366" i="11"/>
  <c r="A1366" i="11"/>
  <c r="B1365" i="11"/>
  <c r="A1365" i="11"/>
  <c r="B1364" i="11"/>
  <c r="A1364" i="11"/>
  <c r="B1363" i="11"/>
  <c r="A1363" i="11"/>
  <c r="B1362" i="11"/>
  <c r="A1362" i="11"/>
  <c r="B1361" i="11"/>
  <c r="A1361" i="11"/>
  <c r="B1360" i="11"/>
  <c r="A1360" i="11"/>
  <c r="B1359" i="11"/>
  <c r="A1359" i="11"/>
  <c r="B1358" i="11"/>
  <c r="A1358" i="11"/>
  <c r="B1357" i="11"/>
  <c r="A1357" i="11"/>
  <c r="B1356" i="11"/>
  <c r="A1356" i="11"/>
  <c r="B1355" i="11"/>
  <c r="A1355" i="11"/>
  <c r="B1354" i="11"/>
  <c r="A1354" i="11"/>
  <c r="B1353" i="11"/>
  <c r="A1353" i="11"/>
  <c r="B1352" i="11"/>
  <c r="A1352" i="11"/>
  <c r="B1351" i="11"/>
  <c r="A1351" i="11"/>
  <c r="B1350" i="11"/>
  <c r="A1350" i="11"/>
  <c r="B1349" i="11"/>
  <c r="A1349" i="11"/>
  <c r="B1348" i="11"/>
  <c r="A1348" i="11"/>
  <c r="B1347" i="11"/>
  <c r="A1347" i="11"/>
  <c r="B1346" i="11"/>
  <c r="A1346" i="11"/>
  <c r="B1345" i="11"/>
  <c r="A1345" i="11"/>
  <c r="B1344" i="11"/>
  <c r="A1344" i="11"/>
  <c r="B1343" i="11"/>
  <c r="A1343" i="11"/>
  <c r="B1342" i="11"/>
  <c r="A1342" i="11"/>
  <c r="B1341" i="11"/>
  <c r="A1341" i="11"/>
  <c r="B1340" i="11"/>
  <c r="A1340" i="11"/>
  <c r="B1339" i="11"/>
  <c r="A1339" i="11"/>
  <c r="B1338" i="11"/>
  <c r="A1338" i="11"/>
  <c r="B1337" i="11"/>
  <c r="A1337" i="11"/>
  <c r="B1336" i="11"/>
  <c r="A1336" i="11"/>
  <c r="B1335" i="11"/>
  <c r="A1335" i="11"/>
  <c r="B1334" i="11"/>
  <c r="A1334" i="11"/>
  <c r="B1333" i="11"/>
  <c r="A1333" i="11"/>
  <c r="B1332" i="11"/>
  <c r="A1332" i="11"/>
  <c r="B1331" i="11"/>
  <c r="A1331" i="11"/>
  <c r="B1330" i="11"/>
  <c r="A1330" i="11"/>
  <c r="B1329" i="11"/>
  <c r="A1329" i="11"/>
  <c r="B1328" i="11"/>
  <c r="A1328" i="11"/>
  <c r="B1327" i="11"/>
  <c r="A1327" i="11"/>
  <c r="B1326" i="11"/>
  <c r="A1326" i="11"/>
  <c r="B1325" i="11"/>
  <c r="A1325" i="11"/>
  <c r="B1324" i="11"/>
  <c r="A1324" i="11"/>
  <c r="B1323" i="11"/>
  <c r="A1323" i="11"/>
  <c r="B1322" i="11"/>
  <c r="A1322" i="11"/>
  <c r="B1321" i="11"/>
  <c r="A1321" i="11"/>
  <c r="B1320" i="11"/>
  <c r="A1320" i="11"/>
  <c r="B1319" i="11"/>
  <c r="A1319" i="11"/>
  <c r="B1318" i="11"/>
  <c r="A1318" i="11"/>
  <c r="B1317" i="11"/>
  <c r="A1317" i="11"/>
  <c r="B1316" i="11"/>
  <c r="A1316" i="11"/>
  <c r="B1315" i="11"/>
  <c r="A1315" i="11"/>
  <c r="B1314" i="11"/>
  <c r="A1314" i="11"/>
  <c r="B1313" i="11"/>
  <c r="A1313" i="11"/>
  <c r="B1312" i="11"/>
  <c r="A1312" i="11"/>
  <c r="B1311" i="11"/>
  <c r="A1311" i="11"/>
  <c r="B1310" i="11"/>
  <c r="A1310" i="11"/>
  <c r="B1309" i="11"/>
  <c r="A1309" i="11"/>
  <c r="B1308" i="11"/>
  <c r="A1308" i="11"/>
  <c r="B1307" i="11"/>
  <c r="A1307" i="11"/>
  <c r="B1306" i="11"/>
  <c r="A1306" i="11"/>
  <c r="B1305" i="11"/>
  <c r="A1305" i="11"/>
  <c r="B1304" i="11"/>
  <c r="A1304" i="11"/>
  <c r="B1303" i="11"/>
  <c r="A1303" i="11"/>
  <c r="B1302" i="11"/>
  <c r="A1302" i="11"/>
  <c r="B1301" i="11"/>
  <c r="A1301" i="11"/>
  <c r="B1300" i="11"/>
  <c r="A1300" i="11"/>
  <c r="B1299" i="11"/>
  <c r="A1299" i="11"/>
  <c r="B1298" i="11"/>
  <c r="A1298" i="11"/>
  <c r="B1297" i="11"/>
  <c r="A1297" i="11"/>
  <c r="B1296" i="11"/>
  <c r="A1296" i="11"/>
  <c r="B1295" i="11"/>
  <c r="A1295" i="11"/>
  <c r="B1294" i="11"/>
  <c r="A1294" i="11"/>
  <c r="B1293" i="11"/>
  <c r="A1293" i="11"/>
  <c r="B1292" i="11"/>
  <c r="A1292" i="11"/>
  <c r="B1291" i="11"/>
  <c r="A1291" i="11"/>
  <c r="B1290" i="11"/>
  <c r="A1290" i="11"/>
  <c r="B1289" i="11"/>
  <c r="A1289" i="11"/>
  <c r="B1288" i="11"/>
  <c r="A1288" i="11"/>
  <c r="B1287" i="11"/>
  <c r="A1287" i="11"/>
  <c r="B1286" i="11"/>
  <c r="A1286" i="11"/>
  <c r="B1285" i="11"/>
  <c r="A1285" i="11"/>
  <c r="B1284" i="11"/>
  <c r="A1284" i="11"/>
  <c r="B1283" i="11"/>
  <c r="A1283" i="11"/>
  <c r="B1282" i="11"/>
  <c r="A1282" i="11"/>
  <c r="B1281" i="11"/>
  <c r="A1281" i="11"/>
  <c r="B1280" i="11"/>
  <c r="A1280" i="11"/>
  <c r="B1279" i="11"/>
  <c r="A1279" i="11"/>
  <c r="B1278" i="11"/>
  <c r="A1278" i="11"/>
  <c r="B1277" i="11"/>
  <c r="A1277" i="11"/>
  <c r="B1276" i="11"/>
  <c r="A1276" i="11"/>
  <c r="B1275" i="11"/>
  <c r="A1275" i="11"/>
  <c r="B1274" i="11"/>
  <c r="A1274" i="11"/>
  <c r="B1273" i="11"/>
  <c r="A1273" i="11"/>
  <c r="B1272" i="11"/>
  <c r="A1272" i="11"/>
  <c r="B1271" i="11"/>
  <c r="A1271" i="11"/>
  <c r="B1270" i="11"/>
  <c r="A1270" i="11"/>
  <c r="B1269" i="11"/>
  <c r="A1269" i="11"/>
  <c r="B1268" i="11"/>
  <c r="A1268" i="11"/>
  <c r="B1267" i="11"/>
  <c r="A1267" i="11"/>
  <c r="B1266" i="11"/>
  <c r="A1266" i="11"/>
  <c r="B1265" i="11"/>
  <c r="A1265" i="11"/>
  <c r="B1264" i="11"/>
  <c r="A1264" i="11"/>
  <c r="B1263" i="11"/>
  <c r="A1263" i="11"/>
  <c r="B1262" i="11"/>
  <c r="A1262" i="11"/>
  <c r="B1261" i="11"/>
  <c r="A1261" i="11"/>
  <c r="B1260" i="11"/>
  <c r="A1260" i="11"/>
  <c r="B1259" i="11"/>
  <c r="A1259" i="11"/>
  <c r="B1258" i="11"/>
  <c r="A1258" i="11"/>
  <c r="B1257" i="11"/>
  <c r="A1257" i="11"/>
  <c r="B1256" i="11"/>
  <c r="A1256" i="11"/>
  <c r="B1255" i="11"/>
  <c r="A1255" i="11"/>
  <c r="B1254" i="11"/>
  <c r="A1254" i="11"/>
  <c r="B1253" i="11"/>
  <c r="A1253" i="11"/>
  <c r="B1252" i="11"/>
  <c r="A1252" i="11"/>
  <c r="B1251" i="11"/>
  <c r="A1251" i="11"/>
  <c r="B1250" i="11"/>
  <c r="A1250" i="11"/>
  <c r="B1249" i="11"/>
  <c r="A1249" i="11"/>
  <c r="B1248" i="11"/>
  <c r="A1248" i="11"/>
  <c r="B1247" i="11"/>
  <c r="A1247" i="11"/>
  <c r="B1246" i="11"/>
  <c r="A1246" i="11"/>
  <c r="B1245" i="11"/>
  <c r="A1245" i="11"/>
  <c r="B1244" i="11"/>
  <c r="A1244" i="11"/>
  <c r="B1243" i="11"/>
  <c r="A1243" i="11"/>
  <c r="B1242" i="11"/>
  <c r="A1242" i="11"/>
  <c r="B1241" i="11"/>
  <c r="A1241" i="11"/>
  <c r="B1240" i="11"/>
  <c r="A1240" i="11"/>
  <c r="B1239" i="11"/>
  <c r="A1239" i="11"/>
  <c r="B1238" i="11"/>
  <c r="A1238" i="11"/>
  <c r="B1237" i="11"/>
  <c r="A1237" i="11"/>
  <c r="B1236" i="11"/>
  <c r="A1236" i="11"/>
  <c r="B1235" i="11"/>
  <c r="A1235" i="11"/>
  <c r="B1234" i="11"/>
  <c r="A1234" i="11"/>
  <c r="B1233" i="11"/>
  <c r="A1233" i="11"/>
  <c r="B1232" i="11"/>
  <c r="A1232" i="11"/>
  <c r="B1231" i="11"/>
  <c r="A1231" i="11"/>
  <c r="B1230" i="11"/>
  <c r="A1230" i="11"/>
  <c r="B1229" i="11"/>
  <c r="A1229" i="11"/>
  <c r="B1228" i="11"/>
  <c r="A1228" i="11"/>
  <c r="B1227" i="11"/>
  <c r="A1227" i="11"/>
  <c r="B1226" i="11"/>
  <c r="A1226" i="11"/>
  <c r="B1225" i="11"/>
  <c r="A1225" i="11"/>
  <c r="B1224" i="11"/>
  <c r="A1224" i="11"/>
  <c r="B1223" i="11"/>
  <c r="A1223" i="11"/>
  <c r="B1222" i="11"/>
  <c r="A1222" i="11"/>
  <c r="B1221" i="11"/>
  <c r="A1221" i="11"/>
  <c r="B1220" i="11"/>
  <c r="A1220" i="11"/>
  <c r="B1219" i="11"/>
  <c r="A1219" i="11"/>
  <c r="B1218" i="11"/>
  <c r="A1218" i="11"/>
  <c r="B1217" i="11"/>
  <c r="A1217" i="11"/>
  <c r="B1216" i="11"/>
  <c r="A1216" i="11"/>
  <c r="B1215" i="11"/>
  <c r="A1215" i="11"/>
  <c r="B1214" i="11"/>
  <c r="A1214" i="11"/>
  <c r="B1213" i="11"/>
  <c r="A1213" i="11"/>
  <c r="B1212" i="11"/>
  <c r="A1212" i="11"/>
  <c r="B1211" i="11"/>
  <c r="A1211" i="11"/>
  <c r="B1210" i="11"/>
  <c r="A1210" i="11"/>
  <c r="B1209" i="11"/>
  <c r="A1209" i="11"/>
  <c r="B1208" i="11"/>
  <c r="A1208" i="11"/>
  <c r="B1207" i="11"/>
  <c r="A1207" i="11"/>
  <c r="B1206" i="11"/>
  <c r="A1206" i="11"/>
  <c r="B1205" i="11"/>
  <c r="A1205" i="11"/>
  <c r="B1204" i="11"/>
  <c r="A1204" i="11"/>
  <c r="B1203" i="11"/>
  <c r="A1203" i="11"/>
  <c r="B1202" i="11"/>
  <c r="A1202" i="11"/>
  <c r="B1201" i="11"/>
  <c r="A1201" i="11"/>
  <c r="B1200" i="11"/>
  <c r="A1200" i="11"/>
  <c r="B1199" i="11"/>
  <c r="A1199" i="11"/>
  <c r="B1198" i="11"/>
  <c r="A1198" i="11"/>
  <c r="B1197" i="11"/>
  <c r="A1197" i="11"/>
  <c r="B1196" i="11"/>
  <c r="A1196" i="11"/>
  <c r="B1195" i="11"/>
  <c r="A1195" i="11"/>
  <c r="B1194" i="11"/>
  <c r="A1194" i="11"/>
  <c r="B1193" i="11"/>
  <c r="A1193" i="11"/>
  <c r="B1192" i="11"/>
  <c r="A1192" i="11"/>
  <c r="B1191" i="11"/>
  <c r="A1191" i="11"/>
  <c r="B1190" i="11"/>
  <c r="A1190" i="11"/>
  <c r="B1189" i="11"/>
  <c r="A1189" i="11"/>
  <c r="B1188" i="11"/>
  <c r="A1188" i="11"/>
  <c r="B1187" i="11"/>
  <c r="A1187" i="11"/>
  <c r="B1186" i="11"/>
  <c r="A1186" i="11"/>
  <c r="B1185" i="11"/>
  <c r="A1185" i="11"/>
  <c r="B1184" i="11"/>
  <c r="A1184" i="11"/>
  <c r="B1183" i="11"/>
  <c r="A1183" i="11"/>
  <c r="B1182" i="11"/>
  <c r="A1182" i="11"/>
  <c r="B1181" i="11"/>
  <c r="A1181" i="11"/>
  <c r="B1180" i="11"/>
  <c r="A1180" i="11"/>
  <c r="B1179" i="11"/>
  <c r="A1179" i="11"/>
  <c r="B1178" i="11"/>
  <c r="A1178" i="11"/>
  <c r="B1177" i="11"/>
  <c r="A1177" i="11"/>
  <c r="B1176" i="11"/>
  <c r="A1176" i="11"/>
  <c r="B1175" i="11"/>
  <c r="A1175" i="11"/>
  <c r="B1174" i="11"/>
  <c r="A1174" i="11"/>
  <c r="B1173" i="11"/>
  <c r="A1173" i="11"/>
  <c r="B1172" i="11"/>
  <c r="A1172" i="11"/>
  <c r="B1171" i="11"/>
  <c r="A1171" i="11"/>
  <c r="B1170" i="11"/>
  <c r="A1170" i="11"/>
  <c r="B1169" i="11"/>
  <c r="A1169" i="11"/>
  <c r="B1168" i="11"/>
  <c r="A1168" i="11"/>
  <c r="B1167" i="11"/>
  <c r="A1167" i="11"/>
  <c r="B1166" i="11"/>
  <c r="A1166" i="11"/>
  <c r="B1165" i="11"/>
  <c r="A1165" i="11"/>
  <c r="B1164" i="11"/>
  <c r="A1164" i="11"/>
  <c r="B1163" i="11"/>
  <c r="A1163" i="11"/>
  <c r="B1162" i="11"/>
  <c r="A1162" i="11"/>
  <c r="B1161" i="11"/>
  <c r="A1161" i="11"/>
  <c r="B1160" i="11"/>
  <c r="A1160" i="11"/>
  <c r="B1159" i="11"/>
  <c r="A1159" i="11"/>
  <c r="B1158" i="11"/>
  <c r="A1158" i="11"/>
  <c r="B1157" i="11"/>
  <c r="A1157" i="11"/>
  <c r="B1156" i="11"/>
  <c r="A1156" i="11"/>
  <c r="B1155" i="11"/>
  <c r="A1155" i="11"/>
  <c r="B1154" i="11"/>
  <c r="A1154" i="11"/>
  <c r="B1153" i="11"/>
  <c r="A1153" i="11"/>
  <c r="B1152" i="11"/>
  <c r="A1152" i="11"/>
  <c r="B1151" i="11"/>
  <c r="A1151" i="11"/>
  <c r="B1150" i="11"/>
  <c r="A1150" i="11"/>
  <c r="B1149" i="11"/>
  <c r="A1149" i="11"/>
  <c r="B1148" i="11"/>
  <c r="A1148" i="11"/>
  <c r="B1147" i="11"/>
  <c r="A1147" i="11"/>
  <c r="B1146" i="11"/>
  <c r="A1146" i="11"/>
  <c r="B1145" i="11"/>
  <c r="A1145" i="11"/>
  <c r="B1144" i="11"/>
  <c r="A1144" i="11"/>
  <c r="B1143" i="11"/>
  <c r="A1143" i="11"/>
  <c r="B1142" i="11"/>
  <c r="A1142" i="11"/>
  <c r="B1141" i="11"/>
  <c r="A1141" i="11"/>
  <c r="B1140" i="11"/>
  <c r="A1140" i="11"/>
  <c r="B1139" i="11"/>
  <c r="A1139" i="11"/>
  <c r="B1138" i="11"/>
  <c r="A1138" i="11"/>
  <c r="B1137" i="11"/>
  <c r="A1137" i="11"/>
  <c r="B1136" i="11"/>
  <c r="A1136" i="11"/>
  <c r="B1135" i="11"/>
  <c r="A1135" i="11"/>
  <c r="B1134" i="11"/>
  <c r="A1134" i="11"/>
  <c r="B1133" i="11"/>
  <c r="A1133" i="11"/>
  <c r="B1132" i="11"/>
  <c r="A1132" i="11"/>
  <c r="B1131" i="11"/>
  <c r="A1131" i="11"/>
  <c r="B1130" i="11"/>
  <c r="A1130" i="11"/>
  <c r="B1129" i="11"/>
  <c r="A1129" i="11"/>
  <c r="B1128" i="11"/>
  <c r="A1128" i="11"/>
  <c r="B1127" i="11"/>
  <c r="A1127" i="11"/>
  <c r="B1126" i="11"/>
  <c r="A1126" i="11"/>
  <c r="B1125" i="11"/>
  <c r="A1125" i="11"/>
  <c r="B1124" i="11"/>
  <c r="A1124" i="11"/>
  <c r="B1123" i="11"/>
  <c r="A1123" i="11"/>
  <c r="B1122" i="11"/>
  <c r="A1122" i="11"/>
  <c r="B1121" i="11"/>
  <c r="A1121" i="11"/>
  <c r="B1120" i="11"/>
  <c r="A1120" i="11"/>
  <c r="B1119" i="11"/>
  <c r="A1119" i="11"/>
  <c r="B1118" i="11"/>
  <c r="A1118" i="11"/>
  <c r="B1117" i="11"/>
  <c r="A1117" i="11"/>
  <c r="B1116" i="11"/>
  <c r="A1116" i="11"/>
  <c r="B1115" i="11"/>
  <c r="A1115" i="11"/>
  <c r="B1114" i="11"/>
  <c r="A1114" i="11"/>
  <c r="B1113" i="11"/>
  <c r="A1113" i="11"/>
  <c r="B1112" i="11"/>
  <c r="A1112" i="11"/>
  <c r="B1111" i="11"/>
  <c r="A1111" i="11"/>
  <c r="B1110" i="11"/>
  <c r="A1110" i="11"/>
  <c r="B1109" i="11"/>
  <c r="A1109" i="11"/>
  <c r="B1108" i="11"/>
  <c r="A1108" i="11"/>
  <c r="B1107" i="11"/>
  <c r="A1107" i="11"/>
  <c r="B1106" i="11"/>
  <c r="A1106" i="11"/>
  <c r="B1105" i="11"/>
  <c r="A1105" i="11"/>
  <c r="B1104" i="11"/>
  <c r="A1104" i="11"/>
  <c r="B1103" i="11"/>
  <c r="A1103" i="11"/>
  <c r="B1102" i="11"/>
  <c r="A1102" i="11"/>
  <c r="B1101" i="11"/>
  <c r="A1101" i="11"/>
  <c r="B1100" i="11"/>
  <c r="A1100" i="11"/>
  <c r="B1099" i="11"/>
  <c r="A1099" i="11"/>
  <c r="B1098" i="11"/>
  <c r="A1098" i="11"/>
  <c r="B1097" i="11"/>
  <c r="A1097" i="11"/>
  <c r="B1096" i="11"/>
  <c r="A1096" i="11"/>
  <c r="B1095" i="11"/>
  <c r="A1095" i="11"/>
  <c r="B1094" i="11"/>
  <c r="A1094" i="11"/>
  <c r="B1093" i="11"/>
  <c r="A1093" i="11"/>
  <c r="B1092" i="11"/>
  <c r="A1092" i="11"/>
  <c r="B1091" i="11"/>
  <c r="A1091" i="11"/>
  <c r="B1090" i="11"/>
  <c r="A1090" i="11"/>
  <c r="B1089" i="11"/>
  <c r="A1089" i="11"/>
  <c r="B1088" i="11"/>
  <c r="A1088" i="11"/>
  <c r="B1087" i="11"/>
  <c r="A1087" i="11"/>
  <c r="B1086" i="11"/>
  <c r="A1086" i="11"/>
  <c r="B1085" i="11"/>
  <c r="A1085" i="11"/>
  <c r="B1084" i="11"/>
  <c r="A1084" i="11"/>
  <c r="B1083" i="11"/>
  <c r="A1083" i="11"/>
  <c r="B1082" i="11"/>
  <c r="A1082" i="11"/>
  <c r="B1081" i="11"/>
  <c r="A1081" i="11"/>
  <c r="B1080" i="11"/>
  <c r="A1080" i="11"/>
  <c r="B1079" i="11"/>
  <c r="A1079" i="11"/>
  <c r="B1078" i="11"/>
  <c r="A1078" i="11"/>
  <c r="B1077" i="11"/>
  <c r="A1077" i="11"/>
  <c r="B1076" i="11"/>
  <c r="A1076" i="11"/>
  <c r="B1075" i="11"/>
  <c r="A1075" i="11"/>
  <c r="B1074" i="11"/>
  <c r="A1074" i="11"/>
  <c r="B1073" i="11"/>
  <c r="A1073" i="11"/>
  <c r="B1072" i="11"/>
  <c r="A1072" i="11"/>
  <c r="B1071" i="11"/>
  <c r="A1071" i="11"/>
  <c r="B1070" i="11"/>
  <c r="A1070" i="11"/>
  <c r="B1069" i="11"/>
  <c r="A1069" i="11"/>
  <c r="B1068" i="11"/>
  <c r="A1068" i="11"/>
  <c r="B1067" i="11"/>
  <c r="A1067" i="11"/>
  <c r="B1066" i="11"/>
  <c r="A1066" i="11"/>
  <c r="B1065" i="11"/>
  <c r="A1065" i="11"/>
  <c r="B1064" i="11"/>
  <c r="A1064" i="11"/>
  <c r="B1063" i="11"/>
  <c r="A1063" i="11"/>
  <c r="B1062" i="11"/>
  <c r="A1062" i="11"/>
  <c r="B1061" i="11"/>
  <c r="A1061" i="11"/>
  <c r="B1060" i="11"/>
  <c r="A1060" i="11"/>
  <c r="B1059" i="11"/>
  <c r="A1059" i="11"/>
  <c r="B1058" i="11"/>
  <c r="A1058" i="11"/>
  <c r="B1057" i="11"/>
  <c r="A1057" i="11"/>
  <c r="B1056" i="11"/>
  <c r="A1056" i="11"/>
  <c r="B1055" i="11"/>
  <c r="A1055" i="11"/>
  <c r="B1054" i="11"/>
  <c r="A1054" i="11"/>
  <c r="B1053" i="11"/>
  <c r="A1053" i="11"/>
  <c r="B1052" i="11"/>
  <c r="A1052" i="11"/>
  <c r="B1051" i="11"/>
  <c r="A1051" i="11"/>
  <c r="B1050" i="11"/>
  <c r="A1050" i="11"/>
  <c r="B1049" i="11"/>
  <c r="A1049" i="11"/>
  <c r="B1048" i="11"/>
  <c r="A1048" i="11"/>
  <c r="B1047" i="11"/>
  <c r="A1047" i="11"/>
  <c r="B1046" i="11"/>
  <c r="A1046" i="11"/>
  <c r="B1045" i="11"/>
  <c r="A1045" i="11"/>
  <c r="B1044" i="11"/>
  <c r="A1044" i="11"/>
  <c r="B1043" i="11"/>
  <c r="A1043" i="11"/>
  <c r="B1042" i="11"/>
  <c r="A1042" i="11"/>
  <c r="B1041" i="11"/>
  <c r="A1041" i="11"/>
  <c r="B1040" i="11"/>
  <c r="A1040" i="11"/>
  <c r="B1039" i="11"/>
  <c r="A1039" i="11"/>
  <c r="B1038" i="11"/>
  <c r="A1038" i="11"/>
  <c r="B1037" i="11"/>
  <c r="A1037" i="11"/>
  <c r="B1036" i="11"/>
  <c r="A1036" i="11"/>
  <c r="B1035" i="11"/>
  <c r="A1035" i="11"/>
  <c r="B1034" i="11"/>
  <c r="A1034" i="11"/>
  <c r="B1033" i="11"/>
  <c r="A1033" i="11"/>
  <c r="B1032" i="11"/>
  <c r="A1032" i="11"/>
  <c r="B1031" i="11"/>
  <c r="A1031" i="11"/>
  <c r="B1030" i="11"/>
  <c r="A1030" i="11"/>
  <c r="B1029" i="11"/>
  <c r="A1029" i="11"/>
  <c r="B1028" i="11"/>
  <c r="A1028" i="11"/>
  <c r="B1027" i="11"/>
  <c r="A1027" i="11"/>
  <c r="B1026" i="11"/>
  <c r="A1026" i="11"/>
  <c r="B1025" i="11"/>
  <c r="A1025" i="11"/>
  <c r="B1024" i="11"/>
  <c r="A1024" i="11"/>
  <c r="B1023" i="11"/>
  <c r="A1023" i="11"/>
  <c r="B1022" i="11"/>
  <c r="A1022" i="11"/>
  <c r="B1021" i="11"/>
  <c r="A1021" i="11"/>
  <c r="B1020" i="11"/>
  <c r="A1020" i="11"/>
  <c r="B1019" i="11"/>
  <c r="A1019" i="11"/>
  <c r="B1018" i="11"/>
  <c r="A1018" i="11"/>
  <c r="B1017" i="11"/>
  <c r="A1017" i="11"/>
  <c r="B1016" i="11"/>
  <c r="A1016" i="11"/>
  <c r="B1015" i="11"/>
  <c r="A1015" i="11"/>
  <c r="B1014" i="11"/>
  <c r="A1014" i="11"/>
  <c r="B1013" i="11"/>
  <c r="A1013" i="11"/>
  <c r="B1012" i="11"/>
  <c r="A1012" i="11"/>
  <c r="B1011" i="11"/>
  <c r="A1011" i="11"/>
  <c r="B1010" i="11"/>
  <c r="A1010" i="11"/>
  <c r="B1009" i="11"/>
  <c r="A1009" i="11"/>
  <c r="B1008" i="11"/>
  <c r="A1008" i="11"/>
  <c r="B1007" i="11"/>
  <c r="A1007" i="11"/>
  <c r="B1006" i="11"/>
  <c r="A1006" i="11"/>
  <c r="B1005" i="11"/>
  <c r="A1005" i="11"/>
  <c r="B1004" i="11"/>
  <c r="A1004" i="11"/>
  <c r="B1003" i="11"/>
  <c r="A1003" i="11"/>
  <c r="B1002" i="11"/>
  <c r="A1002" i="11"/>
  <c r="B1001" i="11"/>
  <c r="A1001" i="11"/>
  <c r="B1000" i="11"/>
  <c r="A1000" i="11"/>
  <c r="B999" i="11"/>
  <c r="A999" i="11"/>
  <c r="B998" i="11"/>
  <c r="A998" i="11"/>
  <c r="B997" i="11"/>
  <c r="A997" i="11"/>
  <c r="B996" i="11"/>
  <c r="A996" i="11"/>
  <c r="B995" i="11"/>
  <c r="A995" i="11"/>
  <c r="B994" i="11"/>
  <c r="A994" i="11"/>
  <c r="B993" i="11"/>
  <c r="A993" i="11"/>
  <c r="B992" i="11"/>
  <c r="A992" i="11"/>
  <c r="B991" i="11"/>
  <c r="A991" i="11"/>
  <c r="B990" i="11"/>
  <c r="A990" i="11"/>
  <c r="B989" i="11"/>
  <c r="A989" i="11"/>
  <c r="B988" i="11"/>
  <c r="A988" i="11"/>
  <c r="B987" i="11"/>
  <c r="A987" i="11"/>
  <c r="B986" i="11"/>
  <c r="A986" i="11"/>
  <c r="B985" i="11"/>
  <c r="A985" i="11"/>
  <c r="B984" i="11"/>
  <c r="A984" i="11"/>
  <c r="B983" i="11"/>
  <c r="A983" i="11"/>
  <c r="B982" i="11"/>
  <c r="A982" i="11"/>
  <c r="B981" i="11"/>
  <c r="A981" i="11"/>
  <c r="B980" i="11"/>
  <c r="A980" i="11"/>
  <c r="B979" i="11"/>
  <c r="A979" i="11"/>
  <c r="B978" i="11"/>
  <c r="A978" i="11"/>
  <c r="B977" i="11"/>
  <c r="A977" i="11"/>
  <c r="B976" i="11"/>
  <c r="A976" i="11"/>
  <c r="B975" i="11"/>
  <c r="A975" i="11"/>
  <c r="B974" i="11"/>
  <c r="A974" i="11"/>
  <c r="B973" i="11"/>
  <c r="A973" i="11"/>
  <c r="B972" i="11"/>
  <c r="A972" i="11"/>
  <c r="B971" i="11"/>
  <c r="A971" i="11"/>
  <c r="B970" i="11"/>
  <c r="A970" i="11"/>
  <c r="B969" i="11"/>
  <c r="A969" i="11"/>
  <c r="B968" i="11"/>
  <c r="A968" i="11"/>
  <c r="B967" i="11"/>
  <c r="A967" i="11"/>
  <c r="B966" i="11"/>
  <c r="A966" i="11"/>
  <c r="B965" i="11"/>
  <c r="A965" i="11"/>
  <c r="B964" i="11"/>
  <c r="A964" i="11"/>
  <c r="B963" i="11"/>
  <c r="A963" i="11"/>
  <c r="B962" i="11"/>
  <c r="A962" i="11"/>
  <c r="B961" i="11"/>
  <c r="A961" i="11"/>
  <c r="B960" i="11"/>
  <c r="A960" i="11"/>
  <c r="B959" i="11"/>
  <c r="A959" i="11"/>
  <c r="B958" i="11"/>
  <c r="A958" i="11"/>
  <c r="B957" i="11"/>
  <c r="A957" i="11"/>
  <c r="B956" i="11"/>
  <c r="A956" i="11"/>
  <c r="B955" i="11"/>
  <c r="A955" i="11"/>
  <c r="B954" i="11"/>
  <c r="A954" i="11"/>
  <c r="B953" i="11"/>
  <c r="A953" i="11"/>
  <c r="B952" i="11"/>
  <c r="A952" i="11"/>
  <c r="B951" i="11"/>
  <c r="A951" i="11"/>
  <c r="B950" i="11"/>
  <c r="A950" i="11"/>
  <c r="B949" i="11"/>
  <c r="A949" i="11"/>
  <c r="B948" i="11"/>
  <c r="A948" i="11"/>
  <c r="B947" i="11"/>
  <c r="A947" i="11"/>
  <c r="B946" i="11"/>
  <c r="A946" i="11"/>
  <c r="B945" i="11"/>
  <c r="A945" i="11"/>
  <c r="B944" i="11"/>
  <c r="A944" i="11"/>
  <c r="B943" i="11"/>
  <c r="A943" i="11"/>
  <c r="B942" i="11"/>
  <c r="A942" i="11"/>
  <c r="B941" i="11"/>
  <c r="A941" i="11"/>
  <c r="B940" i="11"/>
  <c r="A940" i="11"/>
  <c r="B939" i="11"/>
  <c r="A939" i="11"/>
  <c r="B938" i="11"/>
  <c r="A938" i="11"/>
  <c r="B937" i="11"/>
  <c r="A937" i="11"/>
  <c r="B936" i="11"/>
  <c r="A936" i="11"/>
  <c r="B935" i="11"/>
  <c r="A935" i="11"/>
  <c r="B934" i="11"/>
  <c r="A934" i="11"/>
  <c r="B933" i="11"/>
  <c r="A933" i="11"/>
  <c r="B932" i="11"/>
  <c r="A932" i="11"/>
  <c r="B931" i="11"/>
  <c r="A931" i="11"/>
  <c r="B930" i="11"/>
  <c r="A930" i="11"/>
  <c r="B929" i="11"/>
  <c r="A929" i="11"/>
  <c r="B928" i="11"/>
  <c r="A928" i="11"/>
  <c r="B927" i="11"/>
  <c r="A927" i="11"/>
  <c r="B926" i="11"/>
  <c r="A926" i="11"/>
  <c r="B925" i="11"/>
  <c r="A925" i="11"/>
  <c r="B924" i="11"/>
  <c r="A924" i="11"/>
  <c r="B923" i="11"/>
  <c r="A923" i="11"/>
  <c r="B922" i="11"/>
  <c r="A922" i="11"/>
  <c r="B921" i="11"/>
  <c r="A921" i="11"/>
  <c r="B920" i="11"/>
  <c r="A920" i="11"/>
  <c r="B919" i="11"/>
  <c r="A919" i="11"/>
  <c r="B918" i="11"/>
  <c r="A918" i="11"/>
  <c r="B917" i="11"/>
  <c r="A917" i="11"/>
  <c r="B916" i="11"/>
  <c r="A916" i="11"/>
  <c r="B915" i="11"/>
  <c r="A915" i="11"/>
  <c r="B914" i="11"/>
  <c r="A914" i="11"/>
  <c r="B913" i="11"/>
  <c r="A913" i="11"/>
  <c r="B912" i="11"/>
  <c r="A912" i="11"/>
  <c r="B911" i="11"/>
  <c r="A911" i="11"/>
  <c r="B910" i="11"/>
  <c r="A910" i="11"/>
  <c r="B909" i="11"/>
  <c r="A909" i="11"/>
  <c r="B908" i="11"/>
  <c r="A908" i="11"/>
  <c r="B907" i="11"/>
  <c r="A907" i="11"/>
  <c r="B906" i="11"/>
  <c r="A906" i="11"/>
  <c r="B905" i="11"/>
  <c r="A905" i="11"/>
  <c r="B904" i="11"/>
  <c r="A904" i="11"/>
  <c r="B903" i="11"/>
  <c r="A903" i="11"/>
  <c r="B902" i="11"/>
  <c r="A902" i="11"/>
  <c r="B901" i="11"/>
  <c r="A901" i="11"/>
  <c r="B900" i="11"/>
  <c r="A900" i="11"/>
  <c r="B899" i="11"/>
  <c r="A899" i="11"/>
  <c r="B898" i="11"/>
  <c r="A898" i="11"/>
  <c r="B897" i="11"/>
  <c r="A897" i="11"/>
  <c r="B896" i="11"/>
  <c r="A896" i="11"/>
  <c r="B895" i="11"/>
  <c r="A895" i="11"/>
  <c r="B894" i="11"/>
  <c r="A894" i="11"/>
  <c r="B893" i="11"/>
  <c r="A893" i="11"/>
  <c r="B892" i="11"/>
  <c r="A892" i="11"/>
  <c r="B891" i="11"/>
  <c r="A891" i="11"/>
  <c r="B890" i="11"/>
  <c r="A890" i="11"/>
  <c r="B889" i="11"/>
  <c r="A889" i="11"/>
  <c r="B888" i="11"/>
  <c r="A888" i="11"/>
  <c r="B887" i="11"/>
  <c r="A887" i="11"/>
  <c r="B886" i="11"/>
  <c r="A886" i="11"/>
  <c r="B885" i="11"/>
  <c r="A885" i="11"/>
  <c r="B884" i="11"/>
  <c r="A884" i="11"/>
  <c r="B883" i="11"/>
  <c r="A883" i="11"/>
  <c r="B882" i="11"/>
  <c r="A882" i="11"/>
  <c r="B881" i="11"/>
  <c r="A881" i="11"/>
  <c r="B880" i="11"/>
  <c r="A880" i="11"/>
  <c r="B879" i="11"/>
  <c r="A879" i="11"/>
  <c r="B878" i="11"/>
  <c r="A878" i="11"/>
  <c r="B877" i="11"/>
  <c r="A877" i="11"/>
  <c r="B876" i="11"/>
  <c r="A876" i="11"/>
  <c r="B875" i="11"/>
  <c r="A875" i="11"/>
  <c r="B874" i="11"/>
  <c r="A874" i="11"/>
  <c r="B873" i="11"/>
  <c r="A873" i="11"/>
  <c r="B872" i="11"/>
  <c r="A872" i="11"/>
  <c r="B871" i="11"/>
  <c r="A871" i="11"/>
  <c r="B870" i="11"/>
  <c r="A870" i="11"/>
  <c r="B869" i="11"/>
  <c r="A869" i="11"/>
  <c r="B868" i="11"/>
  <c r="A868" i="11"/>
  <c r="B867" i="11"/>
  <c r="A867" i="11"/>
  <c r="B866" i="11"/>
  <c r="A866" i="11"/>
  <c r="B865" i="11"/>
  <c r="A865" i="11"/>
  <c r="B864" i="11"/>
  <c r="A864" i="11"/>
  <c r="B863" i="11"/>
  <c r="A863" i="11"/>
  <c r="B862" i="11"/>
  <c r="A862" i="11"/>
  <c r="B861" i="11"/>
  <c r="A861" i="11"/>
  <c r="B860" i="11"/>
  <c r="A860" i="11"/>
  <c r="B859" i="11"/>
  <c r="A859" i="11"/>
  <c r="B858" i="11"/>
  <c r="A858" i="11"/>
  <c r="B857" i="11"/>
  <c r="A857" i="11"/>
  <c r="B856" i="11"/>
  <c r="A856" i="11"/>
  <c r="B855" i="11"/>
  <c r="A855" i="11"/>
  <c r="B854" i="11"/>
  <c r="A854" i="11"/>
  <c r="B853" i="11"/>
  <c r="A853" i="11"/>
  <c r="B852" i="11"/>
  <c r="A852" i="11"/>
  <c r="B851" i="11"/>
  <c r="A851" i="11"/>
  <c r="B850" i="11"/>
  <c r="A850" i="11"/>
  <c r="B849" i="11"/>
  <c r="A849" i="11"/>
  <c r="B848" i="11"/>
  <c r="A848" i="11"/>
  <c r="B847" i="11"/>
  <c r="A847" i="11"/>
  <c r="B846" i="11"/>
  <c r="A846" i="11"/>
  <c r="B845" i="11"/>
  <c r="A845" i="11"/>
  <c r="B844" i="11"/>
  <c r="A844" i="11"/>
  <c r="B843" i="11"/>
  <c r="A843" i="11"/>
  <c r="B842" i="11"/>
  <c r="A842" i="11"/>
  <c r="B841" i="11"/>
  <c r="A841" i="11"/>
  <c r="B840" i="11"/>
  <c r="A840" i="11"/>
  <c r="B839" i="11"/>
  <c r="A839" i="11"/>
  <c r="B838" i="11"/>
  <c r="A838" i="11"/>
  <c r="B837" i="11"/>
  <c r="A837" i="11"/>
  <c r="B836" i="11"/>
  <c r="A836" i="11"/>
  <c r="B835" i="11"/>
  <c r="A835" i="11"/>
  <c r="B834" i="11"/>
  <c r="A834" i="11"/>
  <c r="B833" i="11"/>
  <c r="A833" i="11"/>
  <c r="B832" i="11"/>
  <c r="A832" i="11"/>
  <c r="B831" i="11"/>
  <c r="A831" i="11"/>
  <c r="B830" i="11"/>
  <c r="A830" i="11"/>
  <c r="B829" i="11"/>
  <c r="A829" i="11"/>
  <c r="B828" i="11"/>
  <c r="A828" i="11"/>
  <c r="B827" i="11"/>
  <c r="A827" i="11"/>
  <c r="B826" i="11"/>
  <c r="A826" i="11"/>
  <c r="B825" i="11"/>
  <c r="A825" i="11"/>
  <c r="B824" i="11"/>
  <c r="A824" i="11"/>
  <c r="B823" i="11"/>
  <c r="A823" i="11"/>
  <c r="B822" i="11"/>
  <c r="A822" i="11"/>
  <c r="B821" i="11"/>
  <c r="A821" i="11"/>
  <c r="B820" i="11"/>
  <c r="A820" i="11"/>
  <c r="B819" i="11"/>
  <c r="A819" i="11"/>
  <c r="B818" i="11"/>
  <c r="A818" i="11"/>
  <c r="B817" i="11"/>
  <c r="A817" i="11"/>
  <c r="B816" i="11"/>
  <c r="A816" i="11"/>
  <c r="B815" i="11"/>
  <c r="A815" i="11"/>
  <c r="B814" i="11"/>
  <c r="A814" i="11"/>
  <c r="B813" i="11"/>
  <c r="A813" i="11"/>
  <c r="B812" i="11"/>
  <c r="A812" i="11"/>
  <c r="B811" i="11"/>
  <c r="A811" i="11"/>
  <c r="B810" i="11"/>
  <c r="A810" i="11"/>
  <c r="B809" i="11"/>
  <c r="A809" i="11"/>
  <c r="B808" i="11"/>
  <c r="A808" i="11"/>
  <c r="B807" i="11"/>
  <c r="A807" i="11"/>
  <c r="B806" i="11"/>
  <c r="A806" i="11"/>
  <c r="B805" i="11"/>
  <c r="A805" i="11"/>
  <c r="B804" i="11"/>
  <c r="A804" i="11"/>
  <c r="B803" i="11"/>
  <c r="A803" i="11"/>
  <c r="B802" i="11"/>
  <c r="A802" i="11"/>
  <c r="B801" i="11"/>
  <c r="A801" i="11"/>
  <c r="B800" i="11"/>
  <c r="A800" i="11"/>
  <c r="B799" i="11"/>
  <c r="A799" i="11"/>
  <c r="B798" i="11"/>
  <c r="A798" i="11"/>
  <c r="B797" i="11"/>
  <c r="A797" i="11"/>
  <c r="B796" i="11"/>
  <c r="A796" i="11"/>
  <c r="B795" i="11"/>
  <c r="A795" i="11"/>
  <c r="B794" i="11"/>
  <c r="A794" i="11"/>
  <c r="B793" i="11"/>
  <c r="A793" i="11"/>
  <c r="B792" i="11"/>
  <c r="A792" i="11"/>
  <c r="B791" i="11"/>
  <c r="A791" i="11"/>
  <c r="B790" i="11"/>
  <c r="A790" i="11"/>
  <c r="B789" i="11"/>
  <c r="A789" i="11"/>
  <c r="B788" i="11"/>
  <c r="A788" i="11"/>
  <c r="B787" i="11"/>
  <c r="A787" i="11"/>
  <c r="B786" i="11"/>
  <c r="A786" i="11"/>
  <c r="B785" i="11"/>
  <c r="A785" i="11"/>
  <c r="B784" i="11"/>
  <c r="A784" i="11"/>
  <c r="B783" i="11"/>
  <c r="A783" i="11"/>
  <c r="B782" i="11"/>
  <c r="A782" i="11"/>
  <c r="B781" i="11"/>
  <c r="A781" i="11"/>
  <c r="B780" i="11"/>
  <c r="A780" i="11"/>
  <c r="B779" i="11"/>
  <c r="A779" i="11"/>
  <c r="B778" i="11"/>
  <c r="A778" i="11"/>
  <c r="B777" i="11"/>
  <c r="A777" i="11"/>
  <c r="B776" i="11"/>
  <c r="A776" i="11"/>
  <c r="B775" i="11"/>
  <c r="A775" i="11"/>
  <c r="B774" i="11"/>
  <c r="A774" i="11"/>
  <c r="B773" i="11"/>
  <c r="A773" i="11"/>
  <c r="B772" i="11"/>
  <c r="A772" i="11"/>
  <c r="B771" i="11"/>
  <c r="A771" i="11"/>
  <c r="B770" i="11"/>
  <c r="A770" i="11"/>
  <c r="B769" i="11"/>
  <c r="A769" i="11"/>
  <c r="B768" i="11"/>
  <c r="A768" i="11"/>
  <c r="B767" i="11"/>
  <c r="A767" i="11"/>
  <c r="B766" i="11"/>
  <c r="A766" i="11"/>
  <c r="B765" i="11"/>
  <c r="A765" i="11"/>
  <c r="B764" i="11"/>
  <c r="A764" i="11"/>
  <c r="B763" i="11"/>
  <c r="A763" i="11"/>
  <c r="B762" i="11"/>
  <c r="A762" i="11"/>
  <c r="B761" i="11"/>
  <c r="A761" i="11"/>
  <c r="B760" i="11"/>
  <c r="A760" i="11"/>
  <c r="B759" i="11"/>
  <c r="A759" i="11"/>
  <c r="B758" i="11"/>
  <c r="A758" i="11"/>
  <c r="B757" i="11"/>
  <c r="A757" i="11"/>
  <c r="B756" i="11"/>
  <c r="A756" i="11"/>
  <c r="B755" i="11"/>
  <c r="A755" i="11"/>
  <c r="B754" i="11"/>
  <c r="A754" i="11"/>
  <c r="B753" i="11"/>
  <c r="A753" i="11"/>
  <c r="B752" i="11"/>
  <c r="A752" i="11"/>
  <c r="B751" i="11"/>
  <c r="A751" i="11"/>
  <c r="B750" i="11"/>
  <c r="A750" i="11"/>
  <c r="B749" i="11"/>
  <c r="A749" i="11"/>
  <c r="B748" i="11"/>
  <c r="A748" i="11"/>
  <c r="B747" i="11"/>
  <c r="A747" i="11"/>
  <c r="B746" i="11"/>
  <c r="A746" i="11"/>
  <c r="B745" i="11"/>
  <c r="A745" i="11"/>
  <c r="B744" i="11"/>
  <c r="A744" i="11"/>
  <c r="B743" i="11"/>
  <c r="A743" i="11"/>
  <c r="B742" i="11"/>
  <c r="A742" i="11"/>
  <c r="B741" i="11"/>
  <c r="A741" i="11"/>
  <c r="B740" i="11"/>
  <c r="A740" i="11"/>
  <c r="B739" i="11"/>
  <c r="A739" i="11"/>
  <c r="B738" i="11"/>
  <c r="A738" i="11"/>
  <c r="B737" i="11"/>
  <c r="A737" i="11"/>
  <c r="B736" i="11"/>
  <c r="A736" i="11"/>
  <c r="B735" i="11"/>
  <c r="A735" i="11"/>
  <c r="B734" i="11"/>
  <c r="A734" i="11"/>
  <c r="B733" i="11"/>
  <c r="A733" i="11"/>
  <c r="B732" i="11"/>
  <c r="A732" i="11"/>
  <c r="B731" i="11"/>
  <c r="A731" i="11"/>
  <c r="B730" i="11"/>
  <c r="A730" i="11"/>
  <c r="B729" i="11"/>
  <c r="A729" i="11"/>
  <c r="B728" i="11"/>
  <c r="A728" i="11"/>
  <c r="B727" i="11"/>
  <c r="A727" i="11"/>
  <c r="B726" i="11"/>
  <c r="A726" i="11"/>
  <c r="B725" i="11"/>
  <c r="A725" i="11"/>
  <c r="B724" i="11"/>
  <c r="A724" i="11"/>
  <c r="B723" i="11"/>
  <c r="A723" i="11"/>
  <c r="B722" i="11"/>
  <c r="A722" i="11"/>
  <c r="B721" i="11"/>
  <c r="A721" i="11"/>
  <c r="B720" i="11"/>
  <c r="A720" i="11"/>
  <c r="B719" i="11"/>
  <c r="A719" i="11"/>
  <c r="B718" i="11"/>
  <c r="A718" i="11"/>
  <c r="B717" i="11"/>
  <c r="A717" i="11"/>
  <c r="B716" i="11"/>
  <c r="A716" i="11"/>
  <c r="B715" i="11"/>
  <c r="A715" i="11"/>
  <c r="B714" i="11"/>
  <c r="A714" i="11"/>
  <c r="B713" i="11"/>
  <c r="A713" i="11"/>
  <c r="B712" i="11"/>
  <c r="A712" i="11"/>
  <c r="B711" i="11"/>
  <c r="A711" i="11"/>
  <c r="B710" i="11"/>
  <c r="A710" i="11"/>
  <c r="B709" i="11"/>
  <c r="A709" i="11"/>
  <c r="B708" i="11"/>
  <c r="A708" i="11"/>
  <c r="B707" i="11"/>
  <c r="A707" i="11"/>
  <c r="B706" i="11"/>
  <c r="A706" i="11"/>
  <c r="B705" i="11"/>
  <c r="A705" i="11"/>
  <c r="B704" i="11"/>
  <c r="A704" i="11"/>
  <c r="B703" i="11"/>
  <c r="A703" i="11"/>
  <c r="B702" i="11"/>
  <c r="A702" i="11"/>
  <c r="B701" i="11"/>
  <c r="A701" i="11"/>
  <c r="B700" i="11"/>
  <c r="A700" i="11"/>
  <c r="B699" i="11"/>
  <c r="A699" i="11"/>
  <c r="B698" i="11"/>
  <c r="A698" i="11"/>
  <c r="B697" i="11"/>
  <c r="A697" i="11"/>
  <c r="B696" i="11"/>
  <c r="A696" i="11"/>
  <c r="B695" i="11"/>
  <c r="A695" i="11"/>
  <c r="B694" i="11"/>
  <c r="A694" i="11"/>
  <c r="B693" i="11"/>
  <c r="A693" i="11"/>
  <c r="B692" i="11"/>
  <c r="A692" i="11"/>
  <c r="B691" i="11"/>
  <c r="A691" i="11"/>
  <c r="B690" i="11"/>
  <c r="A690" i="11"/>
  <c r="B689" i="11"/>
  <c r="A689" i="11"/>
  <c r="B688" i="11"/>
  <c r="A688" i="11"/>
  <c r="B687" i="11"/>
  <c r="A687" i="11"/>
  <c r="B686" i="11"/>
  <c r="A686" i="11"/>
  <c r="B685" i="11"/>
  <c r="A685" i="11"/>
  <c r="B684" i="11"/>
  <c r="A684" i="11"/>
  <c r="B683" i="11"/>
  <c r="A683" i="11"/>
  <c r="B682" i="11"/>
  <c r="A682" i="11"/>
  <c r="B681" i="11"/>
  <c r="A681" i="11"/>
  <c r="B680" i="11"/>
  <c r="A680" i="11"/>
  <c r="B679" i="11"/>
  <c r="A679" i="11"/>
  <c r="B678" i="11"/>
  <c r="A678" i="11"/>
  <c r="B677" i="11"/>
  <c r="A677" i="11"/>
  <c r="B676" i="11"/>
  <c r="A676" i="11"/>
  <c r="B675" i="11"/>
  <c r="A675" i="11"/>
  <c r="B674" i="11"/>
  <c r="A674" i="11"/>
  <c r="B673" i="11"/>
  <c r="A673" i="11"/>
  <c r="B672" i="11"/>
  <c r="A672" i="11"/>
  <c r="B671" i="11"/>
  <c r="A671" i="11"/>
  <c r="B670" i="11"/>
  <c r="A670" i="11"/>
  <c r="B669" i="11"/>
  <c r="A669" i="11"/>
  <c r="B668" i="11"/>
  <c r="A668" i="11"/>
  <c r="B667" i="11"/>
  <c r="A667" i="11"/>
  <c r="B666" i="11"/>
  <c r="A666" i="11"/>
  <c r="B665" i="11"/>
  <c r="A665" i="11"/>
  <c r="B664" i="11"/>
  <c r="A664" i="11"/>
  <c r="B663" i="11"/>
  <c r="A663" i="11"/>
  <c r="B662" i="11"/>
  <c r="A662" i="11"/>
  <c r="B661" i="11"/>
  <c r="A661" i="11"/>
  <c r="B660" i="11"/>
  <c r="A660" i="11"/>
  <c r="B659" i="11"/>
  <c r="A659" i="11"/>
  <c r="B658" i="11"/>
  <c r="A658" i="11"/>
  <c r="B657" i="11"/>
  <c r="A657" i="11"/>
  <c r="B656" i="11"/>
  <c r="A656" i="11"/>
  <c r="B655" i="11"/>
  <c r="A655" i="11"/>
  <c r="B654" i="11"/>
  <c r="A654" i="11"/>
  <c r="B653" i="11"/>
  <c r="A653" i="11"/>
  <c r="B652" i="11"/>
  <c r="A652" i="11"/>
  <c r="B651" i="11"/>
  <c r="A651" i="11"/>
  <c r="B650" i="11"/>
  <c r="A650" i="11"/>
  <c r="B649" i="11"/>
  <c r="A649" i="11"/>
  <c r="B648" i="11"/>
  <c r="A648" i="11"/>
  <c r="B647" i="11"/>
  <c r="A647" i="11"/>
  <c r="B646" i="11"/>
  <c r="A646" i="11"/>
  <c r="B645" i="11"/>
  <c r="A645" i="11"/>
  <c r="B644" i="11"/>
  <c r="A644" i="11"/>
  <c r="B643" i="11"/>
  <c r="A643" i="11"/>
  <c r="B642" i="11"/>
  <c r="A642" i="11"/>
  <c r="B641" i="11"/>
  <c r="A641" i="11"/>
  <c r="B640" i="11"/>
  <c r="A640" i="11"/>
  <c r="B639" i="11"/>
  <c r="A639" i="11"/>
  <c r="B638" i="11"/>
  <c r="A638" i="11"/>
  <c r="B637" i="11"/>
  <c r="A637" i="11"/>
  <c r="B636" i="11"/>
  <c r="A636" i="11"/>
  <c r="B635" i="11"/>
  <c r="A635" i="11"/>
  <c r="B634" i="11"/>
  <c r="A634" i="11"/>
  <c r="B633" i="11"/>
  <c r="A633" i="11"/>
  <c r="B632" i="11"/>
  <c r="A632" i="11"/>
  <c r="B631" i="11"/>
  <c r="A631" i="11"/>
  <c r="B630" i="11"/>
  <c r="A630" i="11"/>
  <c r="B629" i="11"/>
  <c r="A629" i="11"/>
  <c r="B628" i="11"/>
  <c r="A628" i="11"/>
  <c r="B627" i="11"/>
  <c r="A627" i="11"/>
  <c r="B626" i="11"/>
  <c r="A626" i="11"/>
  <c r="B625" i="11"/>
  <c r="A625" i="11"/>
  <c r="B624" i="11"/>
  <c r="A624" i="11"/>
  <c r="B623" i="11"/>
  <c r="A623" i="11"/>
  <c r="B622" i="11"/>
  <c r="A622" i="11"/>
  <c r="B621" i="11"/>
  <c r="A621" i="11"/>
  <c r="B620" i="11"/>
  <c r="A620" i="11"/>
  <c r="B619" i="11"/>
  <c r="A619" i="11"/>
  <c r="B618" i="11"/>
  <c r="A618" i="11"/>
  <c r="B617" i="11"/>
  <c r="A617" i="11"/>
  <c r="B616" i="11"/>
  <c r="A616" i="11"/>
  <c r="B615" i="11"/>
  <c r="A615" i="11"/>
  <c r="B614" i="11"/>
  <c r="A614" i="11"/>
  <c r="B613" i="11"/>
  <c r="A613" i="11"/>
  <c r="B612" i="11"/>
  <c r="A612" i="11"/>
  <c r="B611" i="11"/>
  <c r="A611" i="11"/>
  <c r="B610" i="11"/>
  <c r="A610" i="11"/>
  <c r="B609" i="11"/>
  <c r="A609" i="11"/>
  <c r="B608" i="11"/>
  <c r="A608" i="11"/>
  <c r="B607" i="11"/>
  <c r="A607" i="11"/>
  <c r="B606" i="11"/>
  <c r="A606" i="11"/>
  <c r="B605" i="11"/>
  <c r="A605" i="11"/>
  <c r="B604" i="11"/>
  <c r="A604" i="11"/>
  <c r="B603" i="11"/>
  <c r="A603" i="11"/>
  <c r="B602" i="11"/>
  <c r="A602" i="11"/>
  <c r="B601" i="11"/>
  <c r="A601" i="11"/>
  <c r="B600" i="11"/>
  <c r="A600" i="11"/>
  <c r="B599" i="11"/>
  <c r="A599" i="11"/>
  <c r="B598" i="11"/>
  <c r="A598" i="11"/>
  <c r="B597" i="11"/>
  <c r="A597" i="11"/>
  <c r="B596" i="11"/>
  <c r="A596" i="11"/>
  <c r="B595" i="11"/>
  <c r="A595" i="11"/>
  <c r="B594" i="11"/>
  <c r="A594" i="11"/>
  <c r="B593" i="11"/>
  <c r="A593" i="11"/>
  <c r="B592" i="11"/>
  <c r="A592" i="11"/>
  <c r="B591" i="11"/>
  <c r="A591" i="11"/>
  <c r="B590" i="11"/>
  <c r="A590" i="11"/>
  <c r="B589" i="11"/>
  <c r="A589" i="11"/>
  <c r="B588" i="11"/>
  <c r="A588" i="11"/>
  <c r="B587" i="11"/>
  <c r="A587" i="11"/>
  <c r="B586" i="11"/>
  <c r="A586" i="11"/>
  <c r="B585" i="11"/>
  <c r="A585" i="11"/>
  <c r="B584" i="11"/>
  <c r="A584" i="11"/>
  <c r="B583" i="11"/>
  <c r="A583" i="11"/>
  <c r="B582" i="11"/>
  <c r="A582" i="11"/>
  <c r="B581" i="11"/>
  <c r="A581" i="11"/>
  <c r="B580" i="11"/>
  <c r="A580" i="11"/>
  <c r="B579" i="11"/>
  <c r="A579" i="11"/>
  <c r="B578" i="11"/>
  <c r="A578" i="11"/>
  <c r="B577" i="11"/>
  <c r="A577" i="11"/>
  <c r="B576" i="11"/>
  <c r="A576" i="11"/>
  <c r="B575" i="11"/>
  <c r="A575" i="11"/>
  <c r="B574" i="11"/>
  <c r="A574" i="11"/>
  <c r="B573" i="11"/>
  <c r="A573" i="11"/>
  <c r="B572" i="11"/>
  <c r="A572" i="11"/>
  <c r="B571" i="11"/>
  <c r="A571" i="11"/>
  <c r="B570" i="11"/>
  <c r="A570" i="11"/>
  <c r="B569" i="11"/>
  <c r="A569" i="11"/>
  <c r="B568" i="11"/>
  <c r="A568" i="11"/>
  <c r="B567" i="11"/>
  <c r="A567" i="11"/>
  <c r="B566" i="11"/>
  <c r="A566" i="11"/>
  <c r="B565" i="11"/>
  <c r="A565" i="11"/>
  <c r="B564" i="11"/>
  <c r="A564" i="11"/>
  <c r="B563" i="11"/>
  <c r="A563" i="11"/>
  <c r="B562" i="11"/>
  <c r="A562" i="11"/>
  <c r="B561" i="11"/>
  <c r="A561" i="11"/>
  <c r="B560" i="11"/>
  <c r="A560" i="11"/>
  <c r="B559" i="11"/>
  <c r="A559" i="11"/>
  <c r="B558" i="11"/>
  <c r="A558" i="11"/>
  <c r="B557" i="11"/>
  <c r="A557" i="11"/>
  <c r="B556" i="11"/>
  <c r="A556" i="11"/>
  <c r="B555" i="11"/>
  <c r="A555" i="11"/>
  <c r="B554" i="11"/>
  <c r="A554" i="11"/>
  <c r="B553" i="11"/>
  <c r="A553" i="11"/>
  <c r="B552" i="11"/>
  <c r="A552" i="11"/>
  <c r="B551" i="11"/>
  <c r="A551" i="11"/>
  <c r="B550" i="11"/>
  <c r="A550" i="11"/>
  <c r="B549" i="11"/>
  <c r="A549" i="11"/>
  <c r="B548" i="11"/>
  <c r="A548" i="11"/>
  <c r="B547" i="11"/>
  <c r="A547" i="11"/>
  <c r="B546" i="11"/>
  <c r="A546" i="11"/>
  <c r="B545" i="11"/>
  <c r="A545" i="11"/>
  <c r="B544" i="11"/>
  <c r="A544" i="11"/>
  <c r="B543" i="11"/>
  <c r="A543" i="11"/>
  <c r="B542" i="11"/>
  <c r="A542" i="11"/>
  <c r="B541" i="11"/>
  <c r="A541" i="11"/>
  <c r="B540" i="11"/>
  <c r="A540" i="11"/>
  <c r="B539" i="11"/>
  <c r="A539" i="11"/>
  <c r="B538" i="11"/>
  <c r="A538" i="11"/>
  <c r="B537" i="11"/>
  <c r="A537" i="11"/>
  <c r="B536" i="11"/>
  <c r="A536" i="11"/>
  <c r="B535" i="11"/>
  <c r="A535" i="11"/>
  <c r="B534" i="11"/>
  <c r="A534" i="11"/>
  <c r="B533" i="11"/>
  <c r="A533" i="11"/>
  <c r="B532" i="11"/>
  <c r="A532" i="11"/>
  <c r="B531" i="11"/>
  <c r="A531" i="11"/>
  <c r="B530" i="11"/>
  <c r="A530" i="11"/>
  <c r="B529" i="11"/>
  <c r="A529" i="11"/>
  <c r="B528" i="11"/>
  <c r="A528" i="11"/>
  <c r="B527" i="11"/>
  <c r="A527" i="11"/>
  <c r="B526" i="11"/>
  <c r="A526" i="11"/>
  <c r="B525" i="11"/>
  <c r="A525" i="11"/>
  <c r="B524" i="11"/>
  <c r="A524" i="11"/>
  <c r="B523" i="11"/>
  <c r="A523" i="11"/>
  <c r="B522" i="11"/>
  <c r="A522" i="11"/>
  <c r="B521" i="11"/>
  <c r="A521" i="11"/>
  <c r="B520" i="11"/>
  <c r="A520" i="11"/>
  <c r="B519" i="11"/>
  <c r="A519" i="11"/>
  <c r="B518" i="11"/>
  <c r="A518" i="11"/>
  <c r="B517" i="11"/>
  <c r="A517" i="11"/>
  <c r="B516" i="11"/>
  <c r="A516" i="11"/>
  <c r="B515" i="11"/>
  <c r="A515" i="11"/>
  <c r="B514" i="11"/>
  <c r="A514" i="11"/>
  <c r="B513" i="11"/>
  <c r="A513" i="11"/>
  <c r="B512" i="11"/>
  <c r="A512" i="11"/>
  <c r="B511" i="11"/>
  <c r="A511" i="11"/>
  <c r="B510" i="11"/>
  <c r="A510" i="11"/>
  <c r="B509" i="11"/>
  <c r="A509" i="11"/>
  <c r="B508" i="11"/>
  <c r="A508" i="11"/>
  <c r="B507" i="11"/>
  <c r="A507" i="11"/>
  <c r="B506" i="11"/>
  <c r="A506" i="11"/>
  <c r="B505" i="11"/>
  <c r="A505" i="11"/>
  <c r="B504" i="11"/>
  <c r="A504" i="11"/>
  <c r="B503" i="11"/>
  <c r="A503" i="11"/>
  <c r="B502" i="11"/>
  <c r="A502" i="11"/>
  <c r="B501" i="11"/>
  <c r="A501" i="11"/>
  <c r="B500" i="11"/>
  <c r="A500" i="11"/>
  <c r="B499" i="11"/>
  <c r="A499" i="11"/>
  <c r="B498" i="11"/>
  <c r="A498" i="11"/>
  <c r="B497" i="11"/>
  <c r="A497" i="11"/>
  <c r="B496" i="11"/>
  <c r="A496" i="11"/>
  <c r="B495" i="11"/>
  <c r="A495" i="11"/>
  <c r="B494" i="11"/>
  <c r="A494" i="11"/>
  <c r="B493" i="11"/>
  <c r="A493" i="11"/>
  <c r="B492" i="11"/>
  <c r="A492" i="11"/>
  <c r="B491" i="11"/>
  <c r="A491" i="11"/>
  <c r="B490" i="11"/>
  <c r="A490" i="11"/>
  <c r="B489" i="11"/>
  <c r="A489" i="11"/>
  <c r="B488" i="11"/>
  <c r="A488" i="11"/>
  <c r="B487" i="11"/>
  <c r="A487" i="11"/>
  <c r="B486" i="11"/>
  <c r="A486" i="11"/>
  <c r="B485" i="11"/>
  <c r="A485" i="11"/>
  <c r="B484" i="11"/>
  <c r="A484" i="11"/>
  <c r="B483" i="11"/>
  <c r="A483" i="11"/>
  <c r="B482" i="11"/>
  <c r="A482" i="11"/>
  <c r="B481" i="11"/>
  <c r="A481" i="11"/>
  <c r="B480" i="11"/>
  <c r="A480" i="11"/>
  <c r="B479" i="11"/>
  <c r="A479" i="11"/>
  <c r="B478" i="11"/>
  <c r="A478" i="11"/>
  <c r="B477" i="11"/>
  <c r="A477" i="11"/>
  <c r="B476" i="11"/>
  <c r="A476" i="11"/>
  <c r="B475" i="11"/>
  <c r="A475" i="11"/>
  <c r="B474" i="11"/>
  <c r="A474" i="11"/>
  <c r="B473" i="11"/>
  <c r="A473" i="11"/>
  <c r="B472" i="11"/>
  <c r="A472" i="11"/>
  <c r="B471" i="11"/>
  <c r="A471" i="11"/>
  <c r="B470" i="11"/>
  <c r="A470" i="11"/>
  <c r="B469" i="11"/>
  <c r="A469" i="11"/>
  <c r="B468" i="11"/>
  <c r="A468" i="11"/>
  <c r="B467" i="11"/>
  <c r="A467" i="11"/>
  <c r="B466" i="11"/>
  <c r="A466" i="11"/>
  <c r="B465" i="11"/>
  <c r="A465" i="11"/>
  <c r="B464" i="11"/>
  <c r="A464" i="11"/>
  <c r="B463" i="11"/>
  <c r="A463" i="11"/>
  <c r="B462" i="11"/>
  <c r="A462" i="11"/>
  <c r="B461" i="11"/>
  <c r="A461" i="11"/>
  <c r="B460" i="11"/>
  <c r="A460" i="11"/>
  <c r="B459" i="11"/>
  <c r="A459" i="11"/>
  <c r="B458" i="11"/>
  <c r="A458" i="11"/>
  <c r="B457" i="11"/>
  <c r="A457" i="11"/>
  <c r="B456" i="11"/>
  <c r="A456" i="11"/>
  <c r="B455" i="11"/>
  <c r="A455" i="11"/>
  <c r="B454" i="11"/>
  <c r="A454" i="11"/>
  <c r="B453" i="11"/>
  <c r="A453" i="11"/>
  <c r="B452" i="11"/>
  <c r="A452" i="11"/>
  <c r="B451" i="11"/>
  <c r="A451" i="11"/>
  <c r="B450" i="11"/>
  <c r="A450" i="11"/>
  <c r="B449" i="11"/>
  <c r="A449" i="11"/>
  <c r="B448" i="11"/>
  <c r="A448" i="11"/>
  <c r="B447" i="11"/>
  <c r="A447" i="11"/>
  <c r="B446" i="11"/>
  <c r="A446" i="11"/>
  <c r="B445" i="11"/>
  <c r="A445" i="11"/>
  <c r="B444" i="11"/>
  <c r="A444" i="11"/>
  <c r="B443" i="11"/>
  <c r="A443" i="11"/>
  <c r="B442" i="11"/>
  <c r="A442" i="11"/>
  <c r="B441" i="11"/>
  <c r="A441" i="11"/>
  <c r="B440" i="11"/>
  <c r="A440" i="11"/>
  <c r="B439" i="11"/>
  <c r="A439" i="11"/>
  <c r="B438" i="11"/>
  <c r="A438" i="11"/>
  <c r="B437" i="11"/>
  <c r="A437" i="11"/>
  <c r="B436" i="11"/>
  <c r="A436" i="11"/>
  <c r="B435" i="11"/>
  <c r="A435" i="11"/>
  <c r="B434" i="11"/>
  <c r="A434" i="11"/>
  <c r="B433" i="11"/>
  <c r="A433" i="11"/>
  <c r="B432" i="11"/>
  <c r="A432" i="11"/>
  <c r="B431" i="11"/>
  <c r="A431" i="11"/>
  <c r="B430" i="11"/>
  <c r="A430" i="11"/>
  <c r="B429" i="11"/>
  <c r="A429" i="11"/>
  <c r="B428" i="11"/>
  <c r="A428" i="11"/>
  <c r="B427" i="11"/>
  <c r="A427" i="11"/>
  <c r="B426" i="11"/>
  <c r="A426" i="11"/>
  <c r="B425" i="11"/>
  <c r="A425" i="11"/>
  <c r="B424" i="11"/>
  <c r="A424" i="11"/>
  <c r="B423" i="11"/>
  <c r="A423" i="11"/>
  <c r="B422" i="11"/>
  <c r="A422" i="11"/>
  <c r="B421" i="11"/>
  <c r="A421" i="11"/>
  <c r="B420" i="11"/>
  <c r="A420" i="11"/>
  <c r="B419" i="11"/>
  <c r="A419" i="11"/>
  <c r="B418" i="11"/>
  <c r="A418" i="11"/>
  <c r="B417" i="11"/>
  <c r="A417" i="11"/>
  <c r="B416" i="11"/>
  <c r="A416" i="11"/>
  <c r="B415" i="11"/>
  <c r="A415" i="11"/>
  <c r="B414" i="11"/>
  <c r="A414" i="11"/>
  <c r="B413" i="11"/>
  <c r="A413" i="11"/>
  <c r="B412" i="11"/>
  <c r="A412" i="11"/>
  <c r="B411" i="11"/>
  <c r="A411" i="11"/>
  <c r="B410" i="11"/>
  <c r="A410" i="11"/>
  <c r="B409" i="11"/>
  <c r="A409" i="11"/>
  <c r="B408" i="11"/>
  <c r="A408" i="11"/>
  <c r="B407" i="11"/>
  <c r="A407" i="11"/>
  <c r="B406" i="11"/>
  <c r="A406" i="11"/>
  <c r="B405" i="11"/>
  <c r="A405" i="11"/>
  <c r="B404" i="11"/>
  <c r="A404" i="11"/>
  <c r="B403" i="11"/>
  <c r="A403" i="11"/>
  <c r="B402" i="11"/>
  <c r="A402" i="11"/>
  <c r="B401" i="11"/>
  <c r="A401" i="11"/>
  <c r="B400" i="11"/>
  <c r="A400" i="11"/>
  <c r="B399" i="11"/>
  <c r="A399" i="11"/>
  <c r="B398" i="11"/>
  <c r="A398" i="11"/>
  <c r="B397" i="11"/>
  <c r="A397" i="11"/>
  <c r="B396" i="11"/>
  <c r="A396" i="11"/>
  <c r="B395" i="11"/>
  <c r="A395" i="11"/>
  <c r="B394" i="11"/>
  <c r="A394" i="11"/>
  <c r="B393" i="11"/>
  <c r="A393" i="11"/>
  <c r="B392" i="11"/>
  <c r="A392" i="11"/>
  <c r="B391" i="11"/>
  <c r="A391" i="11"/>
  <c r="B390" i="11"/>
  <c r="A390" i="11"/>
  <c r="B389" i="11"/>
  <c r="A389" i="11"/>
  <c r="B388" i="11"/>
  <c r="A388" i="11"/>
  <c r="B387" i="11"/>
  <c r="A387" i="11"/>
  <c r="B386" i="11"/>
  <c r="A386" i="11"/>
  <c r="B385" i="11"/>
  <c r="A385" i="11"/>
  <c r="B384" i="11"/>
  <c r="A384" i="11"/>
  <c r="B383" i="11"/>
  <c r="A383" i="11"/>
  <c r="B382" i="11"/>
  <c r="A382" i="11"/>
  <c r="B381" i="11"/>
  <c r="A381" i="11"/>
  <c r="B380" i="11"/>
  <c r="A380" i="11"/>
  <c r="B379" i="11"/>
  <c r="A379" i="11"/>
  <c r="B378" i="11"/>
  <c r="A378" i="11"/>
  <c r="B377" i="11"/>
  <c r="A377" i="11"/>
  <c r="B376" i="11"/>
  <c r="A376" i="11"/>
  <c r="B375" i="11"/>
  <c r="A375" i="11"/>
  <c r="B374" i="11"/>
  <c r="A374" i="11"/>
  <c r="B373" i="11"/>
  <c r="A373" i="11"/>
  <c r="B372" i="11"/>
  <c r="A372" i="11"/>
  <c r="B371" i="11"/>
  <c r="A371" i="11"/>
  <c r="B370" i="11"/>
  <c r="A370" i="11"/>
  <c r="B369" i="11"/>
  <c r="A369" i="11"/>
  <c r="B368" i="11"/>
  <c r="A368" i="11"/>
  <c r="B367" i="11"/>
  <c r="A367" i="11"/>
  <c r="B366" i="11"/>
  <c r="A366" i="11"/>
  <c r="B365" i="11"/>
  <c r="A365" i="11"/>
  <c r="B364" i="11"/>
  <c r="A364" i="11"/>
  <c r="B363" i="11"/>
  <c r="A363" i="11"/>
  <c r="B362" i="11"/>
  <c r="A362" i="11"/>
  <c r="B361" i="11"/>
  <c r="A361" i="11"/>
  <c r="B360" i="11"/>
  <c r="A360" i="11"/>
  <c r="B359" i="11"/>
  <c r="A359" i="11"/>
  <c r="B358" i="11"/>
  <c r="A358" i="11"/>
  <c r="B357" i="11"/>
  <c r="A357" i="11"/>
  <c r="B356" i="11"/>
  <c r="A356" i="11"/>
  <c r="B355" i="11"/>
  <c r="A355" i="11"/>
  <c r="B354" i="11"/>
  <c r="A354" i="11"/>
  <c r="B353" i="11"/>
  <c r="A353" i="11"/>
  <c r="B352" i="11"/>
  <c r="A352" i="11"/>
  <c r="B351" i="11"/>
  <c r="A351" i="11"/>
  <c r="B350" i="11"/>
  <c r="A350" i="11"/>
  <c r="B349" i="11"/>
  <c r="A349" i="11"/>
  <c r="B348" i="11"/>
  <c r="A348" i="11"/>
  <c r="B347" i="11"/>
  <c r="A347" i="11"/>
  <c r="B346" i="11"/>
  <c r="A346" i="11"/>
  <c r="B345" i="11"/>
  <c r="A345" i="11"/>
  <c r="B344" i="11"/>
  <c r="A344" i="11"/>
  <c r="B343" i="11"/>
  <c r="A343" i="11"/>
  <c r="B342" i="11"/>
  <c r="A342" i="11"/>
  <c r="B341" i="11"/>
  <c r="A341" i="11"/>
  <c r="B340" i="11"/>
  <c r="A340" i="11"/>
  <c r="B339" i="11"/>
  <c r="A339" i="11"/>
  <c r="B338" i="11"/>
  <c r="A338" i="11"/>
  <c r="B337" i="11"/>
  <c r="A337" i="11"/>
  <c r="B336" i="11"/>
  <c r="A336" i="11"/>
  <c r="B335" i="11"/>
  <c r="A335" i="11"/>
  <c r="B334" i="11"/>
  <c r="A334" i="11"/>
  <c r="B333" i="11"/>
  <c r="A333" i="11"/>
  <c r="B332" i="11"/>
  <c r="A332" i="11"/>
  <c r="B331" i="11"/>
  <c r="A331" i="11"/>
  <c r="B330" i="11"/>
  <c r="A330" i="11"/>
  <c r="B329" i="11"/>
  <c r="A329" i="11"/>
  <c r="B328" i="11"/>
  <c r="A328" i="11"/>
  <c r="B327" i="11"/>
  <c r="A327" i="11"/>
  <c r="B326" i="11"/>
  <c r="A326" i="11"/>
  <c r="B325" i="11"/>
  <c r="A325" i="11"/>
  <c r="B324" i="11"/>
  <c r="A324" i="11"/>
  <c r="B323" i="11"/>
  <c r="A323" i="11"/>
  <c r="B322" i="11"/>
  <c r="A322" i="11"/>
  <c r="B321" i="11"/>
  <c r="A321" i="11"/>
  <c r="B320" i="11"/>
  <c r="A320" i="11"/>
  <c r="B319" i="11"/>
  <c r="A319" i="11"/>
  <c r="B318" i="11"/>
  <c r="A318" i="11"/>
  <c r="B317" i="11"/>
  <c r="A317" i="11"/>
  <c r="B316" i="11"/>
  <c r="A316" i="11"/>
  <c r="B315" i="11"/>
  <c r="A315" i="11"/>
  <c r="B314" i="11"/>
  <c r="A314" i="11"/>
  <c r="B313" i="11"/>
  <c r="A313" i="11"/>
  <c r="B312" i="11"/>
  <c r="A312" i="11"/>
  <c r="B311" i="11"/>
  <c r="A311" i="11"/>
  <c r="B310" i="11"/>
  <c r="A310" i="11"/>
  <c r="B309" i="11"/>
  <c r="A309" i="11"/>
  <c r="B308" i="11"/>
  <c r="A308" i="11"/>
  <c r="B307" i="11"/>
  <c r="A307" i="11"/>
  <c r="B306" i="11"/>
  <c r="A306" i="11"/>
  <c r="B305" i="11"/>
  <c r="A305" i="11"/>
  <c r="B304" i="11"/>
  <c r="A304" i="11"/>
  <c r="B303" i="11"/>
  <c r="A303" i="11"/>
  <c r="B302" i="11"/>
  <c r="A302" i="11"/>
  <c r="B301" i="11"/>
  <c r="A301" i="11"/>
  <c r="B300" i="11"/>
  <c r="A300" i="11"/>
  <c r="B299" i="11"/>
  <c r="A299" i="11"/>
  <c r="B298" i="11"/>
  <c r="A298" i="11"/>
  <c r="B297" i="11"/>
  <c r="A297" i="11"/>
  <c r="B296" i="11"/>
  <c r="A296" i="11"/>
  <c r="B295" i="11"/>
  <c r="A295" i="11"/>
  <c r="B294" i="11"/>
  <c r="A294" i="11"/>
  <c r="B293" i="11"/>
  <c r="A293" i="11"/>
  <c r="B292" i="11"/>
  <c r="A292" i="11"/>
  <c r="B291" i="11"/>
  <c r="A291" i="11"/>
  <c r="B290" i="11"/>
  <c r="A290" i="11"/>
  <c r="B289" i="11"/>
  <c r="A289" i="11"/>
  <c r="B288" i="11"/>
  <c r="A288" i="11"/>
  <c r="B287" i="11"/>
  <c r="A287" i="11"/>
  <c r="B286" i="11"/>
  <c r="A286" i="11"/>
  <c r="B285" i="11"/>
  <c r="A285" i="11"/>
  <c r="B284" i="11"/>
  <c r="A284" i="11"/>
  <c r="B283" i="11"/>
  <c r="A283" i="11"/>
  <c r="B282" i="11"/>
  <c r="A282" i="11"/>
  <c r="B281" i="11"/>
  <c r="A281" i="11"/>
  <c r="B280" i="11"/>
  <c r="A280" i="11"/>
  <c r="B279" i="11"/>
  <c r="A279" i="11"/>
  <c r="B278" i="11"/>
  <c r="A278" i="11"/>
  <c r="B277" i="11"/>
  <c r="A277" i="11"/>
  <c r="B276" i="11"/>
  <c r="A276" i="11"/>
  <c r="B275" i="11"/>
  <c r="A275" i="11"/>
  <c r="B274" i="11"/>
  <c r="A274" i="11"/>
  <c r="B273" i="11"/>
  <c r="A273" i="11"/>
  <c r="B272" i="11"/>
  <c r="A272" i="11"/>
  <c r="B271" i="11"/>
  <c r="A271" i="11"/>
  <c r="B270" i="11"/>
  <c r="A270" i="11"/>
  <c r="B269" i="11"/>
  <c r="A269" i="11"/>
  <c r="B268" i="11"/>
  <c r="A268" i="11"/>
  <c r="B267" i="11"/>
  <c r="A267" i="11"/>
  <c r="B266" i="11"/>
  <c r="A266" i="11"/>
  <c r="B265" i="11"/>
  <c r="A265" i="11"/>
  <c r="B264" i="11"/>
  <c r="A264" i="11"/>
  <c r="B263" i="11"/>
  <c r="A263" i="11"/>
  <c r="B262" i="11"/>
  <c r="A262" i="11"/>
  <c r="B261" i="11"/>
  <c r="A261" i="11"/>
  <c r="B260" i="11"/>
  <c r="A260" i="11"/>
  <c r="B259" i="11"/>
  <c r="A259" i="11"/>
  <c r="B258" i="11"/>
  <c r="A258" i="11"/>
  <c r="B257" i="11"/>
  <c r="A257" i="11"/>
  <c r="B256" i="11"/>
  <c r="A256" i="11"/>
  <c r="B255" i="11"/>
  <c r="A255" i="11"/>
  <c r="B254" i="11"/>
  <c r="A254" i="11"/>
  <c r="B253" i="11"/>
  <c r="A253" i="11"/>
  <c r="B252" i="11"/>
  <c r="A252" i="11"/>
  <c r="B251" i="11"/>
  <c r="A251" i="11"/>
  <c r="B250" i="11"/>
  <c r="A250" i="11"/>
  <c r="B249" i="11"/>
  <c r="A249" i="11"/>
  <c r="B248" i="11"/>
  <c r="A248" i="11"/>
  <c r="B247" i="11"/>
  <c r="A247" i="11"/>
  <c r="B246" i="11"/>
  <c r="A246" i="11"/>
  <c r="B245" i="11"/>
  <c r="A245" i="11"/>
  <c r="B244" i="11"/>
  <c r="A244" i="11"/>
  <c r="B243" i="11"/>
  <c r="A243" i="11"/>
  <c r="B242" i="11"/>
  <c r="A242" i="11"/>
  <c r="B241" i="11"/>
  <c r="A241" i="11"/>
  <c r="B240" i="11"/>
  <c r="A240" i="11"/>
  <c r="B239" i="11"/>
  <c r="A239" i="11"/>
  <c r="B238" i="11"/>
  <c r="A238" i="11"/>
  <c r="B237" i="11"/>
  <c r="A237" i="11"/>
  <c r="B236" i="11"/>
  <c r="A236" i="11"/>
  <c r="B235" i="11"/>
  <c r="A235" i="11"/>
  <c r="B234" i="11"/>
  <c r="A234" i="11"/>
  <c r="B233" i="11"/>
  <c r="A233" i="11"/>
  <c r="B232" i="11"/>
  <c r="A232" i="11"/>
  <c r="B231" i="11"/>
  <c r="A231" i="11"/>
  <c r="B230" i="11"/>
  <c r="A230" i="11"/>
  <c r="B229" i="11"/>
  <c r="A229" i="11"/>
  <c r="B228" i="11"/>
  <c r="A228" i="11"/>
  <c r="B227" i="11"/>
  <c r="A227" i="11"/>
  <c r="B226" i="11"/>
  <c r="A226" i="11"/>
  <c r="B225" i="11"/>
  <c r="A225" i="11"/>
  <c r="B224" i="11"/>
  <c r="A224" i="11"/>
  <c r="B223" i="11"/>
  <c r="A223" i="11"/>
  <c r="B222" i="11"/>
  <c r="A222" i="11"/>
  <c r="B221" i="11"/>
  <c r="A221" i="11"/>
  <c r="B220" i="11"/>
  <c r="A220" i="11"/>
  <c r="B219" i="11"/>
  <c r="A219" i="11"/>
  <c r="B218" i="11"/>
  <c r="A218" i="11"/>
  <c r="B217" i="11"/>
  <c r="A217" i="11"/>
  <c r="B216" i="11"/>
  <c r="A216" i="11"/>
  <c r="B215" i="11"/>
  <c r="A215" i="11"/>
  <c r="B214" i="11"/>
  <c r="A214" i="11"/>
  <c r="B213" i="11"/>
  <c r="A213" i="11"/>
  <c r="B212" i="11"/>
  <c r="A212" i="11"/>
  <c r="B211" i="11"/>
  <c r="A211" i="11"/>
  <c r="B210" i="11"/>
  <c r="A210" i="11"/>
  <c r="B209" i="11"/>
  <c r="A209" i="11"/>
  <c r="B208" i="11"/>
  <c r="A208" i="11"/>
  <c r="B207" i="11"/>
  <c r="A207" i="11"/>
  <c r="B206" i="11"/>
  <c r="A206" i="11"/>
  <c r="B205" i="11"/>
  <c r="A205" i="11"/>
  <c r="B204" i="11"/>
  <c r="A204" i="11"/>
  <c r="B203" i="11"/>
  <c r="A203" i="11"/>
  <c r="B202" i="11"/>
  <c r="A202" i="11"/>
  <c r="B201" i="11"/>
  <c r="A201" i="11"/>
  <c r="B200" i="11"/>
  <c r="A200" i="11"/>
  <c r="B199" i="11"/>
  <c r="A199" i="11"/>
  <c r="B198" i="11"/>
  <c r="A198" i="11"/>
  <c r="B197" i="11"/>
  <c r="A197" i="11"/>
  <c r="B196" i="11"/>
  <c r="A196" i="11"/>
  <c r="B195" i="11"/>
  <c r="A195" i="11"/>
  <c r="B194" i="11"/>
  <c r="A194" i="11"/>
  <c r="B193" i="11"/>
  <c r="A193" i="11"/>
  <c r="B192" i="11"/>
  <c r="A192" i="11"/>
  <c r="B191" i="11"/>
  <c r="A191" i="11"/>
  <c r="B190" i="11"/>
  <c r="A190" i="11"/>
  <c r="B189" i="11"/>
  <c r="A189" i="11"/>
  <c r="B188" i="11"/>
  <c r="A188" i="11"/>
  <c r="B187" i="11"/>
  <c r="A187" i="11"/>
  <c r="B186" i="11"/>
  <c r="A186" i="11"/>
  <c r="B185" i="11"/>
  <c r="A185" i="11"/>
  <c r="B184" i="11"/>
  <c r="A184" i="11"/>
  <c r="B183" i="11"/>
  <c r="A183" i="11"/>
  <c r="B182" i="11"/>
  <c r="A182" i="11"/>
  <c r="B181" i="11"/>
  <c r="A181" i="11"/>
  <c r="B180" i="11"/>
  <c r="A180" i="11"/>
  <c r="B179" i="11"/>
  <c r="A179" i="11"/>
  <c r="B178" i="11"/>
  <c r="A178" i="11"/>
  <c r="B177" i="11"/>
  <c r="A177" i="11"/>
  <c r="B176" i="11"/>
  <c r="A176" i="11"/>
  <c r="B175" i="11"/>
  <c r="A175" i="11"/>
  <c r="B174" i="11"/>
  <c r="A174" i="11"/>
  <c r="B173" i="11"/>
  <c r="A173" i="11"/>
  <c r="B172" i="11"/>
  <c r="A172" i="11"/>
  <c r="B171" i="11"/>
  <c r="A171" i="11"/>
  <c r="B170" i="11"/>
  <c r="A170" i="11"/>
  <c r="B169" i="11"/>
  <c r="A169" i="11"/>
  <c r="B168" i="11"/>
  <c r="A168" i="11"/>
  <c r="B167" i="11"/>
  <c r="A167" i="11"/>
  <c r="B166" i="11"/>
  <c r="A166" i="11"/>
  <c r="B165" i="11"/>
  <c r="A165" i="11"/>
  <c r="B164" i="11"/>
  <c r="A164" i="11"/>
  <c r="B163" i="11"/>
  <c r="A163" i="11"/>
  <c r="B162" i="11"/>
  <c r="A162" i="11"/>
  <c r="B161" i="11"/>
  <c r="A161" i="11"/>
  <c r="B160" i="11"/>
  <c r="A160" i="11"/>
  <c r="B159" i="11"/>
  <c r="A159" i="11"/>
  <c r="B158" i="11"/>
  <c r="A158" i="11"/>
  <c r="B157" i="11"/>
  <c r="A157" i="11"/>
  <c r="B156" i="11"/>
  <c r="A156" i="11"/>
  <c r="B155" i="11"/>
  <c r="A155" i="11"/>
  <c r="B154" i="11"/>
  <c r="A154" i="11"/>
  <c r="B153" i="11"/>
  <c r="A153" i="11"/>
  <c r="B152" i="11"/>
  <c r="A152" i="11"/>
  <c r="B151" i="11"/>
  <c r="A151" i="11"/>
  <c r="B150" i="11"/>
  <c r="A150" i="11"/>
  <c r="B149" i="11"/>
  <c r="A149" i="11"/>
  <c r="B148" i="11"/>
  <c r="A148" i="11"/>
  <c r="B147" i="11"/>
  <c r="A147" i="11"/>
  <c r="B146" i="11"/>
  <c r="A146" i="11"/>
  <c r="B145" i="11"/>
  <c r="A145" i="11"/>
  <c r="B144" i="11"/>
  <c r="A144" i="11"/>
  <c r="B143" i="11"/>
  <c r="A143" i="11"/>
  <c r="B142" i="11"/>
  <c r="A142" i="11"/>
  <c r="B141" i="11"/>
  <c r="A141" i="11"/>
  <c r="B140" i="11"/>
  <c r="A140" i="11"/>
  <c r="B139" i="11"/>
  <c r="A139" i="11"/>
  <c r="B138" i="11"/>
  <c r="A138" i="11"/>
  <c r="B137" i="11"/>
  <c r="A137" i="11"/>
  <c r="B136" i="11"/>
  <c r="A136" i="11"/>
  <c r="B135" i="11"/>
  <c r="A135" i="11"/>
  <c r="B134" i="11"/>
  <c r="A134" i="11"/>
  <c r="B133" i="11"/>
  <c r="A133" i="11"/>
  <c r="B132" i="11"/>
  <c r="A132" i="11"/>
  <c r="B131" i="11"/>
  <c r="A131" i="11"/>
  <c r="B130" i="11"/>
  <c r="A130" i="11"/>
  <c r="B129" i="11"/>
  <c r="A129" i="11"/>
  <c r="B128" i="11"/>
  <c r="A128" i="11"/>
  <c r="B127" i="11"/>
  <c r="A127" i="11"/>
  <c r="B126" i="11"/>
  <c r="A126" i="11"/>
  <c r="B125" i="11"/>
  <c r="A125" i="11"/>
  <c r="B124" i="11"/>
  <c r="A124" i="11"/>
  <c r="B123" i="11"/>
  <c r="A123" i="11"/>
  <c r="B122" i="11"/>
  <c r="A122" i="11"/>
  <c r="B121" i="11"/>
  <c r="A121" i="11"/>
  <c r="B120" i="11"/>
  <c r="A120" i="11"/>
  <c r="B119" i="11"/>
  <c r="A119" i="11"/>
  <c r="B118" i="11"/>
  <c r="A118" i="11"/>
  <c r="B117" i="11"/>
  <c r="A117" i="11"/>
  <c r="B116" i="11"/>
  <c r="A116" i="11"/>
  <c r="B115" i="11"/>
  <c r="A115" i="11"/>
  <c r="B114" i="11"/>
  <c r="A114" i="11"/>
  <c r="B113" i="11"/>
  <c r="A113" i="11"/>
  <c r="B112" i="11"/>
  <c r="A112" i="11"/>
  <c r="B111" i="11"/>
  <c r="A111" i="11"/>
  <c r="B110" i="11"/>
  <c r="A110" i="11"/>
  <c r="B109" i="11"/>
  <c r="A109" i="11"/>
  <c r="B108" i="11"/>
  <c r="A108" i="11"/>
  <c r="B107" i="11"/>
  <c r="A107" i="11"/>
  <c r="B106" i="11"/>
  <c r="A106" i="11"/>
  <c r="B105" i="11"/>
  <c r="A105" i="11"/>
  <c r="B104" i="11"/>
  <c r="A104" i="11"/>
  <c r="B103" i="11"/>
  <c r="A103" i="11"/>
  <c r="B102" i="11"/>
  <c r="A102" i="11"/>
  <c r="B101" i="11"/>
  <c r="A101" i="11"/>
  <c r="B100" i="11"/>
  <c r="A100" i="11"/>
  <c r="B99" i="11"/>
  <c r="A99" i="11"/>
  <c r="B98" i="11"/>
  <c r="A98" i="11"/>
  <c r="B97" i="11"/>
  <c r="A97" i="11"/>
  <c r="B96" i="11"/>
  <c r="A96" i="11"/>
  <c r="B95" i="11"/>
  <c r="A95" i="11"/>
  <c r="B94" i="11"/>
  <c r="A94" i="11"/>
  <c r="B93" i="11"/>
  <c r="A93" i="11"/>
  <c r="B92" i="11"/>
  <c r="A92" i="11"/>
  <c r="B91" i="11"/>
  <c r="A91" i="11"/>
  <c r="B90" i="11"/>
  <c r="A90" i="11"/>
  <c r="B89" i="11"/>
  <c r="A89" i="11"/>
  <c r="B88" i="11"/>
  <c r="A88" i="11"/>
  <c r="B87" i="11"/>
  <c r="A87" i="11"/>
  <c r="B86" i="11"/>
  <c r="A86" i="11"/>
  <c r="B85" i="11"/>
  <c r="A85" i="11"/>
  <c r="B84" i="11"/>
  <c r="A84" i="11"/>
  <c r="B83" i="11"/>
  <c r="A83" i="11"/>
  <c r="B82" i="11"/>
  <c r="A82" i="11"/>
  <c r="B81" i="11"/>
  <c r="A81" i="11"/>
  <c r="B80" i="11"/>
  <c r="A80" i="11"/>
  <c r="B79" i="11"/>
  <c r="A79" i="11"/>
  <c r="B78" i="11"/>
  <c r="A78" i="11"/>
  <c r="B77" i="11"/>
  <c r="A77" i="11"/>
  <c r="B76" i="11"/>
  <c r="A76" i="11"/>
  <c r="B75" i="11"/>
  <c r="A75" i="11"/>
  <c r="B74" i="11"/>
  <c r="A74" i="11"/>
  <c r="B73" i="11"/>
  <c r="A73" i="11"/>
  <c r="B72" i="11"/>
  <c r="A72" i="11"/>
  <c r="B71" i="11"/>
  <c r="A71" i="11"/>
  <c r="B70" i="11"/>
  <c r="A70" i="11"/>
  <c r="B69" i="11"/>
  <c r="A69" i="11"/>
  <c r="B68" i="11"/>
  <c r="A68" i="11"/>
  <c r="B67" i="11"/>
  <c r="A67" i="11"/>
  <c r="B66" i="11"/>
  <c r="A66" i="11"/>
  <c r="B65" i="11"/>
  <c r="A65" i="11"/>
  <c r="B64" i="11"/>
  <c r="A64" i="11"/>
  <c r="B63" i="11"/>
  <c r="A63" i="11"/>
  <c r="B62" i="11"/>
  <c r="A62" i="11"/>
  <c r="B61" i="11"/>
  <c r="A61" i="11"/>
  <c r="B60" i="11"/>
  <c r="A60" i="11"/>
  <c r="B59" i="11"/>
  <c r="A59" i="11"/>
  <c r="B58" i="11"/>
  <c r="A58" i="11"/>
  <c r="B57" i="11"/>
  <c r="A57" i="11"/>
  <c r="B56" i="11"/>
  <c r="A56" i="11"/>
  <c r="B55" i="11"/>
  <c r="A55" i="11"/>
  <c r="B54" i="11"/>
  <c r="A54" i="11"/>
  <c r="B53" i="11"/>
  <c r="A53" i="11"/>
  <c r="B52" i="11"/>
  <c r="A52" i="11"/>
  <c r="B51" i="11"/>
  <c r="A51" i="11"/>
  <c r="B50" i="11"/>
  <c r="A50" i="11"/>
  <c r="B49" i="11"/>
  <c r="A49" i="11"/>
  <c r="B48" i="11"/>
  <c r="A48" i="11"/>
  <c r="B47" i="11"/>
  <c r="A47" i="11"/>
  <c r="B46" i="11"/>
  <c r="A46" i="11"/>
  <c r="B45" i="11"/>
  <c r="A45" i="11"/>
  <c r="B44" i="11"/>
  <c r="A44" i="11"/>
  <c r="B43" i="11"/>
  <c r="A43" i="11"/>
  <c r="B42" i="11"/>
  <c r="A42" i="11"/>
  <c r="B41" i="11"/>
  <c r="A41" i="11"/>
  <c r="B40" i="11"/>
  <c r="A40" i="11"/>
  <c r="B39" i="11"/>
  <c r="A39" i="11"/>
  <c r="B38" i="11"/>
  <c r="A38" i="11"/>
  <c r="B37" i="11"/>
  <c r="A37" i="11"/>
  <c r="B36" i="11"/>
  <c r="A36" i="11"/>
  <c r="B35" i="11"/>
  <c r="A35" i="11"/>
  <c r="B34" i="11"/>
  <c r="A34" i="11"/>
  <c r="B33" i="11"/>
  <c r="A33" i="11"/>
  <c r="B32" i="11"/>
  <c r="A32" i="11"/>
  <c r="B31" i="11"/>
  <c r="A31" i="11"/>
  <c r="B30" i="11"/>
  <c r="A30" i="11"/>
  <c r="B29" i="11"/>
  <c r="A29" i="11"/>
  <c r="B28" i="11"/>
  <c r="A28" i="11"/>
  <c r="B27" i="11"/>
  <c r="A27" i="11"/>
  <c r="B26" i="11"/>
  <c r="A26" i="11"/>
  <c r="B25" i="11"/>
  <c r="A25" i="11"/>
  <c r="B24" i="11"/>
  <c r="A24" i="11"/>
  <c r="B23" i="11"/>
  <c r="A23" i="11"/>
  <c r="B22" i="11"/>
  <c r="A22" i="11"/>
  <c r="B21" i="11"/>
  <c r="A21" i="11"/>
  <c r="B20" i="11"/>
  <c r="A20" i="11"/>
  <c r="B19" i="11"/>
  <c r="A19" i="11"/>
  <c r="B18" i="11"/>
  <c r="A18" i="11"/>
  <c r="B17" i="11"/>
  <c r="A17" i="11"/>
  <c r="B16" i="11"/>
  <c r="A16" i="11"/>
  <c r="B15" i="11"/>
  <c r="A15" i="11"/>
  <c r="B14" i="11"/>
  <c r="A14" i="11"/>
  <c r="B13" i="11"/>
  <c r="A13" i="11"/>
  <c r="R4" i="6"/>
  <c r="R5" i="6"/>
  <c r="R6" i="6"/>
  <c r="R7" i="6"/>
  <c r="R8" i="6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3" i="6"/>
  <c r="Z2" i="6"/>
  <c r="AA2" i="6" s="1"/>
  <c r="Z8" i="6"/>
  <c r="AA8" i="6" s="1"/>
  <c r="E16" i="6"/>
  <c r="F16" i="6" s="1"/>
  <c r="H16" i="6" s="1"/>
  <c r="E17" i="6"/>
  <c r="F17" i="6" s="1"/>
  <c r="H17" i="6" s="1"/>
  <c r="E8" i="6"/>
  <c r="F8" i="6" s="1"/>
  <c r="H8" i="6" s="1"/>
  <c r="E9" i="6"/>
  <c r="F9" i="6" s="1"/>
  <c r="H9" i="6" s="1"/>
  <c r="E10" i="6"/>
  <c r="E11" i="6"/>
  <c r="F11" i="6" s="1"/>
  <c r="H11" i="6" s="1"/>
  <c r="F10" i="6"/>
  <c r="H10" i="6" s="1"/>
  <c r="E2620" i="5"/>
  <c r="G2620" i="5"/>
  <c r="F2620" i="5"/>
  <c r="H2620" i="5" s="1"/>
  <c r="H2" i="5"/>
  <c r="I6" i="5"/>
  <c r="H6" i="5"/>
  <c r="I8" i="5"/>
  <c r="H8" i="5"/>
  <c r="I5" i="5"/>
  <c r="H5" i="5"/>
  <c r="I2" i="5"/>
  <c r="I10" i="5"/>
  <c r="H10" i="5"/>
  <c r="I7" i="5"/>
  <c r="H7" i="5"/>
  <c r="I3" i="5"/>
  <c r="H3" i="5"/>
  <c r="I4" i="5"/>
  <c r="H4" i="5"/>
  <c r="I9" i="5"/>
  <c r="H9" i="5"/>
  <c r="AB6" i="7" l="1"/>
  <c r="AD6" i="7" s="1"/>
  <c r="AC3" i="7"/>
  <c r="AD3" i="7" s="1"/>
  <c r="AB7" i="7"/>
  <c r="AD7" i="7" s="1"/>
  <c r="AC2" i="7"/>
  <c r="AD2" i="7" s="1"/>
  <c r="Z4" i="7"/>
  <c r="AB5" i="7"/>
  <c r="AD5" i="7" s="1"/>
  <c r="Z8" i="7"/>
  <c r="AB4" i="7"/>
  <c r="AB8" i="7"/>
  <c r="Y8" i="6"/>
  <c r="AB8" i="6"/>
  <c r="Y2" i="6"/>
  <c r="AB2" i="6"/>
  <c r="I2620" i="5"/>
  <c r="F2625" i="5"/>
  <c r="AD8" i="7" l="1"/>
  <c r="AD4" i="7"/>
  <c r="AC8" i="6"/>
  <c r="AC2" i="6"/>
  <c r="Y3" i="6"/>
  <c r="Y4" i="6"/>
  <c r="Y5" i="6"/>
  <c r="Y6" i="6"/>
  <c r="Y7" i="6"/>
  <c r="R3" i="7" l="1"/>
  <c r="R4" i="7"/>
  <c r="R5" i="7"/>
  <c r="R6" i="7"/>
  <c r="R7" i="7"/>
  <c r="R8" i="7"/>
  <c r="R9" i="7"/>
  <c r="Z3" i="6"/>
  <c r="AA3" i="6" s="1"/>
  <c r="Z4" i="6"/>
  <c r="AB4" i="6" s="1"/>
  <c r="Z5" i="6"/>
  <c r="AA5" i="6" s="1"/>
  <c r="Z6" i="6"/>
  <c r="AA6" i="6" s="1"/>
  <c r="Z7" i="6"/>
  <c r="AA7" i="6" s="1"/>
  <c r="Q9" i="7"/>
  <c r="O9" i="7"/>
  <c r="P9" i="7" s="1"/>
  <c r="Q8" i="7"/>
  <c r="O8" i="7"/>
  <c r="P8" i="7" s="1"/>
  <c r="Q7" i="7"/>
  <c r="O7" i="7"/>
  <c r="P7" i="7" s="1"/>
  <c r="Q6" i="7"/>
  <c r="O6" i="7"/>
  <c r="P6" i="7" s="1"/>
  <c r="Q5" i="7"/>
  <c r="O5" i="7"/>
  <c r="P5" i="7" s="1"/>
  <c r="E4" i="7"/>
  <c r="F4" i="7" s="1"/>
  <c r="H4" i="7" s="1"/>
  <c r="Q4" i="7"/>
  <c r="O4" i="7"/>
  <c r="P4" i="7" s="1"/>
  <c r="E3" i="7"/>
  <c r="F3" i="7" s="1"/>
  <c r="H3" i="7" s="1"/>
  <c r="Q3" i="7"/>
  <c r="O3" i="7"/>
  <c r="P3" i="7" s="1"/>
  <c r="E2" i="7"/>
  <c r="F2" i="7" s="1"/>
  <c r="H2" i="7" s="1"/>
  <c r="Q40" i="6"/>
  <c r="O40" i="6"/>
  <c r="P40" i="6" s="1"/>
  <c r="Q39" i="6"/>
  <c r="O39" i="6"/>
  <c r="P39" i="6" s="1"/>
  <c r="Q38" i="6"/>
  <c r="O38" i="6"/>
  <c r="P38" i="6" s="1"/>
  <c r="Q37" i="6"/>
  <c r="O37" i="6"/>
  <c r="P37" i="6" s="1"/>
  <c r="Q36" i="6"/>
  <c r="O36" i="6"/>
  <c r="P36" i="6" s="1"/>
  <c r="Q35" i="6"/>
  <c r="O35" i="6"/>
  <c r="P35" i="6" s="1"/>
  <c r="Q34" i="6"/>
  <c r="O34" i="6"/>
  <c r="P34" i="6" s="1"/>
  <c r="Q33" i="6"/>
  <c r="O33" i="6"/>
  <c r="P33" i="6" s="1"/>
  <c r="Q32" i="6"/>
  <c r="O32" i="6"/>
  <c r="P32" i="6" s="1"/>
  <c r="Q31" i="6"/>
  <c r="O31" i="6"/>
  <c r="P31" i="6" s="1"/>
  <c r="Q30" i="6"/>
  <c r="O30" i="6"/>
  <c r="P30" i="6" s="1"/>
  <c r="Q29" i="6"/>
  <c r="O29" i="6"/>
  <c r="P29" i="6" s="1"/>
  <c r="Q28" i="6"/>
  <c r="O28" i="6"/>
  <c r="P28" i="6" s="1"/>
  <c r="Q27" i="6"/>
  <c r="O27" i="6"/>
  <c r="P27" i="6" s="1"/>
  <c r="Q26" i="6"/>
  <c r="O26" i="6"/>
  <c r="P26" i="6" s="1"/>
  <c r="Q25" i="6"/>
  <c r="O25" i="6"/>
  <c r="P25" i="6" s="1"/>
  <c r="Q24" i="6"/>
  <c r="O24" i="6"/>
  <c r="P24" i="6" s="1"/>
  <c r="Q23" i="6"/>
  <c r="O23" i="6"/>
  <c r="P23" i="6" s="1"/>
  <c r="Q22" i="6"/>
  <c r="O22" i="6"/>
  <c r="P22" i="6" s="1"/>
  <c r="Q21" i="6"/>
  <c r="O21" i="6"/>
  <c r="P21" i="6" s="1"/>
  <c r="Q20" i="6"/>
  <c r="O20" i="6"/>
  <c r="P20" i="6" s="1"/>
  <c r="Q19" i="6"/>
  <c r="O19" i="6"/>
  <c r="P19" i="6" s="1"/>
  <c r="Q18" i="6"/>
  <c r="O18" i="6"/>
  <c r="P18" i="6" s="1"/>
  <c r="Q17" i="6"/>
  <c r="O17" i="6"/>
  <c r="P17" i="6" s="1"/>
  <c r="Q16" i="6"/>
  <c r="O16" i="6"/>
  <c r="P16" i="6" s="1"/>
  <c r="Q15" i="6"/>
  <c r="O15" i="6"/>
  <c r="P15" i="6" s="1"/>
  <c r="Q14" i="6"/>
  <c r="O14" i="6"/>
  <c r="P14" i="6" s="1"/>
  <c r="Q13" i="6"/>
  <c r="O13" i="6"/>
  <c r="P13" i="6" s="1"/>
  <c r="Q12" i="6"/>
  <c r="O12" i="6"/>
  <c r="P12" i="6" s="1"/>
  <c r="Q11" i="6"/>
  <c r="O11" i="6"/>
  <c r="P11" i="6" s="1"/>
  <c r="Q10" i="6"/>
  <c r="O10" i="6"/>
  <c r="P10" i="6" s="1"/>
  <c r="Q9" i="6"/>
  <c r="O9" i="6"/>
  <c r="P9" i="6" s="1"/>
  <c r="Q8" i="6"/>
  <c r="O8" i="6"/>
  <c r="P8" i="6" s="1"/>
  <c r="Q7" i="6"/>
  <c r="O7" i="6"/>
  <c r="P7" i="6" s="1"/>
  <c r="Q6" i="6"/>
  <c r="O6" i="6"/>
  <c r="P6" i="6" s="1"/>
  <c r="Q5" i="6"/>
  <c r="O5" i="6"/>
  <c r="P5" i="6" s="1"/>
  <c r="Q4" i="6"/>
  <c r="O4" i="6"/>
  <c r="P4" i="6" s="1"/>
  <c r="Q3" i="6"/>
  <c r="O3" i="6"/>
  <c r="P3" i="6" s="1"/>
  <c r="AB7" i="6" l="1"/>
  <c r="AC7" i="6" s="1"/>
  <c r="AA4" i="6"/>
  <c r="AC4" i="6" s="1"/>
  <c r="AB5" i="6"/>
  <c r="AC5" i="6" s="1"/>
  <c r="AB6" i="6"/>
  <c r="AC6" i="6" s="1"/>
  <c r="AB3" i="6"/>
  <c r="AC3" i="6" s="1"/>
  <c r="A28" i="9"/>
  <c r="A29" i="9"/>
  <c r="A30" i="9"/>
  <c r="A31" i="9"/>
  <c r="A32" i="9"/>
  <c r="A24" i="9"/>
  <c r="A25" i="9"/>
  <c r="A26" i="9"/>
  <c r="A27" i="9"/>
  <c r="A12" i="9"/>
  <c r="A13" i="9"/>
  <c r="A14" i="9"/>
  <c r="A15" i="9"/>
  <c r="A16" i="9"/>
  <c r="A17" i="9"/>
  <c r="A18" i="9"/>
  <c r="A4" i="9"/>
  <c r="A5" i="9"/>
  <c r="A6" i="9"/>
  <c r="A7" i="9"/>
  <c r="A8" i="9"/>
  <c r="A9" i="9"/>
  <c r="A10" i="9"/>
  <c r="A11" i="9"/>
  <c r="A3" i="9"/>
  <c r="AA32" i="9"/>
  <c r="X32" i="9"/>
  <c r="U32" i="9"/>
  <c r="R32" i="9"/>
  <c r="O32" i="9"/>
  <c r="L32" i="9"/>
  <c r="I32" i="9"/>
  <c r="F32" i="9"/>
  <c r="AA31" i="9"/>
  <c r="X31" i="9"/>
  <c r="U31" i="9"/>
  <c r="R31" i="9"/>
  <c r="O31" i="9"/>
  <c r="L31" i="9"/>
  <c r="I31" i="9"/>
  <c r="F31" i="9"/>
  <c r="AA30" i="9"/>
  <c r="X30" i="9"/>
  <c r="U30" i="9"/>
  <c r="R30" i="9"/>
  <c r="O30" i="9"/>
  <c r="L30" i="9"/>
  <c r="I30" i="9"/>
  <c r="F30" i="9"/>
  <c r="AA29" i="9"/>
  <c r="X29" i="9"/>
  <c r="U29" i="9"/>
  <c r="R29" i="9"/>
  <c r="O29" i="9"/>
  <c r="L29" i="9"/>
  <c r="I29" i="9"/>
  <c r="F29" i="9"/>
  <c r="AA28" i="9"/>
  <c r="X28" i="9"/>
  <c r="U28" i="9"/>
  <c r="R28" i="9"/>
  <c r="O28" i="9"/>
  <c r="L28" i="9"/>
  <c r="I28" i="9"/>
  <c r="F28" i="9"/>
  <c r="AA27" i="9"/>
  <c r="X27" i="9"/>
  <c r="U27" i="9"/>
  <c r="R27" i="9"/>
  <c r="O27" i="9"/>
  <c r="L27" i="9"/>
  <c r="I27" i="9"/>
  <c r="F27" i="9"/>
  <c r="AA26" i="9"/>
  <c r="X26" i="9"/>
  <c r="U26" i="9"/>
  <c r="R26" i="9"/>
  <c r="O26" i="9"/>
  <c r="L26" i="9"/>
  <c r="I26" i="9"/>
  <c r="F26" i="9"/>
  <c r="AA25" i="9"/>
  <c r="X25" i="9"/>
  <c r="U25" i="9"/>
  <c r="R25" i="9"/>
  <c r="O25" i="9"/>
  <c r="L25" i="9"/>
  <c r="I25" i="9"/>
  <c r="F25" i="9"/>
  <c r="AA24" i="9"/>
  <c r="X24" i="9"/>
  <c r="U24" i="9"/>
  <c r="R24" i="9"/>
  <c r="O24" i="9"/>
  <c r="L24" i="9"/>
  <c r="I24" i="9"/>
  <c r="F24" i="9"/>
  <c r="AA23" i="9"/>
  <c r="X23" i="9"/>
  <c r="U23" i="9"/>
  <c r="R23" i="9"/>
  <c r="O23" i="9"/>
  <c r="L23" i="9"/>
  <c r="I23" i="9"/>
  <c r="F23" i="9"/>
  <c r="AB23" i="9" s="1"/>
  <c r="A23" i="9"/>
  <c r="AA4" i="9" l="1"/>
  <c r="AA5" i="9"/>
  <c r="AA6" i="9"/>
  <c r="AA7" i="9"/>
  <c r="AA8" i="9"/>
  <c r="AA9" i="9"/>
  <c r="AA10" i="9"/>
  <c r="AA11" i="9"/>
  <c r="AA12" i="9"/>
  <c r="AA13" i="9"/>
  <c r="AA14" i="9"/>
  <c r="AA15" i="9"/>
  <c r="AA16" i="9"/>
  <c r="AA17" i="9"/>
  <c r="AA18" i="9"/>
  <c r="X4" i="9"/>
  <c r="X5" i="9"/>
  <c r="X6" i="9"/>
  <c r="X7" i="9"/>
  <c r="X8" i="9"/>
  <c r="X9" i="9"/>
  <c r="X10" i="9"/>
  <c r="X11" i="9"/>
  <c r="X12" i="9"/>
  <c r="X13" i="9"/>
  <c r="X14" i="9"/>
  <c r="X15" i="9"/>
  <c r="X16" i="9"/>
  <c r="X17" i="9"/>
  <c r="X18" i="9"/>
  <c r="U4" i="9"/>
  <c r="U5" i="9"/>
  <c r="U6" i="9"/>
  <c r="U7" i="9"/>
  <c r="U8" i="9"/>
  <c r="U9" i="9"/>
  <c r="U10" i="9"/>
  <c r="U11" i="9"/>
  <c r="U12" i="9"/>
  <c r="U13" i="9"/>
  <c r="U14" i="9"/>
  <c r="U15" i="9"/>
  <c r="U16" i="9"/>
  <c r="U17" i="9"/>
  <c r="U18" i="9"/>
  <c r="R4" i="9"/>
  <c r="R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O4" i="9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AA3" i="9"/>
  <c r="AB3" i="9" s="1"/>
  <c r="X3" i="9"/>
  <c r="U3" i="9"/>
  <c r="R3" i="9"/>
  <c r="O3" i="9"/>
  <c r="L3" i="9"/>
  <c r="I3" i="9"/>
  <c r="F3" i="9"/>
  <c r="E2" i="6" l="1"/>
  <c r="F2" i="6" s="1"/>
  <c r="H2" i="6" s="1"/>
  <c r="E27" i="6"/>
  <c r="F27" i="6" s="1"/>
  <c r="H27" i="6" s="1"/>
  <c r="E26" i="6"/>
  <c r="F26" i="6" s="1"/>
  <c r="H26" i="6" s="1"/>
  <c r="E32" i="6"/>
  <c r="F32" i="6" s="1"/>
  <c r="H32" i="6" s="1"/>
  <c r="E31" i="6"/>
  <c r="F31" i="6" s="1"/>
  <c r="H31" i="6" s="1"/>
  <c r="E12" i="6"/>
  <c r="F12" i="6" s="1"/>
  <c r="H12" i="6" s="1"/>
  <c r="E30" i="6"/>
  <c r="F30" i="6" s="1"/>
  <c r="H30" i="6" s="1"/>
  <c r="E29" i="6"/>
  <c r="F29" i="6" s="1"/>
  <c r="H29" i="6" s="1"/>
  <c r="E6" i="6"/>
  <c r="F6" i="6" s="1"/>
  <c r="H6" i="6" s="1"/>
  <c r="E5" i="6"/>
  <c r="F5" i="6" s="1"/>
  <c r="H5" i="6" s="1"/>
  <c r="E4" i="6"/>
  <c r="F4" i="6" s="1"/>
  <c r="H4" i="6" s="1"/>
  <c r="E15" i="6"/>
  <c r="F15" i="6" s="1"/>
  <c r="H15" i="6" s="1"/>
  <c r="E14" i="6"/>
  <c r="F14" i="6" s="1"/>
  <c r="H14" i="6" s="1"/>
  <c r="E23" i="6"/>
  <c r="F23" i="6" s="1"/>
  <c r="H23" i="6" s="1"/>
  <c r="E22" i="6"/>
  <c r="F22" i="6" s="1"/>
  <c r="H22" i="6" s="1"/>
  <c r="E21" i="6"/>
  <c r="F21" i="6" s="1"/>
  <c r="H21" i="6" s="1"/>
  <c r="E20" i="6"/>
  <c r="F20" i="6" s="1"/>
  <c r="H20" i="6" s="1"/>
  <c r="E25" i="6"/>
  <c r="F25" i="6" s="1"/>
  <c r="H25" i="6" s="1"/>
  <c r="E19" i="6"/>
  <c r="F19" i="6" s="1"/>
  <c r="H19" i="6" s="1"/>
  <c r="E28" i="6"/>
  <c r="F28" i="6" s="1"/>
  <c r="H28" i="6" s="1"/>
  <c r="E7" i="6"/>
  <c r="F7" i="6" s="1"/>
  <c r="H7" i="6" s="1"/>
  <c r="E24" i="6"/>
  <c r="F24" i="6" s="1"/>
  <c r="H24" i="6" s="1"/>
  <c r="E3" i="6"/>
  <c r="F3" i="6" s="1"/>
  <c r="H3" i="6" s="1"/>
  <c r="E13" i="6"/>
  <c r="F13" i="6" s="1"/>
  <c r="H13" i="6" s="1"/>
  <c r="E18" i="6"/>
  <c r="F18" i="6" s="1"/>
  <c r="H18" i="6" s="1"/>
  <c r="AB7" i="4" l="1"/>
  <c r="AA7" i="4"/>
  <c r="AB6" i="4"/>
  <c r="AA6" i="4"/>
  <c r="AB5" i="4"/>
  <c r="AA5" i="4"/>
  <c r="AB4" i="4"/>
  <c r="AA4" i="4"/>
  <c r="AB3" i="4"/>
  <c r="AA3" i="4"/>
  <c r="R4" i="4"/>
  <c r="R5" i="4"/>
  <c r="R6" i="4"/>
  <c r="R7" i="4"/>
  <c r="R8" i="4"/>
  <c r="R9" i="4"/>
  <c r="R10" i="4"/>
  <c r="R3" i="4"/>
  <c r="Q4" i="4"/>
  <c r="Q5" i="4"/>
  <c r="Q6" i="4"/>
  <c r="Q7" i="4"/>
  <c r="Q8" i="4"/>
  <c r="Q9" i="4"/>
  <c r="Q10" i="4"/>
  <c r="Q3" i="4"/>
  <c r="H48" i="4"/>
  <c r="G48" i="4"/>
  <c r="H47" i="4"/>
  <c r="G47" i="4"/>
  <c r="H46" i="4"/>
  <c r="G46" i="4"/>
  <c r="H45" i="4"/>
  <c r="G45" i="4"/>
  <c r="H44" i="4"/>
  <c r="G44" i="4"/>
  <c r="H43" i="4"/>
  <c r="G43" i="4"/>
  <c r="H42" i="4"/>
  <c r="G42" i="4"/>
  <c r="H41" i="4"/>
  <c r="G41" i="4"/>
  <c r="H40" i="4"/>
  <c r="G40" i="4"/>
  <c r="H39" i="4"/>
  <c r="G39" i="4"/>
  <c r="H38" i="4"/>
  <c r="G38" i="4"/>
  <c r="H37" i="4"/>
  <c r="G37" i="4"/>
  <c r="H36" i="4"/>
  <c r="G36" i="4"/>
  <c r="H35" i="4"/>
  <c r="G35" i="4"/>
  <c r="H34" i="4"/>
  <c r="G34" i="4"/>
  <c r="H33" i="4"/>
  <c r="G33" i="4"/>
  <c r="H32" i="4"/>
  <c r="G32" i="4"/>
  <c r="H31" i="4"/>
  <c r="G31" i="4"/>
  <c r="H30" i="4"/>
  <c r="G30" i="4"/>
  <c r="H29" i="4"/>
  <c r="G29" i="4"/>
  <c r="H28" i="4"/>
  <c r="G28" i="4"/>
  <c r="H27" i="4"/>
  <c r="G27" i="4"/>
  <c r="H26" i="4"/>
  <c r="G26" i="4"/>
  <c r="H25" i="4"/>
  <c r="G25" i="4"/>
  <c r="H24" i="4"/>
  <c r="G24" i="4"/>
  <c r="H23" i="4"/>
  <c r="G23" i="4"/>
  <c r="H22" i="4"/>
  <c r="G22" i="4"/>
  <c r="H21" i="4"/>
  <c r="G21" i="4"/>
  <c r="H20" i="4"/>
  <c r="G20" i="4"/>
  <c r="H19" i="4"/>
  <c r="G19" i="4"/>
  <c r="H18" i="4"/>
  <c r="G18" i="4"/>
  <c r="H17" i="4"/>
  <c r="G17" i="4"/>
  <c r="H16" i="4"/>
  <c r="G16" i="4"/>
  <c r="H15" i="4"/>
  <c r="G15" i="4"/>
  <c r="H14" i="4"/>
  <c r="G14" i="4"/>
  <c r="H13" i="4"/>
  <c r="G13" i="4"/>
  <c r="H12" i="4"/>
  <c r="G12" i="4"/>
  <c r="H11" i="4"/>
  <c r="G11" i="4"/>
  <c r="H10" i="4"/>
  <c r="G10" i="4"/>
  <c r="H9" i="4"/>
  <c r="G9" i="4"/>
  <c r="H8" i="4"/>
  <c r="G8" i="4"/>
  <c r="H7" i="4"/>
  <c r="G7" i="4"/>
  <c r="H6" i="4"/>
  <c r="G6" i="4"/>
  <c r="H5" i="4"/>
  <c r="G5" i="4"/>
  <c r="H4" i="4"/>
  <c r="G4" i="4"/>
  <c r="H3" i="4"/>
  <c r="G3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210F392-03CD-46BD-A255-F16E07E7AFB8}" keepAlive="1" name="Consulta - Tabla16" description="Conexión a la consulta 'Tabla16' en el libro." type="5" refreshedVersion="8" background="1" saveData="1">
    <dbPr connection="Provider=Microsoft.Mashup.OleDb.1;Data Source=$Workbook$;Location=Tabla16;Extended Properties=&quot;&quot;" command="SELECT * FROM [Tabla16]"/>
  </connection>
</connections>
</file>

<file path=xl/sharedStrings.xml><?xml version="1.0" encoding="utf-8"?>
<sst xmlns="http://schemas.openxmlformats.org/spreadsheetml/2006/main" count="4744" uniqueCount="173">
  <si>
    <t>FECHA</t>
  </si>
  <si>
    <t>NOMBRE</t>
  </si>
  <si>
    <t>JORNADA</t>
  </si>
  <si>
    <t>SERVICIO</t>
  </si>
  <si>
    <t>HORAS</t>
  </si>
  <si>
    <t>DESCUENTO</t>
  </si>
  <si>
    <t>COSTO DIA</t>
  </si>
  <si>
    <t>COSTO HH</t>
  </si>
  <si>
    <t>PAGO SD</t>
  </si>
  <si>
    <t>SOLES SUB TOTAL</t>
  </si>
  <si>
    <t>AVILA OBLEA PERCY CARLOS</t>
  </si>
  <si>
    <t>TECHOS</t>
  </si>
  <si>
    <t>TANQUES</t>
  </si>
  <si>
    <t>DOMINICAL</t>
  </si>
  <si>
    <t>TOTAL HORAS</t>
  </si>
  <si>
    <t>AVILA OBLEA JOSE MARIA</t>
  </si>
  <si>
    <t>DNI</t>
  </si>
  <si>
    <t>CARGO</t>
  </si>
  <si>
    <t>SISTEMA</t>
  </si>
  <si>
    <t>HR DE CONTRATO</t>
  </si>
  <si>
    <t>SUELDO</t>
  </si>
  <si>
    <t>TIPO PAGO</t>
  </si>
  <si>
    <t>INFANTES BERMUDEZ JESUS</t>
  </si>
  <si>
    <t>AYUDANTE</t>
  </si>
  <si>
    <t>JORNAL</t>
  </si>
  <si>
    <t>NORMAL</t>
  </si>
  <si>
    <t>PORTILLA FLORES JEAN PIER</t>
  </si>
  <si>
    <t>FLORES ALVA ORLANDO</t>
  </si>
  <si>
    <t>FERNANDEZ DIAZ FRANK</t>
  </si>
  <si>
    <t>OFICIAL</t>
  </si>
  <si>
    <t>GARCIA VIGO IMANOL</t>
  </si>
  <si>
    <t>MECANICO</t>
  </si>
  <si>
    <t>ESPERICUETA CABEL LEONARDO</t>
  </si>
  <si>
    <t>CAMPOS REYES ABRAHAM</t>
  </si>
  <si>
    <t>CABEL ALFARO FERNANDO LUCIO</t>
  </si>
  <si>
    <t>CALDERERO</t>
  </si>
  <si>
    <t>CEPEDA CABALLERO WILLIAM EDUARDO</t>
  </si>
  <si>
    <t>ALVA ARANDA JOHN POOL</t>
  </si>
  <si>
    <t>ZAVALETA GUEVARA LUIS EDUARDO</t>
  </si>
  <si>
    <t>JARA VALENCIA TEOFILO</t>
  </si>
  <si>
    <t>BADO RODRIGUEZ CARLOS</t>
  </si>
  <si>
    <t>ARMADOR</t>
  </si>
  <si>
    <t>SOLDADOR</t>
  </si>
  <si>
    <t>ROMERO CHAVEZ ERICK</t>
  </si>
  <si>
    <t>BORJA ROSALS ABIMAEL ABDIAS</t>
  </si>
  <si>
    <t>LEON CHUNGA JORGE LUIS</t>
  </si>
  <si>
    <t>GRADOS CHOCHABOT JOHNNATAN HERNANDO</t>
  </si>
  <si>
    <t>BAUTISTA RAMIREZ HAROLL</t>
  </si>
  <si>
    <t>URQUIAGA PAREDES DAVID ALEXANDER</t>
  </si>
  <si>
    <t>TRUJILLO SANTOS JOSTIN ESTIWAR</t>
  </si>
  <si>
    <t>BRIONES CALDERON HELMUT ERNEST</t>
  </si>
  <si>
    <t>SALAZAR TINTAYA JOSE ADELIO</t>
  </si>
  <si>
    <t>ESQUIVEL FLORES JONY</t>
  </si>
  <si>
    <t>GUTIERREZ RODRIGUEZ DONICIO PERPETUO</t>
  </si>
  <si>
    <t>VALDEZ MESTANZA JOSE WILSON</t>
  </si>
  <si>
    <t>CABEL PEREDA NOE</t>
  </si>
  <si>
    <t>PELAEZ MOGROVEJO EDU OMAR</t>
  </si>
  <si>
    <t>RUBIÑOS CABRERA LUIS</t>
  </si>
  <si>
    <t>ALDAVE GOICOCHEA DAVID NOE</t>
  </si>
  <si>
    <t>MARIÑOS CRUZ MIGUEL ANGEL</t>
  </si>
  <si>
    <t>ELECTRICISTA</t>
  </si>
  <si>
    <t>FLORES PEREZ JHONATAN</t>
  </si>
  <si>
    <t>REYES LOPEZ JUNIOR FERNANDO</t>
  </si>
  <si>
    <t>MELGAREJO MORALES JULIO JHEFERSON</t>
  </si>
  <si>
    <t>CORPUES TELLO MAYCOL</t>
  </si>
  <si>
    <t>GARCIA PAREDES CARLOS ANDRES</t>
  </si>
  <si>
    <t>ZUÑIGA ABANTO MARCO ANTONIO</t>
  </si>
  <si>
    <t>MARILUZ MENDOZA DUAL ROALDE</t>
  </si>
  <si>
    <t>REYES MAURICIO DAVID</t>
  </si>
  <si>
    <t>COMPRA HORAS</t>
  </si>
  <si>
    <t>AREVALO CALDERON JUAN CARLOS</t>
  </si>
  <si>
    <t>ALVARADO CASTILLO AARON MARIO</t>
  </si>
  <si>
    <t>GONZALES DELGADO ANGEL MARCIAL</t>
  </si>
  <si>
    <t>URQUIZA ASCENCIO JORGE LUIS</t>
  </si>
  <si>
    <t>AGUILAR VASQUEZ GIAN CARLO</t>
  </si>
  <si>
    <t>RAMIREZ ROMERO PAUL</t>
  </si>
  <si>
    <t>CHAVEZ MACO LENIN</t>
  </si>
  <si>
    <t>SUPERVISOR</t>
  </si>
  <si>
    <t>GONSALEZ GONZALES YEISON</t>
  </si>
  <si>
    <t>LOZANO OLIVA LUIS DEIVIN</t>
  </si>
  <si>
    <t>MOYA INGUIL TOSHICO ALBERTO</t>
  </si>
  <si>
    <t>CRUZADO CUBAS MAICOL ALEX</t>
  </si>
  <si>
    <t>BELTRAN GARCIA ROSAS FORTUNATO</t>
  </si>
  <si>
    <t>GARCIA BOBADILLA JUAN CARLOS</t>
  </si>
  <si>
    <t>COTRINA COTRINA VICTOR EDGARDO</t>
  </si>
  <si>
    <t>MANO DE OBRA DIRECTA (MOD)</t>
  </si>
  <si>
    <t>MANO DE OBRA INDIRECTA (MOI)</t>
  </si>
  <si>
    <t>ADMINISTRATIVO</t>
  </si>
  <si>
    <t>INGENIERO</t>
  </si>
  <si>
    <t>GERENTE</t>
  </si>
  <si>
    <t>URBANO RAMOS EDDY</t>
  </si>
  <si>
    <t>MIÑANO ALFARO HECTOR</t>
  </si>
  <si>
    <t>LEIVA ZAVALETA STEVEN</t>
  </si>
  <si>
    <t>LEON LESCANO JAVIER</t>
  </si>
  <si>
    <t>JIMENEZ AZABACHE CAROL</t>
  </si>
  <si>
    <t>HH</t>
  </si>
  <si>
    <t>SERVICIO 2</t>
  </si>
  <si>
    <t>SERVICIO 3</t>
  </si>
  <si>
    <t>SERVICIO 4</t>
  </si>
  <si>
    <t>SERVICIO 5</t>
  </si>
  <si>
    <t>SERVICIO 6</t>
  </si>
  <si>
    <t>SERVICIO 7</t>
  </si>
  <si>
    <t>SERVICIO 8</t>
  </si>
  <si>
    <t>DIA -MES</t>
  </si>
  <si>
    <t>FORMATO SOLO PARA PERSONAL TÉCNICO</t>
  </si>
  <si>
    <t>HORAS TOT.</t>
  </si>
  <si>
    <t>NOMBRE TÉNICO</t>
  </si>
  <si>
    <t>MANTENIMIENTO OLMOS</t>
  </si>
  <si>
    <t>NOMBRE SUPERV.</t>
  </si>
  <si>
    <t>FORMATO SOLO PARA SUPERVISORES</t>
  </si>
  <si>
    <t>HI.</t>
  </si>
  <si>
    <t>HS.</t>
  </si>
  <si>
    <t>ENCHAQUETADO</t>
  </si>
  <si>
    <t>S/. POR DIA</t>
  </si>
  <si>
    <t>FECHA INICIO</t>
  </si>
  <si>
    <t>FECHA FIN</t>
  </si>
  <si>
    <t>PERIODO</t>
  </si>
  <si>
    <t>VIGENCIA</t>
  </si>
  <si>
    <t>CONTROL DE TARIFAS MANO OBRA VARIABLE DIRECTA POR JORNAL</t>
  </si>
  <si>
    <t>CONTROL DE TARIFAS MANO OBRA VARIABLE INDIRECTA POR JORNAL</t>
  </si>
  <si>
    <t>CERCO PERIMÉTRICO 500 ML</t>
  </si>
  <si>
    <t>TECHOS GOLDEN</t>
  </si>
  <si>
    <t>TANQUES GOLDEN</t>
  </si>
  <si>
    <t>CAJONES GOLDEN</t>
  </si>
  <si>
    <t>SEÑALIZACION GOLDEN</t>
  </si>
  <si>
    <t xml:space="preserve">
MTTO TALLER</t>
  </si>
  <si>
    <t>PUERTA CUÑADA INGE</t>
  </si>
  <si>
    <t>PARADA</t>
  </si>
  <si>
    <t>lunes</t>
  </si>
  <si>
    <t>0,00</t>
  </si>
  <si>
    <t>10,00</t>
  </si>
  <si>
    <t>9,00</t>
  </si>
  <si>
    <t>ABRAHAM CAMPOS</t>
  </si>
  <si>
    <t>4,50</t>
  </si>
  <si>
    <t>8,00</t>
  </si>
  <si>
    <t>CEPEDA CABALLERO</t>
  </si>
  <si>
    <t>FRANK FERNANDEZ</t>
  </si>
  <si>
    <t>martes</t>
  </si>
  <si>
    <t>2,00</t>
  </si>
  <si>
    <t>1,50</t>
  </si>
  <si>
    <t>1,00</t>
  </si>
  <si>
    <t>3,50</t>
  </si>
  <si>
    <t>5,50</t>
  </si>
  <si>
    <t>3,00</t>
  </si>
  <si>
    <t>Atributo</t>
  </si>
  <si>
    <t>Valor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</si>
  <si>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</si>
  <si>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</si>
  <si>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</si>
  <si>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</si>
  <si>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</si>
  <si>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</si>
  <si>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</si>
  <si>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</si>
  <si>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Trabajo</t>
  </si>
  <si>
    <t>Descanso</t>
  </si>
  <si>
    <t>ESTADO</t>
  </si>
  <si>
    <t>Columna9</t>
  </si>
  <si>
    <t>SEMANA</t>
  </si>
  <si>
    <t>TRAZABILIDAD</t>
  </si>
  <si>
    <t>T</t>
  </si>
  <si>
    <t>D</t>
  </si>
  <si>
    <t>DIAS MÁS PARA TRABAJAR</t>
  </si>
  <si>
    <t>DIAS MÁS PARA DESCANSAR</t>
  </si>
  <si>
    <t>NOMBRES</t>
  </si>
  <si>
    <t>PENDIENTE X TRABAJAR</t>
  </si>
  <si>
    <t>PENDIENTE X DESCANSAR</t>
  </si>
  <si>
    <t>FECH&amp;NOMBRE</t>
  </si>
  <si>
    <t>FORMATO SOLO PARA TECNICOS
(del 16/04/23 al 30/04/24)</t>
  </si>
  <si>
    <t>ZARANDA GOLDEN</t>
  </si>
  <si>
    <t>miércoles</t>
  </si>
  <si>
    <t>ALVA ARANDA JHON POLL</t>
  </si>
  <si>
    <t>Pagará como jornal 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</si>
</sst>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[$S/-280A]\ * #,##0.00_-;\-[$S/-280A]\ * #,##0.00_-;_-[$S/-280A]\ * &quot;-&quot;??_-;_-@_-"/>
    <numFmt numFmtId="165" formatCode="[$S/-280A]\ #,##0.00"/>
    <numFmt numFmtId="166" formatCode="[$-F800]dddd\,\ mmmm\ dd\,\ yyyy"/>
    <numFmt numFmtId="167" formatCode="h:mm\ AM/PM"/>
    <numFmt numFmtId="168" formatCode="0.0"/>
    <numFmt numFmtId="169" formatCode="##\ &quot;Dias&quot;"/>
  </numFmts>
  <fonts count="1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1"/>
      <name val="Calibri"/>
      <family val="2"/>
    </font>
    <font>
      <sz val="10"/>
      <color theme="1"/>
      <name val="Arial"/>
      <family val="2"/>
    </font>
    <font>
      <b/>
      <sz val="11"/>
      <color rgb="FF0070C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8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i/>
      <sz val="12"/>
      <color rgb="FF0000FF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FF7C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7030A0"/>
        <bgColor theme="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E6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theme="9" tint="0.79998168889431442"/>
      </patternFill>
    </fill>
    <fill>
      <patternFill patternType="solid">
        <fgColor rgb="FFFFD966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5" tint="0.39997558519241921"/>
      </left>
      <right/>
      <top/>
      <bottom/>
      <diagonal/>
    </border>
    <border>
      <left/>
      <right style="thin">
        <color theme="5" tint="0.39997558519241921"/>
      </right>
      <top/>
      <bottom/>
      <diagonal/>
    </border>
    <border>
      <left style="thin">
        <color theme="5" tint="0.39997558519241921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5" tint="0.39997558519241921"/>
      </right>
      <top/>
      <bottom style="thick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 style="medium">
        <color rgb="FF000000"/>
      </right>
      <top style="medium">
        <color rgb="FFCCCCCC"/>
      </top>
      <bottom/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114">
    <xf numFmtId="0" fontId="0" fillId="0" borderId="0" xfId="0"/>
    <xf numFmtId="14" fontId="1" fillId="0" borderId="0" xfId="0" applyNumberFormat="1" applyFont="1"/>
    <xf numFmtId="2" fontId="0" fillId="0" borderId="0" xfId="0" applyNumberFormat="1"/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/>
    <xf numFmtId="164" fontId="0" fillId="2" borderId="1" xfId="0" applyNumberFormat="1" applyFill="1" applyBorder="1"/>
    <xf numFmtId="14" fontId="0" fillId="0" borderId="1" xfId="0" applyNumberFormat="1" applyBorder="1"/>
    <xf numFmtId="14" fontId="0" fillId="0" borderId="0" xfId="0" applyNumberFormat="1"/>
    <xf numFmtId="0" fontId="0" fillId="3" borderId="1" xfId="0" applyFill="1" applyBorder="1"/>
    <xf numFmtId="2" fontId="0" fillId="3" borderId="1" xfId="0" applyNumberFormat="1" applyFill="1" applyBorder="1"/>
    <xf numFmtId="2" fontId="0" fillId="4" borderId="1" xfId="0" applyNumberFormat="1" applyFill="1" applyBorder="1"/>
    <xf numFmtId="165" fontId="0" fillId="5" borderId="1" xfId="0" applyNumberFormat="1" applyFill="1" applyBorder="1"/>
    <xf numFmtId="165" fontId="0" fillId="4" borderId="1" xfId="0" applyNumberFormat="1" applyFill="1" applyBorder="1"/>
    <xf numFmtId="14" fontId="0" fillId="0" borderId="2" xfId="0" applyNumberFormat="1" applyBorder="1"/>
    <xf numFmtId="0" fontId="0" fillId="0" borderId="1" xfId="0" applyBorder="1" applyAlignment="1">
      <alignment horizontal="left" vertical="center"/>
    </xf>
    <xf numFmtId="164" fontId="0" fillId="0" borderId="1" xfId="0" applyNumberFormat="1" applyBorder="1" applyAlignment="1">
      <alignment horizontal="left" vertical="center"/>
    </xf>
    <xf numFmtId="0" fontId="0" fillId="7" borderId="3" xfId="0" applyFill="1" applyBorder="1"/>
    <xf numFmtId="0" fontId="0" fillId="0" borderId="3" xfId="0" applyBorder="1"/>
    <xf numFmtId="0" fontId="0" fillId="8" borderId="1" xfId="0" applyFill="1" applyBorder="1" applyAlignment="1">
      <alignment horizontal="left" vertical="center"/>
    </xf>
    <xf numFmtId="164" fontId="0" fillId="8" borderId="1" xfId="0" applyNumberFormat="1" applyFill="1" applyBorder="1"/>
    <xf numFmtId="2" fontId="6" fillId="0" borderId="0" xfId="0" applyNumberFormat="1" applyFont="1" applyAlignment="1">
      <alignment horizontal="centerContinuous" vertical="center"/>
    </xf>
    <xf numFmtId="2" fontId="0" fillId="0" borderId="0" xfId="0" applyNumberFormat="1" applyAlignment="1">
      <alignment horizontal="centerContinuous" vertical="center"/>
    </xf>
    <xf numFmtId="0" fontId="6" fillId="0" borderId="0" xfId="0" applyFont="1" applyAlignment="1">
      <alignment horizontal="centerContinuous" vertical="center"/>
    </xf>
    <xf numFmtId="0" fontId="0" fillId="0" borderId="0" xfId="0" applyAlignment="1">
      <alignment horizontal="centerContinuous" vertical="center"/>
    </xf>
    <xf numFmtId="0" fontId="2" fillId="6" borderId="5" xfId="0" applyFont="1" applyFill="1" applyBorder="1"/>
    <xf numFmtId="0" fontId="2" fillId="6" borderId="0" xfId="0" applyFont="1" applyFill="1"/>
    <xf numFmtId="0" fontId="2" fillId="6" borderId="6" xfId="0" applyFont="1" applyFill="1" applyBorder="1"/>
    <xf numFmtId="0" fontId="0" fillId="7" borderId="1" xfId="0" applyFill="1" applyBorder="1"/>
    <xf numFmtId="164" fontId="0" fillId="7" borderId="1" xfId="0" applyNumberFormat="1" applyFill="1" applyBorder="1"/>
    <xf numFmtId="0" fontId="0" fillId="11" borderId="1" xfId="0" applyFill="1" applyBorder="1"/>
    <xf numFmtId="164" fontId="0" fillId="11" borderId="1" xfId="0" applyNumberFormat="1" applyFill="1" applyBorder="1"/>
    <xf numFmtId="0" fontId="0" fillId="0" borderId="12" xfId="0" applyBorder="1"/>
    <xf numFmtId="0" fontId="3" fillId="0" borderId="9" xfId="0" applyFont="1" applyBorder="1" applyAlignment="1">
      <alignment horizontal="center" vertical="center"/>
    </xf>
    <xf numFmtId="0" fontId="0" fillId="19" borderId="1" xfId="0" applyFill="1" applyBorder="1"/>
    <xf numFmtId="166" fontId="0" fillId="0" borderId="12" xfId="0" applyNumberFormat="1" applyBorder="1"/>
    <xf numFmtId="14" fontId="0" fillId="0" borderId="12" xfId="0" applyNumberFormat="1" applyBorder="1"/>
    <xf numFmtId="167" fontId="0" fillId="0" borderId="12" xfId="0" applyNumberFormat="1" applyBorder="1"/>
    <xf numFmtId="2" fontId="3" fillId="19" borderId="12" xfId="0" applyNumberFormat="1" applyFont="1" applyFill="1" applyBorder="1"/>
    <xf numFmtId="0" fontId="3" fillId="10" borderId="9" xfId="0" applyFont="1" applyFill="1" applyBorder="1" applyAlignment="1">
      <alignment horizontal="center" vertical="center"/>
    </xf>
    <xf numFmtId="0" fontId="2" fillId="22" borderId="9" xfId="0" applyFont="1" applyFill="1" applyBorder="1" applyAlignment="1">
      <alignment horizontal="center" vertical="center"/>
    </xf>
    <xf numFmtId="0" fontId="7" fillId="13" borderId="9" xfId="0" applyFont="1" applyFill="1" applyBorder="1" applyAlignment="1">
      <alignment horizontal="center" vertical="center"/>
    </xf>
    <xf numFmtId="168" fontId="3" fillId="10" borderId="12" xfId="0" applyNumberFormat="1" applyFont="1" applyFill="1" applyBorder="1"/>
    <xf numFmtId="0" fontId="8" fillId="0" borderId="13" xfId="0" applyFont="1" applyBorder="1" applyAlignment="1">
      <alignment horizontal="centerContinuous" vertical="center"/>
    </xf>
    <xf numFmtId="0" fontId="0" fillId="0" borderId="14" xfId="0" applyBorder="1" applyAlignment="1">
      <alignment horizontal="centerContinuous" vertical="center"/>
    </xf>
    <xf numFmtId="0" fontId="0" fillId="0" borderId="15" xfId="0" applyBorder="1" applyAlignment="1">
      <alignment horizontal="centerContinuous" vertical="center"/>
    </xf>
    <xf numFmtId="0" fontId="9" fillId="22" borderId="10" xfId="0" applyFont="1" applyFill="1" applyBorder="1" applyAlignment="1">
      <alignment horizontal="center" vertical="center"/>
    </xf>
    <xf numFmtId="0" fontId="9" fillId="22" borderId="12" xfId="0" applyFont="1" applyFill="1" applyBorder="1" applyAlignment="1">
      <alignment horizontal="center" vertical="center"/>
    </xf>
    <xf numFmtId="0" fontId="9" fillId="22" borderId="11" xfId="0" applyFont="1" applyFill="1" applyBorder="1" applyAlignment="1">
      <alignment horizontal="center" vertical="center"/>
    </xf>
    <xf numFmtId="0" fontId="3" fillId="13" borderId="1" xfId="0" applyFont="1" applyFill="1" applyBorder="1"/>
    <xf numFmtId="164" fontId="0" fillId="3" borderId="1" xfId="0" applyNumberFormat="1" applyFill="1" applyBorder="1"/>
    <xf numFmtId="14" fontId="0" fillId="3" borderId="1" xfId="0" applyNumberFormat="1" applyFill="1" applyBorder="1"/>
    <xf numFmtId="169" fontId="0" fillId="4" borderId="1" xfId="0" applyNumberFormat="1" applyFill="1" applyBorder="1"/>
    <xf numFmtId="0" fontId="0" fillId="4" borderId="1" xfId="0" applyFill="1" applyBorder="1" applyAlignment="1">
      <alignment horizontal="center" vertical="center"/>
    </xf>
    <xf numFmtId="0" fontId="2" fillId="12" borderId="7" xfId="0" applyFont="1" applyFill="1" applyBorder="1"/>
    <xf numFmtId="0" fontId="2" fillId="12" borderId="4" xfId="0" applyFont="1" applyFill="1" applyBorder="1"/>
    <xf numFmtId="0" fontId="2" fillId="12" borderId="8" xfId="0" applyFont="1" applyFill="1" applyBorder="1"/>
    <xf numFmtId="0" fontId="5" fillId="23" borderId="0" xfId="0" applyFont="1" applyFill="1" applyAlignment="1">
      <alignment horizontal="centerContinuous" vertical="center"/>
    </xf>
    <xf numFmtId="0" fontId="5" fillId="14" borderId="0" xfId="0" applyFont="1" applyFill="1" applyAlignment="1">
      <alignment horizontal="centerContinuous" vertical="center"/>
    </xf>
    <xf numFmtId="0" fontId="12" fillId="30" borderId="18" xfId="0" applyFont="1" applyFill="1" applyBorder="1" applyAlignment="1">
      <alignment horizontal="center" wrapText="1"/>
    </xf>
    <xf numFmtId="14" fontId="14" fillId="0" borderId="18" xfId="0" applyNumberFormat="1" applyFont="1" applyBorder="1" applyAlignment="1">
      <alignment horizontal="right" wrapText="1"/>
    </xf>
    <xf numFmtId="0" fontId="14" fillId="0" borderId="18" xfId="0" applyFont="1" applyBorder="1" applyAlignment="1">
      <alignment wrapText="1"/>
    </xf>
    <xf numFmtId="0" fontId="13" fillId="10" borderId="18" xfId="0" applyFont="1" applyFill="1" applyBorder="1" applyAlignment="1">
      <alignment horizontal="right" wrapText="1"/>
    </xf>
    <xf numFmtId="0" fontId="10" fillId="9" borderId="17" xfId="0" applyFont="1" applyFill="1" applyBorder="1" applyAlignment="1">
      <alignment wrapText="1"/>
    </xf>
    <xf numFmtId="0" fontId="10" fillId="20" borderId="17" xfId="0" applyFont="1" applyFill="1" applyBorder="1" applyAlignment="1">
      <alignment wrapText="1"/>
    </xf>
    <xf numFmtId="0" fontId="10" fillId="21" borderId="17" xfId="0" applyFont="1" applyFill="1" applyBorder="1" applyAlignment="1">
      <alignment wrapText="1"/>
    </xf>
    <xf numFmtId="0" fontId="10" fillId="26" borderId="17" xfId="0" applyFont="1" applyFill="1" applyBorder="1" applyAlignment="1">
      <alignment vertical="center" wrapText="1"/>
    </xf>
    <xf numFmtId="0" fontId="10" fillId="27" borderId="17" xfId="0" applyFont="1" applyFill="1" applyBorder="1" applyAlignment="1">
      <alignment wrapText="1"/>
    </xf>
    <xf numFmtId="0" fontId="10" fillId="28" borderId="17" xfId="0" applyFont="1" applyFill="1" applyBorder="1" applyAlignment="1">
      <alignment wrapText="1"/>
    </xf>
    <xf numFmtId="0" fontId="10" fillId="29" borderId="17" xfId="0" applyFont="1" applyFill="1" applyBorder="1" applyAlignment="1">
      <alignment wrapText="1"/>
    </xf>
    <xf numFmtId="0" fontId="10" fillId="18" borderId="17" xfId="0" applyFont="1" applyFill="1" applyBorder="1" applyAlignment="1">
      <alignment wrapText="1"/>
    </xf>
    <xf numFmtId="0" fontId="12" fillId="30" borderId="19" xfId="0" applyFont="1" applyFill="1" applyBorder="1" applyAlignment="1">
      <alignment horizontal="center" wrapText="1"/>
    </xf>
    <xf numFmtId="0" fontId="14" fillId="0" borderId="19" xfId="0" applyFont="1" applyBorder="1" applyAlignment="1">
      <alignment wrapText="1"/>
    </xf>
    <xf numFmtId="0" fontId="14" fillId="0" borderId="20" xfId="0" applyFont="1" applyBorder="1" applyAlignment="1">
      <alignment wrapText="1"/>
    </xf>
    <xf numFmtId="0" fontId="13" fillId="10" borderId="21" xfId="0" applyFont="1" applyFill="1" applyBorder="1" applyAlignment="1">
      <alignment horizontal="right" wrapText="1"/>
    </xf>
    <xf numFmtId="0" fontId="0" fillId="24" borderId="1" xfId="0" applyFill="1" applyBorder="1" applyAlignment="1">
      <alignment horizontal="left" vertical="center"/>
    </xf>
    <xf numFmtId="0" fontId="0" fillId="24" borderId="1" xfId="0" applyFill="1" applyBorder="1"/>
    <xf numFmtId="164" fontId="0" fillId="24" borderId="1" xfId="0" applyNumberFormat="1" applyFill="1" applyBorder="1" applyAlignment="1">
      <alignment horizontal="left" vertical="center"/>
    </xf>
    <xf numFmtId="164" fontId="0" fillId="24" borderId="1" xfId="0" applyNumberFormat="1" applyFill="1" applyBorder="1"/>
    <xf numFmtId="0" fontId="0" fillId="25" borderId="1" xfId="0" applyFill="1" applyBorder="1" applyAlignment="1">
      <alignment horizontal="left" vertical="center"/>
    </xf>
    <xf numFmtId="0" fontId="0" fillId="25" borderId="1" xfId="0" applyFill="1" applyBorder="1"/>
    <xf numFmtId="164" fontId="0" fillId="25" borderId="1" xfId="0" applyNumberFormat="1" applyFill="1" applyBorder="1" applyAlignment="1">
      <alignment horizontal="left" vertical="center"/>
    </xf>
    <xf numFmtId="164" fontId="0" fillId="25" borderId="1" xfId="0" applyNumberFormat="1" applyFill="1" applyBorder="1"/>
    <xf numFmtId="1" fontId="0" fillId="0" borderId="1" xfId="0" applyNumberFormat="1" applyBorder="1"/>
    <xf numFmtId="0" fontId="0" fillId="31" borderId="0" xfId="0" applyFill="1" applyAlignment="1">
      <alignment horizontal="center" vertical="center"/>
    </xf>
    <xf numFmtId="0" fontId="4" fillId="20" borderId="16" xfId="0" applyFont="1" applyFill="1" applyBorder="1" applyAlignment="1">
      <alignment horizontal="center" vertical="center"/>
    </xf>
    <xf numFmtId="0" fontId="4" fillId="21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15" borderId="16" xfId="0" applyFont="1" applyFill="1" applyBorder="1" applyAlignment="1">
      <alignment horizontal="center" vertical="center"/>
    </xf>
    <xf numFmtId="0" fontId="4" fillId="16" borderId="16" xfId="0" applyFont="1" applyFill="1" applyBorder="1" applyAlignment="1">
      <alignment horizontal="center" vertical="center"/>
    </xf>
    <xf numFmtId="0" fontId="4" fillId="17" borderId="16" xfId="0" applyFont="1" applyFill="1" applyBorder="1" applyAlignment="1">
      <alignment horizontal="center" vertical="center"/>
    </xf>
    <xf numFmtId="0" fontId="4" fillId="18" borderId="16" xfId="0" applyFont="1" applyFill="1" applyBorder="1" applyAlignment="1">
      <alignment horizontal="center" vertical="center"/>
    </xf>
    <xf numFmtId="0" fontId="4" fillId="9" borderId="16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6" fillId="13" borderId="1" xfId="0" applyFont="1" applyFill="1" applyBorder="1" applyAlignment="1">
      <alignment horizontal="center"/>
    </xf>
    <xf numFmtId="0" fontId="7" fillId="32" borderId="1" xfId="0" applyFont="1" applyFill="1" applyBorder="1" applyAlignment="1">
      <alignment horizontal="center"/>
    </xf>
    <xf numFmtId="0" fontId="3" fillId="14" borderId="1" xfId="0" applyFont="1" applyFill="1" applyBorder="1" applyAlignment="1">
      <alignment horizontal="center"/>
    </xf>
    <xf numFmtId="0" fontId="0" fillId="0" borderId="2" xfId="0" applyBorder="1"/>
    <xf numFmtId="168" fontId="0" fillId="0" borderId="1" xfId="0" applyNumberFormat="1" applyBorder="1"/>
    <xf numFmtId="14" fontId="0" fillId="0" borderId="1" xfId="0" applyNumberFormat="1" applyBorder="1" applyAlignment="1"/>
    <xf numFmtId="1" fontId="0" fillId="0" borderId="1" xfId="0" applyNumberFormat="1" applyBorder="1" applyAlignment="1"/>
    <xf numFmtId="0" fontId="0" fillId="0" borderId="1" xfId="0" applyBorder="1" applyAlignment="1"/>
    <xf numFmtId="14" fontId="0" fillId="0" borderId="2" xfId="0" applyNumberFormat="1" applyBorder="1" applyAlignment="1"/>
    <xf numFmtId="1" fontId="0" fillId="0" borderId="2" xfId="0" applyNumberFormat="1" applyBorder="1" applyAlignment="1"/>
    <xf numFmtId="0" fontId="0" fillId="0" borderId="2" xfId="0" applyBorder="1" applyAlignment="1"/>
    <xf numFmtId="1" fontId="0" fillId="0" borderId="2" xfId="0" applyNumberFormat="1" applyBorder="1"/>
    <xf numFmtId="0" fontId="0" fillId="0" borderId="0" xfId="0" applyNumberFormat="1"/>
    <xf numFmtId="0" fontId="10" fillId="34" borderId="17" xfId="0" applyFont="1" applyFill="1" applyBorder="1" applyAlignment="1">
      <alignment wrapText="1"/>
    </xf>
    <xf numFmtId="0" fontId="17" fillId="0" borderId="17" xfId="0" applyFont="1" applyBorder="1" applyAlignment="1">
      <alignment wrapText="1"/>
    </xf>
    <xf numFmtId="0" fontId="17" fillId="0" borderId="23" xfId="0" applyFont="1" applyBorder="1" applyAlignment="1">
      <alignment wrapText="1"/>
    </xf>
    <xf numFmtId="0" fontId="17" fillId="0" borderId="24" xfId="0" applyFont="1" applyBorder="1" applyAlignment="1">
      <alignment wrapText="1"/>
    </xf>
    <xf numFmtId="14" fontId="14" fillId="0" borderId="21" xfId="0" applyNumberFormat="1" applyFont="1" applyBorder="1" applyAlignment="1">
      <alignment horizontal="right" wrapText="1"/>
    </xf>
    <xf numFmtId="0" fontId="11" fillId="0" borderId="21" xfId="0" applyFont="1" applyBorder="1" applyAlignment="1">
      <alignment wrapText="1"/>
    </xf>
    <xf numFmtId="0" fontId="1" fillId="33" borderId="22" xfId="0" applyFont="1" applyFill="1" applyBorder="1" applyAlignment="1">
      <alignment horizontal="center" vertical="center"/>
    </xf>
  </cellXfs>
  <cellStyles count="1">
    <cellStyle name="Normal" xfId="0" builtinId="0"/>
  </cellStyles>
  <dxfs count="177"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_-[$S/-280A]\ * #,##0.00_-;\-[$S/-280A]\ * #,##0.00_-;_-[$S/-280A]\ * &quot;-&quot;??_-;_-@_-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_-[$S/-280A]\ * #,##0.00_-;\-[$S/-280A]\ * #,##0.00_-;_-[$S/-280A]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</font>
      <fill>
        <patternFill>
          <bgColor rgb="FFCCFFCC"/>
        </patternFill>
      </fill>
    </dxf>
    <dxf>
      <font>
        <b/>
        <i val="0"/>
      </font>
      <fill>
        <patternFill>
          <bgColor rgb="FFFF9999"/>
        </patternFill>
      </fill>
    </dxf>
    <dxf>
      <numFmt numFmtId="164" formatCode="_-[$S/-280A]\ * #,##0.00_-;\-[$S/-280A]\ * #,##0.00_-;_-[$S/-280A]\ * &quot;-&quot;??_-;_-@_-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_-[$S/-280A]\ * #,##0.00_-;\-[$S/-280A]\ * #,##0.00_-;_-[$S/-280A]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9" tint="-0.24994659260841701"/>
      </font>
      <fill>
        <patternFill>
          <bgColor rgb="FFCCFFCC"/>
        </patternFill>
      </fill>
    </dxf>
    <dxf>
      <font>
        <b/>
        <i val="0"/>
        <color rgb="FFC00000"/>
      </font>
      <fill>
        <patternFill>
          <bgColor rgb="FFFFCC99"/>
        </patternFill>
      </fill>
    </dxf>
    <dxf>
      <fill>
        <patternFill>
          <bgColor rgb="FFFF99FF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CCFFCC"/>
        </patternFill>
      </fill>
    </dxf>
    <dxf>
      <font>
        <b/>
        <i val="0"/>
      </font>
      <fill>
        <patternFill>
          <bgColor rgb="FFFFCCFF"/>
        </patternFill>
      </fill>
    </dxf>
    <dxf>
      <fill>
        <patternFill>
          <bgColor rgb="FFFF0000"/>
        </patternFill>
      </fill>
    </dxf>
    <dxf>
      <fill>
        <patternFill>
          <bgColor rgb="FFFF7C80"/>
        </patternFill>
      </fill>
    </dxf>
    <dxf>
      <font>
        <b/>
        <i val="0"/>
      </font>
      <fill>
        <patternFill>
          <bgColor rgb="FFFF9999"/>
        </patternFill>
      </fill>
    </dxf>
    <dxf>
      <fill>
        <patternFill>
          <bgColor rgb="FFFF99FF"/>
        </patternFill>
      </fill>
    </dxf>
    <dxf>
      <font>
        <b/>
        <i val="0"/>
      </font>
      <fill>
        <patternFill>
          <bgColor rgb="FFCCFFCC"/>
        </patternFill>
      </fill>
    </dxf>
    <dxf>
      <font>
        <b/>
        <i val="0"/>
      </font>
      <fill>
        <patternFill>
          <bgColor rgb="FFFF9999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CCFFCC"/>
        </patternFill>
      </fill>
    </dxf>
    <dxf>
      <font>
        <b/>
        <i val="0"/>
      </font>
      <fill>
        <patternFill>
          <bgColor rgb="FFFFCCFF"/>
        </patternFill>
      </fill>
    </dxf>
    <dxf>
      <fill>
        <patternFill>
          <bgColor rgb="FFFF0000"/>
        </patternFill>
      </fill>
    </dxf>
    <dxf>
      <fill>
        <patternFill>
          <bgColor rgb="FFFF99FF"/>
        </patternFill>
      </fill>
    </dxf>
    <dxf>
      <fill>
        <patternFill>
          <bgColor rgb="FFFF7C80"/>
        </patternFill>
      </fill>
    </dxf>
    <dxf>
      <font>
        <b/>
        <i val="0"/>
      </font>
      <fill>
        <patternFill>
          <bgColor rgb="FFFF9999"/>
        </patternFill>
      </fill>
    </dxf>
    <dxf>
      <font>
        <b/>
        <i val="0"/>
        <color theme="9" tint="-0.24994659260841701"/>
      </font>
      <fill>
        <patternFill>
          <bgColor rgb="FFCCFFCC"/>
        </patternFill>
      </fill>
    </dxf>
    <dxf>
      <font>
        <b/>
        <i val="0"/>
        <color rgb="FFC00000"/>
      </font>
      <fill>
        <patternFill>
          <bgColor rgb="FFFFCC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66FFFF"/>
        </patternFill>
      </fill>
    </dxf>
    <dxf>
      <fill>
        <patternFill>
          <bgColor rgb="FFFFFF00"/>
        </patternFill>
      </fill>
    </dxf>
    <dxf>
      <fill>
        <patternFill>
          <bgColor rgb="FF66FFFF"/>
        </patternFill>
      </fill>
    </dxf>
    <dxf>
      <fill>
        <patternFill>
          <bgColor rgb="FFFFFF00"/>
        </patternFill>
      </fill>
    </dxf>
    <dxf>
      <fill>
        <patternFill>
          <bgColor rgb="FF66FFFF"/>
        </patternFill>
      </fill>
    </dxf>
    <dxf>
      <fill>
        <patternFill>
          <bgColor rgb="FFFFFF00"/>
        </patternFill>
      </fill>
    </dxf>
    <dxf>
      <fill>
        <patternFill>
          <bgColor rgb="FF66FFFF"/>
        </patternFill>
      </fill>
    </dxf>
    <dxf>
      <fill>
        <patternFill>
          <bgColor rgb="FFFFFF00"/>
        </patternFill>
      </fill>
    </dxf>
    <dxf>
      <fill>
        <patternFill>
          <bgColor rgb="FF66FFFF"/>
        </patternFill>
      </fill>
    </dxf>
    <dxf>
      <fill>
        <patternFill>
          <bgColor rgb="FFFFFF00"/>
        </patternFill>
      </fill>
    </dxf>
    <dxf>
      <fill>
        <patternFill>
          <bgColor rgb="FF66FFFF"/>
        </patternFill>
      </fill>
    </dxf>
    <dxf>
      <fill>
        <patternFill>
          <bgColor rgb="FFFFFF00"/>
        </patternFill>
      </fill>
    </dxf>
    <dxf>
      <fill>
        <patternFill>
          <bgColor rgb="FF66FFFF"/>
        </patternFill>
      </fill>
    </dxf>
    <dxf>
      <fill>
        <patternFill>
          <bgColor rgb="FFFFFF00"/>
        </patternFill>
      </fill>
    </dxf>
    <dxf>
      <fill>
        <patternFill>
          <bgColor rgb="FF66FFFF"/>
        </patternFill>
      </fill>
    </dxf>
    <dxf>
      <fill>
        <patternFill>
          <bgColor rgb="FFFFFF00"/>
        </patternFill>
      </fill>
    </dxf>
    <dxf>
      <fill>
        <patternFill>
          <bgColor rgb="FF66FFFF"/>
        </patternFill>
      </fill>
    </dxf>
    <dxf>
      <fill>
        <patternFill>
          <bgColor rgb="FFFFFF00"/>
        </patternFill>
      </fill>
    </dxf>
    <dxf>
      <fill>
        <patternFill>
          <bgColor rgb="FF66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 tint="0.79998168889431442"/>
          <bgColor rgb="FF002060"/>
        </patternFill>
      </fill>
      <alignment horizontal="center" vertical="center" textRotation="0" wrapText="0" indent="0" justifyLastLine="0" shrinkToFit="0" readingOrder="0"/>
    </dxf>
    <dxf>
      <numFmt numFmtId="168" formatCode="0.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0.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rgb="FF7030A0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dd/mm/yyyy"/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/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border outline="0">
        <top style="medium">
          <color rgb="FFCCCCCC"/>
        </top>
      </border>
    </dxf>
    <dxf>
      <border outline="0">
        <bottom style="medium">
          <color rgb="FF000000"/>
        </bottom>
      </border>
    </dxf>
    <dxf>
      <border outline="0">
        <left style="medium">
          <color rgb="FF000000"/>
        </left>
        <bottom style="medium">
          <color rgb="FF000000"/>
        </bottom>
      </border>
    </dxf>
    <dxf>
      <numFmt numFmtId="165" formatCode="[$S/-280A]\ 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[$S/-280A]\ #,##0.00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##\ &quot;Dias&quot;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fill>
        <patternFill patternType="solid">
          <fgColor indexed="64"/>
          <bgColor theme="7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fill>
        <patternFill patternType="solid">
          <fgColor indexed="64"/>
          <bgColor theme="7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_-[$S/-280A]\ * #,##0.00_-;\-[$S/-280A]\ * #,##0.00_-;_-[$S/-280A]\ * &quot;-&quot;??_-;_-@_-"/>
      <fill>
        <patternFill patternType="solid">
          <fgColor indexed="64"/>
          <bgColor theme="7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[$S/-280A]\ #,##0.00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[$S/-280A]\ #,##0.00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>
          <bgColor theme="7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7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7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[$S/-280A]\ 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[$S/-280A]\ #,##0.00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##\ &quot;Dias&quot;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fill>
        <patternFill patternType="solid">
          <fgColor indexed="64"/>
          <bgColor theme="7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fill>
        <patternFill patternType="solid">
          <fgColor indexed="64"/>
          <bgColor theme="7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_-[$S/-280A]\ * #,##0.00_-;\-[$S/-280A]\ * #,##0.00_-;_-[$S/-280A]\ * &quot;-&quot;??_-;_-@_-"/>
      <fill>
        <patternFill patternType="solid">
          <fgColor indexed="64"/>
          <bgColor theme="7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[$S/-280A]\ #,##0.00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[$S/-280A]\ #,##0.00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>
          <bgColor theme="7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7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7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[$S/-280A]\ * #,##0.00_-;\-[$S/-280A]\ * #,##0.00_-;_-[$S/-280A]\ * &quot;-&quot;??_-;_-@_-"/>
      <fill>
        <patternFill patternType="solid">
          <fgColor theme="5" tint="0.79998168889431442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[$S/-280A]\ * #,##0.00_-;\-[$S/-280A]\ * #,##0.00_-;_-[$S/-280A]\ * &quot;-&quot;??_-;_-@_-"/>
      <fill>
        <patternFill patternType="solid">
          <fgColor theme="5" tint="0.79998168889431442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[$S/-280A]\ * #,##0.00_-;\-[$S/-280A]\ * #,##0.00_-;_-[$S/-280A]\ * &quot;-&quot;??_-;_-@_-"/>
      <fill>
        <patternFill patternType="solid">
          <fgColor theme="5" tint="0.79998168889431442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[$S/-280A]\ * #,##0.00_-;\-[$S/-280A]\ * #,##0.00_-;_-[$S/-280A]\ * &quot;-&quot;??_-;_-@_-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5" tint="0.79998168889431442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5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5" tint="0.79998168889431442"/>
          <bgColor theme="5" tint="0.79998168889431442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5"/>
          <bgColor rgb="FF7030A0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[$S/-280A]\ * #,##0.00_-;\-[$S/-280A]\ * #,##0.00_-;_-[$S/-280A]\ * &quot;-&quot;??_-;_-@_-"/>
      <fill>
        <patternFill patternType="solid">
          <fgColor theme="5" tint="0.79998168889431442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[$S/-280A]\ * #,##0.00_-;\-[$S/-280A]\ * #,##0.00_-;_-[$S/-280A]\ * &quot;-&quot;??_-;_-@_-"/>
      <fill>
        <patternFill patternType="solid">
          <fgColor theme="5" tint="0.79998168889431442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[$S/-280A]\ * #,##0.00_-;\-[$S/-280A]\ * #,##0.00_-;_-[$S/-280A]\ * &quot;-&quot;??_-;_-@_-"/>
      <fill>
        <patternFill patternType="solid">
          <fgColor theme="5" tint="0.79998168889431442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_-[$S/-280A]\ * #,##0.00_-;\-[$S/-280A]\ * #,##0.00_-;_-[$S/-280A]\ * &quot;-&quot;??_-;_-@_-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5" tint="0.79998168889431442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theme="5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5" tint="0.79998168889431442"/>
          <bgColor theme="5" tint="0.79998168889431442"/>
        </patternFill>
      </fill>
    </dxf>
    <dxf>
      <border outline="0">
        <bottom style="thin">
          <color theme="5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5"/>
          <bgColor theme="5"/>
        </patternFill>
      </fill>
    </dxf>
    <dxf>
      <numFmt numFmtId="164" formatCode="_-[$S/-280A]\ * #,##0.00_-;\-[$S/-280A]\ * #,##0.00_-;_-[$S/-280A]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_-[$S/-280A]\ * #,##0.00_-;\-[$S/-280A]\ * #,##0.00_-;_-[$S/-280A]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_-[$S/-280A]\ * #,##0.00_-;\-[$S/-280A]\ * #,##0.00_-;_-[$S/-280A]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_-[$S/-280A]\ * #,##0.00_-;\-[$S/-280A]\ * #,##0.00_-;_-[$S/-280A]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_-[$S/-280A]\ * #,##0.00_-;\-[$S/-280A]\ * #,##0.00_-;_-[$S/-280A]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CCFF99"/>
      <color rgb="FFFFCC99"/>
      <color rgb="FFCCFFCC"/>
      <color rgb="FFFF9999"/>
      <color rgb="FF99FFCC"/>
      <color rgb="FFFFFF66"/>
      <color rgb="FF3399FF"/>
      <color rgb="FFFF7C80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1D33FA8C-57B7-4901-802A-D5A1F7ADA232}" autoFormatId="16" applyNumberFormats="0" applyBorderFormats="0" applyFontFormats="0" applyPatternFormats="0" applyAlignmentFormats="0" applyWidthHeightFormats="0">
  <queryTableRefresh nextId="5">
    <queryTableFields count="4">
      <queryTableField id="1" name="FECHA" tableColumnId="1"/>
      <queryTableField id="2" name="NOMBRE TÉNICO" tableColumnId="2"/>
      <queryTableField id="3" name="Atributo" tableColumnId="3"/>
      <queryTableField id="4" name="Valor" tableColumnId="4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960BFAF-FAAE-4316-BB5C-BFD6AAD1D28B}" name="BD_MOVD" displayName="BD_MOVD" ref="A2:I48" totalsRowShown="0">
  <autoFilter ref="A2:I48" xr:uid="{3960BFAF-FAAE-4316-BB5C-BFD6AAD1D28B}"/>
  <tableColumns count="9">
    <tableColumn id="1" xr3:uid="{4CE95859-3EDC-4688-B3A5-FAEAD7F471AC}" name="NOMBRE" dataDxfId="176"/>
    <tableColumn id="10" xr3:uid="{BF40ADDC-7A4C-4D1A-8F91-1F1F3CE21D48}" name="DNI" dataDxfId="175"/>
    <tableColumn id="2" xr3:uid="{5CF6C337-6447-4959-A644-19A89F1F3978}" name="CARGO" dataDxfId="174"/>
    <tableColumn id="4" xr3:uid="{AA3D339E-1128-4956-89DF-7151298C52C9}" name="SISTEMA" dataDxfId="173"/>
    <tableColumn id="8" xr3:uid="{3523FF4F-3754-4781-A0F6-2216262D1B41}" name="HR DE CONTRATO" dataDxfId="172"/>
    <tableColumn id="6" xr3:uid="{C6D6899F-61A8-4E13-BF28-5357A1D3A308}" name="COSTO DIA" dataDxfId="171"/>
    <tableColumn id="12" xr3:uid="{4A700EE8-D533-45E9-AAD4-D5D26F7C0751}" name="SUELDO" dataDxfId="170">
      <calculatedColumnFormula>IF(BD_MOVD[[#This Row],[SISTEMA]]="SUELDO",BD_MOVD[[#This Row],[COSTO DIA]]*30,0)</calculatedColumnFormula>
    </tableColumn>
    <tableColumn id="7" xr3:uid="{02EF6CEA-1AD9-4702-BCD5-A53B18332DCB}" name="COSTO HH" dataDxfId="169">
      <calculatedColumnFormula>IFERROR(BD_MOVD[[#This Row],[COSTO DIA]]/BD_MOVD[[#This Row],[HR DE CONTRATO]],0)</calculatedColumnFormula>
    </tableColumn>
    <tableColumn id="11" xr3:uid="{54E56F33-AE72-4E20-8EBF-23EC0B99C2A3}" name="TIPO PAGO" dataDxfId="168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5034BE8-439A-4F27-A1CF-E52BB7C55160}" name="BD_MOVI" displayName="BD_MOVI" ref="K2:S10" totalsRowShown="0" headerRowDxfId="167" dataDxfId="165" headerRowBorderDxfId="166" tableBorderDxfId="164">
  <autoFilter ref="K2:S10" xr:uid="{A5034BE8-439A-4F27-A1CF-E52BB7C55160}"/>
  <tableColumns count="9">
    <tableColumn id="1" xr3:uid="{2840DB1B-6BDF-429F-A3EA-FA05F59B1A81}" name="NOMBRE" dataDxfId="163"/>
    <tableColumn id="2" xr3:uid="{07A8C2CC-782C-4F2D-ABD2-DBD1BD134E33}" name="DNI" dataDxfId="162"/>
    <tableColumn id="3" xr3:uid="{4DF23B7B-D71C-43F5-A9C1-78CC2F63B94E}" name="CARGO" dataDxfId="161"/>
    <tableColumn id="4" xr3:uid="{471C0459-20BC-4FD4-B0D6-3430B667BC4B}" name="SISTEMA" dataDxfId="160"/>
    <tableColumn id="5" xr3:uid="{CFD83E75-F8B1-4001-BB22-293545B49BB6}" name="HR DE CONTRATO" dataDxfId="159"/>
    <tableColumn id="6" xr3:uid="{133C7E98-4603-44F6-A0CD-D6E60BB4983F}" name="COSTO DIA" dataDxfId="158"/>
    <tableColumn id="7" xr3:uid="{6685121C-E020-49E5-A852-BDCE9D6910D1}" name="SUELDO" dataDxfId="157">
      <calculatedColumnFormula>P3*30</calculatedColumnFormula>
    </tableColumn>
    <tableColumn id="8" xr3:uid="{B7157D07-BAB2-4B86-8FF8-A737F84BE06C}" name="COSTO HH" dataDxfId="156">
      <calculatedColumnFormula>P3/O3</calculatedColumnFormula>
    </tableColumn>
    <tableColumn id="9" xr3:uid="{B8A4CC30-D9C2-47F0-ABF2-B26986C837F6}" name="TIPO PAGO" dataDxfId="155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9DF1D84-9E78-4452-A5DE-56C879B93747}" name="BD_ADMINIS" displayName="BD_ADMINIS" ref="U2:AC7" totalsRowShown="0" headerRowDxfId="154" dataDxfId="152" headerRowBorderDxfId="153" tableBorderDxfId="151">
  <autoFilter ref="U2:AC7" xr:uid="{89DF1D84-9E78-4452-A5DE-56C879B93747}"/>
  <tableColumns count="9">
    <tableColumn id="1" xr3:uid="{3B541C43-0A99-4896-96DC-29036380CBB8}" name="NOMBRE" dataDxfId="150"/>
    <tableColumn id="2" xr3:uid="{7BDF3288-E08A-4B77-9190-18257E210EBF}" name="DNI" dataDxfId="149"/>
    <tableColumn id="3" xr3:uid="{1E1A2E17-3380-4D32-AB9D-BDFE0325CEDD}" name="CARGO" dataDxfId="148"/>
    <tableColumn id="4" xr3:uid="{6C7EC1E3-FD63-4B37-A20E-6592D051C59E}" name="SISTEMA" dataDxfId="147"/>
    <tableColumn id="5" xr3:uid="{4B938199-3883-48EB-8389-24641E2FC328}" name="HR DE CONTRATO" dataDxfId="146"/>
    <tableColumn id="6" xr3:uid="{B5A29414-145D-46D2-AE79-7B9483D36B85}" name="COSTO DIA" dataDxfId="145"/>
    <tableColumn id="7" xr3:uid="{57197609-C8A5-486D-85C7-52EF6FFAC75B}" name="SUELDO" dataDxfId="144">
      <calculatedColumnFormula>Z3*30</calculatedColumnFormula>
    </tableColumn>
    <tableColumn id="8" xr3:uid="{5DF65C45-1E90-48A2-8916-6B4122278836}" name="COSTO HH" dataDxfId="143">
      <calculatedColumnFormula>Z3/Y3</calculatedColumnFormula>
    </tableColumn>
    <tableColumn id="9" xr3:uid="{116AE46A-23C4-45CE-8313-CC9ED5E67758}" name="TIPO PAGO" dataDxfId="14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493511A-FC57-43EE-BAEE-0AE240E21A2F}" name="Tabla16" displayName="Tabla16" ref="A2:L25" totalsRowShown="0" dataDxfId="84" headerRowBorderDxfId="98" tableBorderDxfId="99" totalsRowBorderDxfId="97">
  <autoFilter ref="A2:L25" xr:uid="{0493511A-FC57-43EE-BAEE-0AE240E21A2F}"/>
  <tableColumns count="12">
    <tableColumn id="1" xr3:uid="{34B68992-E6EA-41CD-BB0D-1A7E3F9C08F7}" name="DIA -MES" dataDxfId="96"/>
    <tableColumn id="2" xr3:uid="{1B0D0101-C949-4BE1-82EF-65F0F52CB452}" name="FECHA" dataDxfId="95"/>
    <tableColumn id="3" xr3:uid="{35709FF5-EF1D-462A-B98B-41902DDE81C8}" name="NOMBRE TÉNICO" dataDxfId="94"/>
    <tableColumn id="4" xr3:uid="{2FA7965B-DFDA-4B21-9D71-8BF6BF2D98F0}" name="CERCO PERIMÉTRICO 500 ML" dataDxfId="93"/>
    <tableColumn id="5" xr3:uid="{AE75FD8F-DCB1-4BD1-B0C5-B489AECA5504}" name="TECHOS GOLDEN" dataDxfId="92"/>
    <tableColumn id="6" xr3:uid="{975F49CB-168D-4D18-9E22-B87FF2EC2772}" name="TANQUES GOLDEN" dataDxfId="91"/>
    <tableColumn id="7" xr3:uid="{1F694604-0DC3-4F1A-B96E-5F6412B378BD}" name="CAJONES GOLDEN" dataDxfId="90"/>
    <tableColumn id="8" xr3:uid="{E9F780CB-44FA-4C42-AD7C-D81CFBDF203E}" name="SEÑALIZACION GOLDEN" dataDxfId="89"/>
    <tableColumn id="9" xr3:uid="{334A6A29-F726-40F3-B767-54E8905481A0}" name="_x000a_MTTO TALLER" dataDxfId="88"/>
    <tableColumn id="10" xr3:uid="{6B488713-C286-40BD-84B5-019F3109972D}" name="PUERTA CUÑADA INGE" dataDxfId="87"/>
    <tableColumn id="11" xr3:uid="{FB932C8E-F372-4FC0-BA5E-929B1C773DF4}" name="PARADA" dataDxfId="86"/>
    <tableColumn id="12" xr3:uid="{8B7E78D1-B331-446A-852B-5C6A42BD07CA}" name="ZARANDA GOLDEN" dataDxfId="8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D2BF65E-E399-48A5-8DE6-164E57D09A21}" name="Tabla16_2" displayName="Tabla16_2" ref="A30:D68" tableType="queryTable" totalsRowShown="0">
  <autoFilter ref="A30:D68" xr:uid="{8D2BF65E-E399-48A5-8DE6-164E57D09A21}"/>
  <sortState xmlns:xlrd2="http://schemas.microsoft.com/office/spreadsheetml/2017/richdata2" ref="A31:D68">
    <sortCondition ref="B30:B68"/>
  </sortState>
  <tableColumns count="4">
    <tableColumn id="1" xr3:uid="{713A4D92-49CB-40C9-A375-324362DAB978}" uniqueName="1" name="FECHA" queryTableFieldId="1" dataDxfId="83"/>
    <tableColumn id="2" xr3:uid="{57793F21-082F-482A-8BE1-6FD88B3449DA}" uniqueName="2" name="NOMBRE TÉNICO" queryTableFieldId="2"/>
    <tableColumn id="3" xr3:uid="{A48992B6-627E-47B4-9FBF-2CAB71323F71}" uniqueName="3" name="Atributo" queryTableFieldId="3" dataDxfId="82"/>
    <tableColumn id="4" xr3:uid="{8DC59AF0-9705-4DD9-8BA3-8591E701C6E3}" uniqueName="4" name="Valor" queryTableFieldId="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75E4CC3-30FE-48A1-826F-2121E1C1A342}" name="Tabla14" displayName="Tabla14" ref="B1:J10" totalsRowShown="0">
  <autoFilter ref="B1:J10" xr:uid="{D75E4CC3-30FE-48A1-826F-2121E1C1A342}"/>
  <sortState xmlns:xlrd2="http://schemas.microsoft.com/office/spreadsheetml/2017/richdata2" ref="B2:J10">
    <sortCondition ref="B1:B10"/>
  </sortState>
  <tableColumns count="9">
    <tableColumn id="1" xr3:uid="{734E6B46-0E55-4072-8E95-63914CC5B47C}" name="Columna1"/>
    <tableColumn id="2" xr3:uid="{61BDC3D6-9FDC-47D6-BA33-683F350A7F44}" name="Columna2"/>
    <tableColumn id="3" xr3:uid="{8ED27454-4E81-4C30-9F4B-96C27B32572E}" name="Columna3"/>
    <tableColumn id="4" xr3:uid="{11CECA0A-D6D6-405D-A41D-41EF48923D32}" name="Columna4"/>
    <tableColumn id="5" xr3:uid="{336DBFBE-C589-4B01-A860-912EDC567766}" name="Columna5"/>
    <tableColumn id="6" xr3:uid="{406B6F32-56B2-403C-B1D3-820F88142734}" name="Columna6"/>
    <tableColumn id="7" xr3:uid="{36781133-BAE0-4E13-9855-64E83524E03E}" name="Columna7"/>
    <tableColumn id="8" xr3:uid="{AB9DB13D-4613-4924-8FE9-BA117A3CE6F9}" name="Columna8"/>
    <tableColumn id="9" xr3:uid="{BFDFD678-A952-4CDF-A69B-07183E9F28B7}" name="Columna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F4DEBAC-C4AB-4CD4-A3D3-9881470F1182}" name="MOVD_Jornal" displayName="MOVD_Jornal" ref="A1:H32" totalsRowShown="0">
  <autoFilter ref="A1:H32" xr:uid="{BF4DEBAC-C4AB-4CD4-A3D3-9881470F1182}"/>
  <sortState xmlns:xlrd2="http://schemas.microsoft.com/office/spreadsheetml/2017/richdata2" ref="A2:H32">
    <sortCondition ref="G1:G32"/>
  </sortState>
  <tableColumns count="8">
    <tableColumn id="1" xr3:uid="{17274454-B42A-4AB0-A173-D3F28C232D17}" name="FECHA" dataDxfId="141"/>
    <tableColumn id="2" xr3:uid="{F02986DF-2E8F-4B64-A17B-895D34C01A21}" name="NOMBRE" dataDxfId="140"/>
    <tableColumn id="3" xr3:uid="{B1758AEF-7866-40A1-B712-0AA8F9F70F78}" name="SERVICIO" dataDxfId="139"/>
    <tableColumn id="4" xr3:uid="{FB89D8C8-9A4A-4010-B5CE-0F8010727828}" name="HORAS" dataDxfId="138"/>
    <tableColumn id="5" xr3:uid="{F9B31334-EF44-4F31-826D-DF9E75C387EC}" name="DOMINICAL" dataDxfId="137">
      <calculatedColumnFormula>(8/48)*MOVD_Jornal[[#This Row],[HORAS]]</calculatedColumnFormula>
    </tableColumn>
    <tableColumn id="6" xr3:uid="{B7FC0467-A90D-443B-B365-152EB22CE062}" name="TOTAL HORAS" dataDxfId="136">
      <calculatedColumnFormula>SUM(MOVD_Jornal[[#This Row],[HORAS]:[DOMINICAL]])</calculatedColumnFormula>
    </tableColumn>
    <tableColumn id="7" xr3:uid="{E4F846C3-0ABA-4342-8BAE-7D3F40EC7F41}" name="COSTO HH" dataDxfId="135"/>
    <tableColumn id="8" xr3:uid="{14DA23D1-D0DD-4491-99FE-4DD0844B974C}" name="SOLES SUB TOTAL" dataDxfId="134">
      <calculatedColumnFormula>MOVD_Jornal[[#This Row],[TOTAL HORAS]]*MOVD_Jornal[[#This Row],[COSTO HH]]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813E61B-69F5-4B82-998B-52B52F3C2B6F}" name="MOVD_Sueldo" displayName="MOVD_Sueldo" ref="T1:AC8" totalsRowShown="0">
  <autoFilter ref="T1:AC8" xr:uid="{E813E61B-69F5-4B82-998B-52B52F3C2B6F}"/>
  <tableColumns count="10">
    <tableColumn id="3" xr3:uid="{2FECA506-C6B9-4686-8ECF-478C83181FE7}" name="JORNADA" dataDxfId="21">
      <calculatedColumnFormula>VLOOKUP(MOVD_Sueldo[[#This Row],[FECHA]]&amp;MOVD_Sueldo[[#This Row],[NOMBRE]],BD_ControlRegimen[],5,0)</calculatedColumnFormula>
    </tableColumn>
    <tableColumn id="2" xr3:uid="{05205748-4F1E-41BA-8010-15443A79ED3F}" name="FECHA" dataDxfId="20"/>
    <tableColumn id="13" xr3:uid="{0FC29CE9-5E2B-4423-8445-6C6FB4BFB66B}" name="NOMBRE" dataDxfId="19"/>
    <tableColumn id="7" xr3:uid="{13A203E1-D832-4935-9A0E-639E1C7FDED3}" name="SERVICIO" dataDxfId="18"/>
    <tableColumn id="4" xr3:uid="{1FC994DE-F1C4-4502-AE31-9936B396334B}" name="HORAS" dataDxfId="17"/>
    <tableColumn id="5" xr3:uid="{1F750C24-0DD9-40CF-9736-67988F8BAA3B}" name="DESCUENTO" dataDxfId="16">
      <calculatedColumnFormula>IFERROR(IF(AND(WEEKDAY(U2,2)&lt;&gt; 7,T2="Trabajo"),-((10-SUMIFS(MOVD_Sueldo[HORAS],MOVD_Sueldo[NOMBRE],MOVD_Sueldo[[#This Row],[NOMBRE]],MOVD_Sueldo[FECHA],MOVD_Sueldo[[#This Row],[FECHA]]))*MOVD_Sueldo[[#This Row],[HORAS]]/SUMIFS(MOVD_Sueldo[HORAS],MOVD_Sueldo[NOMBRE],MOVD_Sueldo[[#This Row],[NOMBRE]],MOVD_Sueldo[FECHA],MOVD_Sueldo[[#This Row],[FECHA]])),IF(WEEKDAY(U2,2)= 7,0,0)),-10)</calculatedColumnFormula>
    </tableColumn>
    <tableColumn id="1" xr3:uid="{BA316347-6967-4670-A4C5-4F40AEB7CA3B}" name="COSTO DIA" dataDxfId="15">
      <calculatedColumnFormula>VLOOKUP(MOVD_Sueldo[[#This Row],[NOMBRE]],BD_MOVD[],6,0)/COUNTIFS(MOVD_Sueldo[FECHA],MOVD_Sueldo[[#This Row],[FECHA]],MOVD_Sueldo[NOMBRE],MOVD_Sueldo[[#This Row],[NOMBRE]])</calculatedColumnFormula>
    </tableColumn>
    <tableColumn id="10" xr3:uid="{8C0427B9-0420-457A-859B-0B0A2319B906}" name="COSTO HH" dataDxfId="14">
      <calculatedColumnFormula>(MOVD_Sueldo[[#This Row],[COSTO DIA]]*30)/240*COUNTIFS(MOVD_Sueldo[FECHA],MOVD_Sueldo[[#This Row],[FECHA]],MOVD_Sueldo[NOMBRE],MOVD_Sueldo[[#This Row],[NOMBRE]])</calculatedColumnFormula>
    </tableColumn>
    <tableColumn id="11" xr3:uid="{55408563-2491-4AF9-AEB2-434DBAD408E2}" name="PAGO SD" dataDxfId="13">
      <calculatedColumnFormula>(MOVD_Sueldo[[#This Row],[COSTO DIA]]*30)/DAY(EOMONTH(U2,0))</calculatedColumnFormula>
    </tableColumn>
    <tableColumn id="12" xr3:uid="{A3CC4161-78AA-4A24-BFED-C58D0F635DEC}" name="SOLES SUB TOTAL" dataDxfId="12">
      <calculatedColumnFormula>IF(T2&lt;&gt; "descanso forzado",AB2+Y2*AA2,AB2)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DEC6E00-6745-4695-A80C-12D58C9A052B}" name="MOVD_ControlJornal" displayName="MOVD_ControlJornal" ref="K2:R40" totalsRowShown="0" headerRowDxfId="133" dataDxfId="131" headerRowBorderDxfId="132" tableBorderDxfId="130" totalsRowBorderDxfId="129">
  <autoFilter ref="K2:R40" xr:uid="{4DEC6E00-6745-4695-A80C-12D58C9A052B}"/>
  <sortState xmlns:xlrd2="http://schemas.microsoft.com/office/spreadsheetml/2017/richdata2" ref="K3:Q40">
    <sortCondition ref="K2:K40"/>
  </sortState>
  <tableColumns count="8">
    <tableColumn id="1" xr3:uid="{686A2D33-C467-4B72-81C2-38EF9AB408CA}" name="NOMBRE" dataDxfId="128"/>
    <tableColumn id="13" xr3:uid="{99324B5A-ED6E-4B4C-80F1-2A40AE7E7E74}" name="S/. POR DIA" dataDxfId="127"/>
    <tableColumn id="11" xr3:uid="{A1105707-47AB-445C-8EF0-F0F8BF538A65}" name="FECHA INICIO" dataDxfId="126"/>
    <tableColumn id="10" xr3:uid="{D86F3182-BBEA-4F51-958C-E77B43F23961}" name="FECHA FIN" dataDxfId="125"/>
    <tableColumn id="5" xr3:uid="{C4DF9716-8BEC-4892-B388-176FB477CD93}" name="PERIODO" dataDxfId="124">
      <calculatedColumnFormula>MOVD_ControlJornal[[#This Row],[FECHA FIN]]-MOVD_ControlJornal[[#This Row],[FECHA INICIO]]+1</calculatedColumnFormula>
    </tableColumn>
    <tableColumn id="12" xr3:uid="{CB3D91F5-3128-41AE-92BA-5008F9789D51}" name="VIGENCIA" dataDxfId="123">
      <calculatedColumnFormula>IF(MOVD_ControlJornal[[#This Row],[PERIODO]]&gt;=364,"ANUAL", IF(MOVD_ControlJornal[[#This Row],[PERIODO]]&gt;=1,"POR DIAS","PASADO"))</calculatedColumnFormula>
    </tableColumn>
    <tableColumn id="6" xr3:uid="{CF871188-BF51-4C7B-A2F4-3F4F534EE039}" name="COSTO HH" dataDxfId="122">
      <calculatedColumnFormula>MOVD_ControlJornal[[#This Row],[S/. POR DIA]]/8</calculatedColumnFormula>
    </tableColumn>
    <tableColumn id="3" xr3:uid="{4C6DBD64-5054-4EA7-92A2-B172CE81C50A}" name="TIPO PAGO" dataDxfId="121">
      <calculatedColumnFormula>VLOOKUP(MOVD_ControlJornal[[#This Row],[NOMBRE]],BD_MOVD[],9,0)</calculatedColumnFormula>
    </tableColumn>
  </tableColumns>
  <tableStyleInfo name="TableStyleLight1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8C72ACD-5316-4F9B-A325-7668156BBB6F}" name="MOVI_Jornal" displayName="MOVI_Jornal" ref="A1:H4" totalsRowShown="0">
  <autoFilter ref="A1:H4" xr:uid="{A8C72ACD-5316-4F9B-A325-7668156BBB6F}"/>
  <sortState xmlns:xlrd2="http://schemas.microsoft.com/office/spreadsheetml/2017/richdata2" ref="A2:H4">
    <sortCondition ref="A1:A4"/>
  </sortState>
  <tableColumns count="8">
    <tableColumn id="1" xr3:uid="{EAC70AAD-6B26-41FF-9E61-6A44835035CC}" name="FECHA" dataDxfId="120"/>
    <tableColumn id="2" xr3:uid="{155E3822-DC04-4D02-A3E2-78AF9C1B2110}" name="NOMBRE" dataDxfId="119"/>
    <tableColumn id="3" xr3:uid="{87E80F4E-7A7B-43E0-9E0F-9B458EDB8FC3}" name="SERVICIO" dataDxfId="118"/>
    <tableColumn id="4" xr3:uid="{8EDDEC2C-FDB0-439C-BF6B-1C7CFD0DA40F}" name="HORAS" dataDxfId="117"/>
    <tableColumn id="5" xr3:uid="{A6C48088-457F-4D53-B434-A5FBD06D5A37}" name="DOMINICAL" dataDxfId="116">
      <calculatedColumnFormula>(8/48)*MOVI_Jornal[[#This Row],[HORAS]]</calculatedColumnFormula>
    </tableColumn>
    <tableColumn id="6" xr3:uid="{7A4A22B3-6813-4AF5-9C30-4FB6278C7019}" name="TOTAL HORAS" dataDxfId="115">
      <calculatedColumnFormula>SUM(MOVI_Jornal[[#This Row],[HORAS]:[DOMINICAL]])</calculatedColumnFormula>
    </tableColumn>
    <tableColumn id="7" xr3:uid="{57723C0E-A075-4D21-ABFA-0EDE6C75304C}" name="COSTO HH" dataDxfId="114"/>
    <tableColumn id="8" xr3:uid="{A087FC92-F49F-4B42-9E4D-1092E505CBF1}" name="SOLES SUB TOTAL" dataDxfId="113">
      <calculatedColumnFormula>MOVI_Jornal[[#This Row],[TOTAL HORAS]]*MOVI_Jornal[[#This Row],[COSTO HH]]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E7B76D7-E31F-4BC4-B37C-E89EBEFBB4B8}" name="MOVI_ControlJornal" displayName="MOVI_ControlJornal" ref="K2:R9" totalsRowShown="0" headerRowDxfId="112" dataDxfId="110" headerRowBorderDxfId="111" tableBorderDxfId="109" totalsRowBorderDxfId="108">
  <autoFilter ref="K2:R9" xr:uid="{2E7B76D7-E31F-4BC4-B37C-E89EBEFBB4B8}"/>
  <sortState xmlns:xlrd2="http://schemas.microsoft.com/office/spreadsheetml/2017/richdata2" ref="K3:Q9">
    <sortCondition ref="K2:K9"/>
  </sortState>
  <tableColumns count="8">
    <tableColumn id="1" xr3:uid="{463E9898-62C1-4780-982E-18C6327E438F}" name="NOMBRE" dataDxfId="107"/>
    <tableColumn id="13" xr3:uid="{BB72BC0E-D468-4061-B181-0056FA66FB0D}" name="S/. POR DIA" dataDxfId="106"/>
    <tableColumn id="11" xr3:uid="{1FA19241-E2A1-4F5C-BF02-C077E5E046C7}" name="FECHA INICIO" dataDxfId="105"/>
    <tableColumn id="10" xr3:uid="{FE075035-3ECE-4003-B172-CE0DBC6EBFE6}" name="FECHA FIN" dataDxfId="104"/>
    <tableColumn id="5" xr3:uid="{EB59C9BC-944C-43F6-93A3-5D9CB83664FB}" name="PERIODO" dataDxfId="103">
      <calculatedColumnFormula>MOVI_ControlJornal[[#This Row],[FECHA FIN]]-MOVI_ControlJornal[[#This Row],[FECHA INICIO]]+1</calculatedColumnFormula>
    </tableColumn>
    <tableColumn id="12" xr3:uid="{F8DF7857-5C35-486E-831C-80A946D052C1}" name="VIGENCIA" dataDxfId="102">
      <calculatedColumnFormula>IF(MOVI_ControlJornal[[#This Row],[PERIODO]]&gt;=364,"ANUAL", IF(MOVI_ControlJornal[[#This Row],[PERIODO]]&gt;=1,"POR DIAS","PASADO"))</calculatedColumnFormula>
    </tableColumn>
    <tableColumn id="6" xr3:uid="{B9F3BF15-C363-4E11-B21D-6D4F3D2FCC8D}" name="COSTO HH" dataDxfId="101">
      <calculatedColumnFormula>MOVI_ControlJornal[[#This Row],[S/. POR DIA]]/8</calculatedColumnFormula>
    </tableColumn>
    <tableColumn id="3" xr3:uid="{074B5E8C-0BB5-4F63-9607-8FD54683CD7C}" name="TIPO PAGO" dataDxfId="100">
      <calculatedColumnFormula>VLOOKUP(MOVI_ControlJornal[[#This Row],[NOMBRE]],BD_MOVI[],9,0)</calculatedColumnFormula>
    </tableColumn>
  </tableColumns>
  <tableStyleInfo name="TableStyleLight1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66A6CD0-6B22-4898-9F6A-81A54928B8F7}" name="MOVD_Sueldo21" displayName="MOVD_Sueldo21" ref="U1:AD8" totalsRowShown="0">
  <autoFilter ref="U1:AD8" xr:uid="{766A6CD0-6B22-4898-9F6A-81A54928B8F7}"/>
  <tableColumns count="10">
    <tableColumn id="3" xr3:uid="{575B00F2-B49A-44B4-9EDA-BD7C7D662E85}" name="JORNADA" dataDxfId="9">
      <calculatedColumnFormula>VLOOKUP(MOVD_Sueldo21[[#This Row],[FECHA]]&amp;MOVD_Sueldo21[[#This Row],[NOMBRE]],BD_ControlRegimen[],5,0)</calculatedColumnFormula>
    </tableColumn>
    <tableColumn id="2" xr3:uid="{A1E1C945-5D6B-46F2-901B-ED3B3C92D716}" name="FECHA" dataDxfId="8"/>
    <tableColumn id="13" xr3:uid="{3F7644DB-B8B2-47F4-8C73-643CD333EF5F}" name="NOMBRE" dataDxfId="7"/>
    <tableColumn id="7" xr3:uid="{51DC0938-85F3-4C64-AB53-A6F3B4B82921}" name="SERVICIO" dataDxfId="6"/>
    <tableColumn id="4" xr3:uid="{61118028-3CBE-40F7-A6AF-7E6BAB676EC8}" name="HORAS" dataDxfId="5"/>
    <tableColumn id="5" xr3:uid="{9CC3A90B-FFCD-43C1-9351-EE403CD36F70}" name="DESCUENTO" dataDxfId="4">
      <calculatedColumnFormula>IFERROR(IF(AND(WEEKDAY(V2,2)&lt;&gt; 7,U2="Trabajo"),-((10-SUMIFS(MOVD_Sueldo21[HORAS],MOVD_Sueldo21[NOMBRE],MOVD_Sueldo21[[#This Row],[NOMBRE]],MOVD_Sueldo21[FECHA],MOVD_Sueldo21[[#This Row],[FECHA]]))*MOVD_Sueldo21[[#This Row],[HORAS]]/SUMIFS(MOVD_Sueldo21[HORAS],MOVD_Sueldo21[NOMBRE],MOVD_Sueldo21[[#This Row],[NOMBRE]],MOVD_Sueldo21[FECHA],MOVD_Sueldo21[[#This Row],[FECHA]])),IF(WEEKDAY(V2,2)= 7,0,0)),-10)</calculatedColumnFormula>
    </tableColumn>
    <tableColumn id="1" xr3:uid="{B39C479E-B105-4F25-BBB5-7877999CD653}" name="COSTO DIA" dataDxfId="0">
      <calculatedColumnFormula>VLOOKUP(MOVD_Sueldo21[[#This Row],[NOMBRE]],BD_MOVI[],6,0)/COUNTIFS(MOVD_Sueldo21[FECHA],MOVD_Sueldo21[[#This Row],[FECHA]],MOVD_Sueldo21[NOMBRE],MOVD_Sueldo21[[#This Row],[NOMBRE]])</calculatedColumnFormula>
    </tableColumn>
    <tableColumn id="10" xr3:uid="{E0634F00-2A78-4B5C-B1FD-CA6505441A67}" name="COSTO HH" dataDxfId="3">
      <calculatedColumnFormula>(MOVD_Sueldo21[[#This Row],[COSTO DIA]]*30)/240*COUNTIFS(MOVD_Sueldo21[FECHA],MOVD_Sueldo21[[#This Row],[FECHA]],MOVD_Sueldo21[NOMBRE],MOVD_Sueldo21[[#This Row],[NOMBRE]])</calculatedColumnFormula>
    </tableColumn>
    <tableColumn id="11" xr3:uid="{8F37B583-F43D-4094-ADDC-D25BE7E67CA4}" name="PAGO SD" dataDxfId="2">
      <calculatedColumnFormula>(MOVD_Sueldo21[[#This Row],[COSTO DIA]]*30)/DAY(EOMONTH(V2,0))</calculatedColumnFormula>
    </tableColumn>
    <tableColumn id="12" xr3:uid="{06582441-2A78-4CA0-A60F-4439AF7C5700}" name="SOLES SUB TOTAL" dataDxfId="1">
      <calculatedColumnFormula>IF(U2&lt;&gt; "descanso forzado",AC2+Z2*AB2,AC2)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800165EE-70B5-4A13-8BBD-62C6A0B67576}" name="BD_ControlRegimen" displayName="BD_ControlRegimen" ref="A12:F3297" totalsRowShown="0" headerRowDxfId="81" dataDxfId="80">
  <autoFilter ref="A12:F3297" xr:uid="{800165EE-70B5-4A13-8BBD-62C6A0B67576}">
    <filterColumn colId="4">
      <customFilters>
        <customFilter operator="notEqual" val=" "/>
      </customFilters>
    </filterColumn>
  </autoFilter>
  <sortState xmlns:xlrd2="http://schemas.microsoft.com/office/spreadsheetml/2017/richdata2" ref="A13:F3297">
    <sortCondition ref="D12:D3292"/>
    <sortCondition ref="C12:C3292"/>
  </sortState>
  <tableColumns count="6">
    <tableColumn id="6" xr3:uid="{4C98E01E-43EB-4AB1-ADCB-04CDBF43B10C}" name="FECH&amp;NOMBRE" dataDxfId="79">
      <calculatedColumnFormula>BD_ControlRegimen[[#This Row],[FECHA]]&amp;BD_ControlRegimen[[#This Row],[NOMBRE]]</calculatedColumnFormula>
    </tableColumn>
    <tableColumn id="7" xr3:uid="{BEAA5801-820F-468A-8B1E-C90D64914725}" name="SEMANA" dataDxfId="78">
      <calculatedColumnFormula>WEEKNUM(BD_ControlRegimen[[#This Row],[FECHA]],2)</calculatedColumnFormula>
    </tableColumn>
    <tableColumn id="1" xr3:uid="{7ABE5442-6AD8-4C5A-94F9-9247AFFDA981}" name="FECHA" dataDxfId="77"/>
    <tableColumn id="2" xr3:uid="{E6A71381-C8E6-47FE-BA16-0F55D8B612A4}" name="NOMBRE" dataDxfId="76"/>
    <tableColumn id="3" xr3:uid="{AEB7C4EA-7DCB-46FC-A74F-700642647882}" name="ESTADO" dataDxfId="75"/>
    <tableColumn id="8" xr3:uid="{DB6497B7-01DF-4843-B19D-7AF8CE765667}" name="TRAZABILIDAD" dataDxfId="7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B32EE0F-BC0D-43CA-96EF-1E97C2AEBDB7}" name="PendienteRegimen" displayName="PendienteRegimen" ref="A1:C10" totalsRowShown="0" headerRowDxfId="67" headerRowBorderDxfId="72" tableBorderDxfId="73" totalsRowBorderDxfId="71">
  <autoFilter ref="A1:C10" xr:uid="{6B32EE0F-BC0D-43CA-96EF-1E97C2AEBDB7}"/>
  <tableColumns count="3">
    <tableColumn id="1" xr3:uid="{7556330C-5F7B-4A0D-BE54-EF7AD2EE7143}" name="NOMBRES" dataDxfId="70"/>
    <tableColumn id="2" xr3:uid="{EBCFFE54-7322-401F-90ED-5F48A9D1C797}" name="PENDIENTE X TRABAJAR" dataDxfId="69">
      <calculatedColumnFormula>IF((COUNTIFS(BD_ControlRegimen[ESTADO],"Trabajo",BD_ControlRegimen[NOMBRE],PendienteRegimen[[#This Row],[NOMBRES]])/3-COUNTIFS(BD_ControlRegimen[ESTADO],"Descanso",BD_ControlRegimen[NOMBRE],PendienteRegimen[[#This Row],[NOMBRES]]))*3&gt;0,0,-(COUNTIFS(BD_ControlRegimen[ESTADO],"Trabajo",BD_ControlRegimen[NOMBRE],PendienteRegimen[[#This Row],[NOMBRES]])/3-COUNTIFS(BD_ControlRegimen[ESTADO],"Descanso",BD_ControlRegimen[NOMBRE],PendienteRegimen[[#This Row],[NOMBRES]]))*3)</calculatedColumnFormula>
    </tableColumn>
    <tableColumn id="3" xr3:uid="{21114D6D-F7C5-423C-9398-487833F21631}" name="PENDIENTE X DESCANSAR" dataDxfId="68">
      <calculatedColumnFormula>IF(COUNTIFS(BD_ControlRegimen[ESTADO],"Trabajo",BD_ControlRegimen[NOMBRE],PendienteRegimen[[#This Row],[NOMBRES]])/3-COUNTIFS(BD_ControlRegimen[ESTADO],"Descanso",BD_ControlRegimen[NOMBRE],PendienteRegimen[[#This Row],[NOMBRES]])&lt;0,0,COUNTIFS(BD_ControlRegimen[ESTADO],"Trabajo",BD_ControlRegimen[NOMBRE],PendienteRegimen[[#This Row],[NOMBRES]])/3-COUNTIFS(BD_ControlRegimen[ESTADO],"Descanso",BD_ControlRegimen[NOMBRE],PendienteRegimen[[#This Row],[NOMBRES]]))</calculatedColumnFormula>
    </tableColumn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01897-44A8-45B7-B5D1-CB9A8A21F358}">
  <sheetPr codeName="Hoja2"/>
  <dimension ref="A1:AC48"/>
  <sheetViews>
    <sheetView topLeftCell="F1" workbookViewId="0">
      <selection activeCell="K10" sqref="K10"/>
    </sheetView>
  </sheetViews>
  <sheetFormatPr baseColWidth="10" defaultRowHeight="14.4" x14ac:dyDescent="0.3"/>
  <cols>
    <col min="1" max="1" width="40.44140625" bestFit="1" customWidth="1"/>
    <col min="2" max="2" width="9" bestFit="1" customWidth="1"/>
    <col min="3" max="3" width="12.33203125" bestFit="1" customWidth="1"/>
    <col min="4" max="4" width="10.77734375" bestFit="1" customWidth="1"/>
    <col min="5" max="5" width="18.109375" bestFit="1" customWidth="1"/>
    <col min="6" max="6" width="12.44140625" bestFit="1" customWidth="1"/>
    <col min="7" max="7" width="11.44140625" bestFit="1" customWidth="1"/>
    <col min="8" max="8" width="11.88671875" bestFit="1" customWidth="1"/>
    <col min="9" max="9" width="15.77734375" bestFit="1" customWidth="1"/>
    <col min="11" max="11" width="32.33203125" bestFit="1" customWidth="1"/>
    <col min="12" max="12" width="9" bestFit="1" customWidth="1"/>
    <col min="13" max="13" width="11.33203125" bestFit="1" customWidth="1"/>
    <col min="14" max="14" width="10.77734375" bestFit="1" customWidth="1"/>
    <col min="15" max="15" width="18.109375" bestFit="1" customWidth="1"/>
    <col min="16" max="16" width="12.44140625" bestFit="1" customWidth="1"/>
    <col min="17" max="17" width="11.44140625" bestFit="1" customWidth="1"/>
    <col min="18" max="18" width="11.88671875" bestFit="1" customWidth="1"/>
    <col min="19" max="19" width="15.77734375" bestFit="1" customWidth="1"/>
    <col min="21" max="21" width="23.44140625" bestFit="1" customWidth="1"/>
    <col min="22" max="22" width="15.5546875" bestFit="1" customWidth="1"/>
    <col min="23" max="23" width="12.44140625" bestFit="1" customWidth="1"/>
    <col min="24" max="24" width="10.44140625" customWidth="1"/>
    <col min="25" max="25" width="17.77734375" customWidth="1"/>
    <col min="26" max="26" width="12.109375" customWidth="1"/>
    <col min="27" max="27" width="12.44140625" bestFit="1" customWidth="1"/>
    <col min="28" max="28" width="11.5546875" customWidth="1"/>
    <col min="29" max="29" width="12.21875" customWidth="1"/>
  </cols>
  <sheetData>
    <row r="1" spans="1:29" ht="21" x14ac:dyDescent="0.3">
      <c r="A1" s="21" t="s">
        <v>85</v>
      </c>
      <c r="B1" s="22"/>
      <c r="C1" s="22"/>
      <c r="D1" s="22"/>
      <c r="E1" s="22"/>
      <c r="F1" s="22"/>
      <c r="G1" s="22"/>
      <c r="H1" s="22"/>
      <c r="I1" s="22"/>
      <c r="K1" s="23" t="s">
        <v>86</v>
      </c>
      <c r="L1" s="24"/>
      <c r="M1" s="24"/>
      <c r="N1" s="24"/>
      <c r="O1" s="24"/>
      <c r="P1" s="24"/>
      <c r="Q1" s="24"/>
      <c r="R1" s="24"/>
      <c r="S1" s="24"/>
      <c r="U1" s="23" t="s">
        <v>87</v>
      </c>
      <c r="V1" s="23"/>
      <c r="W1" s="23"/>
      <c r="X1" s="23"/>
      <c r="Y1" s="23"/>
      <c r="Z1" s="23"/>
      <c r="AA1" s="23"/>
      <c r="AB1" s="23"/>
      <c r="AC1" s="23"/>
    </row>
    <row r="2" spans="1:29" ht="15" thickBot="1" x14ac:dyDescent="0.35">
      <c r="A2" t="s">
        <v>1</v>
      </c>
      <c r="B2" t="s">
        <v>16</v>
      </c>
      <c r="C2" t="s">
        <v>17</v>
      </c>
      <c r="D2" t="s">
        <v>18</v>
      </c>
      <c r="E2" t="s">
        <v>19</v>
      </c>
      <c r="F2" t="s">
        <v>6</v>
      </c>
      <c r="G2" t="s">
        <v>20</v>
      </c>
      <c r="H2" t="s">
        <v>7</v>
      </c>
      <c r="I2" t="s">
        <v>21</v>
      </c>
      <c r="K2" s="25" t="s">
        <v>1</v>
      </c>
      <c r="L2" s="26" t="s">
        <v>16</v>
      </c>
      <c r="M2" s="26" t="s">
        <v>17</v>
      </c>
      <c r="N2" s="26" t="s">
        <v>18</v>
      </c>
      <c r="O2" s="26" t="s">
        <v>19</v>
      </c>
      <c r="P2" s="26" t="s">
        <v>6</v>
      </c>
      <c r="Q2" s="26" t="s">
        <v>20</v>
      </c>
      <c r="R2" s="26" t="s">
        <v>7</v>
      </c>
      <c r="S2" s="27" t="s">
        <v>21</v>
      </c>
      <c r="U2" s="54" t="s">
        <v>1</v>
      </c>
      <c r="V2" s="55" t="s">
        <v>16</v>
      </c>
      <c r="W2" s="55" t="s">
        <v>17</v>
      </c>
      <c r="X2" s="55" t="s">
        <v>18</v>
      </c>
      <c r="Y2" s="55" t="s">
        <v>19</v>
      </c>
      <c r="Z2" s="55" t="s">
        <v>6</v>
      </c>
      <c r="AA2" s="55" t="s">
        <v>20</v>
      </c>
      <c r="AB2" s="55" t="s">
        <v>7</v>
      </c>
      <c r="AC2" s="56" t="s">
        <v>21</v>
      </c>
    </row>
    <row r="3" spans="1:29" ht="15" thickTop="1" x14ac:dyDescent="0.3">
      <c r="A3" s="15" t="s">
        <v>22</v>
      </c>
      <c r="B3" s="3">
        <v>71983258</v>
      </c>
      <c r="C3" s="3" t="s">
        <v>23</v>
      </c>
      <c r="D3" s="15" t="s">
        <v>24</v>
      </c>
      <c r="E3" s="3">
        <v>8</v>
      </c>
      <c r="F3" s="5">
        <v>40</v>
      </c>
      <c r="G3" s="5">
        <f>IF(BD_MOVD[[#This Row],[SISTEMA]]="SUELDO",BD_MOVD[[#This Row],[COSTO DIA]]*30,0)</f>
        <v>0</v>
      </c>
      <c r="H3" s="5">
        <f>IFERROR(BD_MOVD[[#This Row],[COSTO DIA]]/BD_MOVD[[#This Row],[HR DE CONTRATO]],0)</f>
        <v>5</v>
      </c>
      <c r="I3" s="5" t="s">
        <v>25</v>
      </c>
      <c r="K3" s="28" t="s">
        <v>76</v>
      </c>
      <c r="L3" s="28">
        <v>70777478</v>
      </c>
      <c r="M3" s="28" t="s">
        <v>77</v>
      </c>
      <c r="N3" s="19" t="s">
        <v>24</v>
      </c>
      <c r="O3" s="28">
        <v>8</v>
      </c>
      <c r="P3" s="29">
        <v>40</v>
      </c>
      <c r="Q3" s="20">
        <f>P3*30</f>
        <v>1200</v>
      </c>
      <c r="R3" s="20">
        <f>P3/O3</f>
        <v>5</v>
      </c>
      <c r="S3" s="20" t="s">
        <v>25</v>
      </c>
      <c r="U3" s="17" t="s">
        <v>90</v>
      </c>
      <c r="V3" s="28"/>
      <c r="W3" s="28" t="s">
        <v>88</v>
      </c>
      <c r="X3" s="19" t="s">
        <v>20</v>
      </c>
      <c r="Y3" s="28">
        <v>8</v>
      </c>
      <c r="Z3" s="29">
        <v>83.333333333333329</v>
      </c>
      <c r="AA3" s="20">
        <f>Z3*30</f>
        <v>2500</v>
      </c>
      <c r="AB3" s="20">
        <f>Z3/Y3</f>
        <v>10.416666666666666</v>
      </c>
      <c r="AC3" s="20" t="s">
        <v>25</v>
      </c>
    </row>
    <row r="4" spans="1:29" x14ac:dyDescent="0.3">
      <c r="A4" s="15" t="s">
        <v>26</v>
      </c>
      <c r="B4" s="3">
        <v>75685221</v>
      </c>
      <c r="C4" s="3" t="s">
        <v>23</v>
      </c>
      <c r="D4" s="15" t="s">
        <v>24</v>
      </c>
      <c r="E4" s="3">
        <v>8</v>
      </c>
      <c r="F4" s="5">
        <v>50</v>
      </c>
      <c r="G4" s="5">
        <f>IF(BD_MOVD[[#This Row],[SISTEMA]]="SUELDO",BD_MOVD[[#This Row],[COSTO DIA]]*30,0)</f>
        <v>0</v>
      </c>
      <c r="H4" s="5">
        <f>IFERROR(BD_MOVD[[#This Row],[COSTO DIA]]/BD_MOVD[[#This Row],[HR DE CONTRATO]],0)</f>
        <v>6.25</v>
      </c>
      <c r="I4" s="5" t="s">
        <v>25</v>
      </c>
      <c r="K4" s="3" t="s">
        <v>78</v>
      </c>
      <c r="L4" s="3">
        <v>76331023</v>
      </c>
      <c r="M4" s="3" t="s">
        <v>77</v>
      </c>
      <c r="N4" s="19" t="s">
        <v>24</v>
      </c>
      <c r="O4" s="3">
        <v>8</v>
      </c>
      <c r="P4" s="5">
        <v>40</v>
      </c>
      <c r="Q4" s="20">
        <f t="shared" ref="Q4:Q10" si="0">P4*30</f>
        <v>1200</v>
      </c>
      <c r="R4" s="20">
        <f t="shared" ref="R4:R10" si="1">P4/O4</f>
        <v>5</v>
      </c>
      <c r="S4" s="5" t="s">
        <v>25</v>
      </c>
      <c r="U4" s="18" t="s">
        <v>91</v>
      </c>
      <c r="V4" s="30"/>
      <c r="W4" s="30" t="s">
        <v>88</v>
      </c>
      <c r="X4" s="19" t="s">
        <v>20</v>
      </c>
      <c r="Y4" s="30">
        <v>8</v>
      </c>
      <c r="Z4" s="31">
        <v>60</v>
      </c>
      <c r="AA4" s="20">
        <f t="shared" ref="AA4:AA7" si="2">Z4*30</f>
        <v>1800</v>
      </c>
      <c r="AB4" s="20">
        <f t="shared" ref="AB4:AB7" si="3">Z4/Y4</f>
        <v>7.5</v>
      </c>
      <c r="AC4" s="31" t="s">
        <v>25</v>
      </c>
    </row>
    <row r="5" spans="1:29" x14ac:dyDescent="0.3">
      <c r="A5" s="15" t="s">
        <v>27</v>
      </c>
      <c r="B5" s="3">
        <v>75715865</v>
      </c>
      <c r="C5" s="3" t="s">
        <v>23</v>
      </c>
      <c r="D5" s="15" t="s">
        <v>24</v>
      </c>
      <c r="E5" s="3">
        <v>8</v>
      </c>
      <c r="F5" s="5">
        <v>50</v>
      </c>
      <c r="G5" s="5">
        <f>IF(BD_MOVD[[#This Row],[SISTEMA]]="SUELDO",BD_MOVD[[#This Row],[COSTO DIA]]*30,0)</f>
        <v>0</v>
      </c>
      <c r="H5" s="5">
        <f>IFERROR(BD_MOVD[[#This Row],[COSTO DIA]]/BD_MOVD[[#This Row],[HR DE CONTRATO]],0)</f>
        <v>6.25</v>
      </c>
      <c r="I5" s="5" t="s">
        <v>25</v>
      </c>
      <c r="K5" s="28" t="s">
        <v>79</v>
      </c>
      <c r="L5" s="28">
        <v>70089101</v>
      </c>
      <c r="M5" s="28" t="s">
        <v>77</v>
      </c>
      <c r="N5" s="19" t="s">
        <v>24</v>
      </c>
      <c r="O5" s="28">
        <v>8</v>
      </c>
      <c r="P5" s="29">
        <v>50</v>
      </c>
      <c r="Q5" s="20">
        <f t="shared" si="0"/>
        <v>1500</v>
      </c>
      <c r="R5" s="20">
        <f t="shared" si="1"/>
        <v>6.25</v>
      </c>
      <c r="S5" s="20" t="s">
        <v>25</v>
      </c>
      <c r="U5" s="17" t="s">
        <v>92</v>
      </c>
      <c r="V5" s="28">
        <v>71914032</v>
      </c>
      <c r="W5" s="28" t="s">
        <v>88</v>
      </c>
      <c r="X5" s="19" t="s">
        <v>20</v>
      </c>
      <c r="Y5" s="28">
        <v>8</v>
      </c>
      <c r="Z5" s="29">
        <v>50</v>
      </c>
      <c r="AA5" s="20">
        <f t="shared" si="2"/>
        <v>1500</v>
      </c>
      <c r="AB5" s="20">
        <f t="shared" si="3"/>
        <v>6.25</v>
      </c>
      <c r="AC5" s="20" t="s">
        <v>25</v>
      </c>
    </row>
    <row r="6" spans="1:29" x14ac:dyDescent="0.3">
      <c r="A6" s="15" t="s">
        <v>28</v>
      </c>
      <c r="B6" s="3">
        <v>48010168</v>
      </c>
      <c r="C6" s="3" t="s">
        <v>29</v>
      </c>
      <c r="D6" s="15" t="s">
        <v>24</v>
      </c>
      <c r="E6" s="3">
        <v>8</v>
      </c>
      <c r="F6" s="5">
        <v>60</v>
      </c>
      <c r="G6" s="5">
        <f>IF(BD_MOVD[[#This Row],[SISTEMA]]="SUELDO",BD_MOVD[[#This Row],[COSTO DIA]]*30,0)</f>
        <v>0</v>
      </c>
      <c r="H6" s="5">
        <f>IFERROR(BD_MOVD[[#This Row],[COSTO DIA]]/BD_MOVD[[#This Row],[HR DE CONTRATO]],0)</f>
        <v>7.5</v>
      </c>
      <c r="I6" s="5" t="s">
        <v>25</v>
      </c>
      <c r="K6" s="3" t="s">
        <v>80</v>
      </c>
      <c r="L6" s="3">
        <v>48641566</v>
      </c>
      <c r="M6" s="3" t="s">
        <v>77</v>
      </c>
      <c r="N6" s="19" t="s">
        <v>24</v>
      </c>
      <c r="O6" s="3">
        <v>8</v>
      </c>
      <c r="P6" s="5">
        <v>70</v>
      </c>
      <c r="Q6" s="20">
        <f t="shared" si="0"/>
        <v>2100</v>
      </c>
      <c r="R6" s="20">
        <f t="shared" si="1"/>
        <v>8.75</v>
      </c>
      <c r="S6" s="5" t="s">
        <v>25</v>
      </c>
      <c r="U6" s="17" t="s">
        <v>93</v>
      </c>
      <c r="V6" s="30"/>
      <c r="W6" s="30" t="s">
        <v>89</v>
      </c>
      <c r="X6" s="19" t="s">
        <v>20</v>
      </c>
      <c r="Y6" s="30">
        <v>8</v>
      </c>
      <c r="Z6" s="31">
        <v>500</v>
      </c>
      <c r="AA6" s="20">
        <f t="shared" si="2"/>
        <v>15000</v>
      </c>
      <c r="AB6" s="20">
        <f t="shared" si="3"/>
        <v>62.5</v>
      </c>
      <c r="AC6" s="31" t="s">
        <v>25</v>
      </c>
    </row>
    <row r="7" spans="1:29" x14ac:dyDescent="0.3">
      <c r="A7" s="15" t="s">
        <v>30</v>
      </c>
      <c r="B7" s="3">
        <v>74975901</v>
      </c>
      <c r="C7" s="3" t="s">
        <v>31</v>
      </c>
      <c r="D7" s="15" t="s">
        <v>24</v>
      </c>
      <c r="E7" s="3">
        <v>8</v>
      </c>
      <c r="F7" s="5">
        <v>60</v>
      </c>
      <c r="G7" s="5">
        <f>IF(BD_MOVD[[#This Row],[SISTEMA]]="SUELDO",BD_MOVD[[#This Row],[COSTO DIA]]*30,0)</f>
        <v>0</v>
      </c>
      <c r="H7" s="5">
        <f>IFERROR(BD_MOVD[[#This Row],[COSTO DIA]]/BD_MOVD[[#This Row],[HR DE CONTRATO]],0)</f>
        <v>7.5</v>
      </c>
      <c r="I7" s="5" t="s">
        <v>25</v>
      </c>
      <c r="K7" s="28" t="s">
        <v>81</v>
      </c>
      <c r="L7" s="28">
        <v>47172572</v>
      </c>
      <c r="M7" s="28" t="s">
        <v>77</v>
      </c>
      <c r="N7" s="19" t="s">
        <v>24</v>
      </c>
      <c r="O7" s="28">
        <v>8</v>
      </c>
      <c r="P7" s="29">
        <v>83.33</v>
      </c>
      <c r="Q7" s="20">
        <f t="shared" si="0"/>
        <v>2499.9</v>
      </c>
      <c r="R7" s="20">
        <f t="shared" si="1"/>
        <v>10.41625</v>
      </c>
      <c r="S7" s="20" t="s">
        <v>25</v>
      </c>
      <c r="U7" s="17" t="s">
        <v>94</v>
      </c>
      <c r="V7" s="28"/>
      <c r="W7" s="28" t="s">
        <v>88</v>
      </c>
      <c r="X7" s="19" t="s">
        <v>20</v>
      </c>
      <c r="Y7" s="28">
        <v>8</v>
      </c>
      <c r="Z7" s="29">
        <v>73.333333333333329</v>
      </c>
      <c r="AA7" s="20">
        <f t="shared" si="2"/>
        <v>2200</v>
      </c>
      <c r="AB7" s="20">
        <f t="shared" si="3"/>
        <v>9.1666666666666661</v>
      </c>
      <c r="AC7" s="20" t="s">
        <v>25</v>
      </c>
    </row>
    <row r="8" spans="1:29" x14ac:dyDescent="0.3">
      <c r="A8" s="15" t="s">
        <v>32</v>
      </c>
      <c r="B8" s="3">
        <v>75653375</v>
      </c>
      <c r="C8" s="3" t="s">
        <v>31</v>
      </c>
      <c r="D8" s="15" t="s">
        <v>24</v>
      </c>
      <c r="E8" s="3">
        <v>8</v>
      </c>
      <c r="F8" s="5">
        <v>60</v>
      </c>
      <c r="G8" s="5">
        <f>IF(BD_MOVD[[#This Row],[SISTEMA]]="SUELDO",BD_MOVD[[#This Row],[COSTO DIA]]*30,0)</f>
        <v>0</v>
      </c>
      <c r="H8" s="5">
        <f>IFERROR(BD_MOVD[[#This Row],[COSTO DIA]]/BD_MOVD[[#This Row],[HR DE CONTRATO]],0)</f>
        <v>7.5</v>
      </c>
      <c r="I8" s="5" t="s">
        <v>25</v>
      </c>
      <c r="K8" s="3" t="s">
        <v>82</v>
      </c>
      <c r="L8" s="3">
        <v>70854573</v>
      </c>
      <c r="M8" s="3" t="s">
        <v>77</v>
      </c>
      <c r="N8" s="19" t="s">
        <v>24</v>
      </c>
      <c r="O8" s="3">
        <v>8</v>
      </c>
      <c r="P8" s="5">
        <v>83.33</v>
      </c>
      <c r="Q8" s="20">
        <f t="shared" si="0"/>
        <v>2499.9</v>
      </c>
      <c r="R8" s="20">
        <f t="shared" si="1"/>
        <v>10.41625</v>
      </c>
      <c r="S8" s="5" t="s">
        <v>25</v>
      </c>
    </row>
    <row r="9" spans="1:29" x14ac:dyDescent="0.3">
      <c r="A9" s="15" t="s">
        <v>33</v>
      </c>
      <c r="B9" s="3">
        <v>75397469</v>
      </c>
      <c r="C9" s="3" t="s">
        <v>29</v>
      </c>
      <c r="D9" s="15" t="s">
        <v>24</v>
      </c>
      <c r="E9" s="3">
        <v>8</v>
      </c>
      <c r="F9" s="5">
        <v>70</v>
      </c>
      <c r="G9" s="5">
        <f>IF(BD_MOVD[[#This Row],[SISTEMA]]="SUELDO",BD_MOVD[[#This Row],[COSTO DIA]]*30,0)</f>
        <v>0</v>
      </c>
      <c r="H9" s="5">
        <f>IFERROR(BD_MOVD[[#This Row],[COSTO DIA]]/BD_MOVD[[#This Row],[HR DE CONTRATO]],0)</f>
        <v>8.75</v>
      </c>
      <c r="I9" s="5" t="s">
        <v>25</v>
      </c>
      <c r="K9" s="28" t="s">
        <v>83</v>
      </c>
      <c r="L9" s="28">
        <v>18888706</v>
      </c>
      <c r="M9" s="28" t="s">
        <v>77</v>
      </c>
      <c r="N9" s="19" t="s">
        <v>24</v>
      </c>
      <c r="O9" s="28">
        <v>8</v>
      </c>
      <c r="P9" s="29">
        <v>150</v>
      </c>
      <c r="Q9" s="20">
        <f t="shared" si="0"/>
        <v>4500</v>
      </c>
      <c r="R9" s="20">
        <f t="shared" si="1"/>
        <v>18.75</v>
      </c>
      <c r="S9" s="20" t="s">
        <v>25</v>
      </c>
    </row>
    <row r="10" spans="1:29" x14ac:dyDescent="0.3">
      <c r="A10" s="15" t="s">
        <v>34</v>
      </c>
      <c r="B10" s="3">
        <v>18887871</v>
      </c>
      <c r="C10" s="3" t="s">
        <v>35</v>
      </c>
      <c r="D10" s="15" t="s">
        <v>24</v>
      </c>
      <c r="E10" s="3">
        <v>8</v>
      </c>
      <c r="F10" s="5">
        <v>90</v>
      </c>
      <c r="G10" s="5">
        <f>IF(BD_MOVD[[#This Row],[SISTEMA]]="SUELDO",BD_MOVD[[#This Row],[COSTO DIA]]*30,0)</f>
        <v>0</v>
      </c>
      <c r="H10" s="5">
        <f>IFERROR(BD_MOVD[[#This Row],[COSTO DIA]]/BD_MOVD[[#This Row],[HR DE CONTRATO]],0)</f>
        <v>11.25</v>
      </c>
      <c r="I10" s="5" t="s">
        <v>25</v>
      </c>
      <c r="K10" s="28" t="s">
        <v>84</v>
      </c>
      <c r="L10" s="28">
        <v>44584507</v>
      </c>
      <c r="M10" s="28" t="s">
        <v>77</v>
      </c>
      <c r="N10" s="19" t="s">
        <v>20</v>
      </c>
      <c r="O10" s="28">
        <v>8</v>
      </c>
      <c r="P10" s="29">
        <v>120</v>
      </c>
      <c r="Q10" s="20">
        <f t="shared" si="0"/>
        <v>3600</v>
      </c>
      <c r="R10" s="20">
        <f t="shared" si="1"/>
        <v>15</v>
      </c>
      <c r="S10" s="20" t="s">
        <v>69</v>
      </c>
    </row>
    <row r="11" spans="1:29" x14ac:dyDescent="0.3">
      <c r="A11" s="15" t="s">
        <v>36</v>
      </c>
      <c r="B11" s="3">
        <v>18896804</v>
      </c>
      <c r="C11" s="3" t="s">
        <v>35</v>
      </c>
      <c r="D11" s="15" t="s">
        <v>24</v>
      </c>
      <c r="E11" s="3">
        <v>8</v>
      </c>
      <c r="F11" s="5">
        <v>90</v>
      </c>
      <c r="G11" s="5">
        <f>IF(BD_MOVD[[#This Row],[SISTEMA]]="SUELDO",BD_MOVD[[#This Row],[COSTO DIA]]*30,0)</f>
        <v>0</v>
      </c>
      <c r="H11" s="5">
        <f>IFERROR(BD_MOVD[[#This Row],[COSTO DIA]]/BD_MOVD[[#This Row],[HR DE CONTRATO]],0)</f>
        <v>11.25</v>
      </c>
      <c r="I11" s="5" t="s">
        <v>25</v>
      </c>
    </row>
    <row r="12" spans="1:29" x14ac:dyDescent="0.3">
      <c r="A12" s="15" t="s">
        <v>37</v>
      </c>
      <c r="B12" s="3">
        <v>41114064</v>
      </c>
      <c r="C12" s="3" t="s">
        <v>35</v>
      </c>
      <c r="D12" s="15" t="s">
        <v>24</v>
      </c>
      <c r="E12" s="3">
        <v>8</v>
      </c>
      <c r="F12" s="5">
        <v>90</v>
      </c>
      <c r="G12" s="5">
        <f>IF(BD_MOVD[[#This Row],[SISTEMA]]="SUELDO",BD_MOVD[[#This Row],[COSTO DIA]]*30,0)</f>
        <v>0</v>
      </c>
      <c r="H12" s="5">
        <f>IFERROR(BD_MOVD[[#This Row],[COSTO DIA]]/BD_MOVD[[#This Row],[HR DE CONTRATO]],0)</f>
        <v>11.25</v>
      </c>
      <c r="I12" s="5" t="s">
        <v>25</v>
      </c>
    </row>
    <row r="13" spans="1:29" x14ac:dyDescent="0.3">
      <c r="A13" s="15" t="s">
        <v>38</v>
      </c>
      <c r="B13" s="3">
        <v>71299293</v>
      </c>
      <c r="C13" s="3" t="s">
        <v>31</v>
      </c>
      <c r="D13" s="15" t="s">
        <v>24</v>
      </c>
      <c r="E13" s="3">
        <v>8</v>
      </c>
      <c r="F13" s="5">
        <v>90</v>
      </c>
      <c r="G13" s="5">
        <f>IF(BD_MOVD[[#This Row],[SISTEMA]]="SUELDO",BD_MOVD[[#This Row],[COSTO DIA]]*30,0)</f>
        <v>0</v>
      </c>
      <c r="H13" s="5">
        <f>IFERROR(BD_MOVD[[#This Row],[COSTO DIA]]/BD_MOVD[[#This Row],[HR DE CONTRATO]],0)</f>
        <v>11.25</v>
      </c>
      <c r="I13" s="5" t="s">
        <v>25</v>
      </c>
    </row>
    <row r="14" spans="1:29" x14ac:dyDescent="0.3">
      <c r="A14" s="15" t="s">
        <v>39</v>
      </c>
      <c r="B14" s="3">
        <v>72263196</v>
      </c>
      <c r="C14" s="3" t="s">
        <v>29</v>
      </c>
      <c r="D14" s="15" t="s">
        <v>24</v>
      </c>
      <c r="E14" s="3">
        <v>8</v>
      </c>
      <c r="F14" s="5">
        <v>90</v>
      </c>
      <c r="G14" s="5">
        <f>IF(BD_MOVD[[#This Row],[SISTEMA]]="SUELDO",BD_MOVD[[#This Row],[COSTO DIA]]*30,0)</f>
        <v>0</v>
      </c>
      <c r="H14" s="5">
        <f>IFERROR(BD_MOVD[[#This Row],[COSTO DIA]]/BD_MOVD[[#This Row],[HR DE CONTRATO]],0)</f>
        <v>11.25</v>
      </c>
      <c r="I14" s="5" t="s">
        <v>25</v>
      </c>
    </row>
    <row r="15" spans="1:29" x14ac:dyDescent="0.3">
      <c r="A15" s="15" t="s">
        <v>40</v>
      </c>
      <c r="B15" s="3">
        <v>18125067</v>
      </c>
      <c r="C15" s="3" t="s">
        <v>41</v>
      </c>
      <c r="D15" s="15" t="s">
        <v>24</v>
      </c>
      <c r="E15" s="3">
        <v>8</v>
      </c>
      <c r="F15" s="5">
        <v>95</v>
      </c>
      <c r="G15" s="5">
        <f>IF(BD_MOVD[[#This Row],[SISTEMA]]="SUELDO",BD_MOVD[[#This Row],[COSTO DIA]]*30,0)</f>
        <v>0</v>
      </c>
      <c r="H15" s="5">
        <f>IFERROR(BD_MOVD[[#This Row],[COSTO DIA]]/BD_MOVD[[#This Row],[HR DE CONTRATO]],0)</f>
        <v>11.875</v>
      </c>
      <c r="I15" s="5" t="s">
        <v>25</v>
      </c>
    </row>
    <row r="16" spans="1:29" x14ac:dyDescent="0.3">
      <c r="A16" s="15" t="s">
        <v>15</v>
      </c>
      <c r="B16" s="3">
        <v>18901428</v>
      </c>
      <c r="C16" s="3" t="s">
        <v>42</v>
      </c>
      <c r="D16" s="15" t="s">
        <v>24</v>
      </c>
      <c r="E16" s="3">
        <v>8</v>
      </c>
      <c r="F16" s="5">
        <v>95</v>
      </c>
      <c r="G16" s="5">
        <f>IF(BD_MOVD[[#This Row],[SISTEMA]]="SUELDO",BD_MOVD[[#This Row],[COSTO DIA]]*30,0)</f>
        <v>0</v>
      </c>
      <c r="H16" s="5">
        <f>IFERROR(BD_MOVD[[#This Row],[COSTO DIA]]/BD_MOVD[[#This Row],[HR DE CONTRATO]],0)</f>
        <v>11.875</v>
      </c>
      <c r="I16" s="5" t="s">
        <v>25</v>
      </c>
    </row>
    <row r="17" spans="1:9" x14ac:dyDescent="0.3">
      <c r="A17" s="15" t="s">
        <v>43</v>
      </c>
      <c r="B17" s="3">
        <v>41085604</v>
      </c>
      <c r="C17" s="3" t="s">
        <v>42</v>
      </c>
      <c r="D17" s="15" t="s">
        <v>24</v>
      </c>
      <c r="E17" s="3">
        <v>8</v>
      </c>
      <c r="F17" s="5">
        <v>95</v>
      </c>
      <c r="G17" s="5">
        <f>IF(BD_MOVD[[#This Row],[SISTEMA]]="SUELDO",BD_MOVD[[#This Row],[COSTO DIA]]*30,0)</f>
        <v>0</v>
      </c>
      <c r="H17" s="5">
        <f>IFERROR(BD_MOVD[[#This Row],[COSTO DIA]]/BD_MOVD[[#This Row],[HR DE CONTRATO]],0)</f>
        <v>11.875</v>
      </c>
      <c r="I17" s="5" t="s">
        <v>25</v>
      </c>
    </row>
    <row r="18" spans="1:9" x14ac:dyDescent="0.3">
      <c r="A18" s="15" t="s">
        <v>44</v>
      </c>
      <c r="B18" s="3">
        <v>42045154</v>
      </c>
      <c r="C18" s="3" t="s">
        <v>42</v>
      </c>
      <c r="D18" s="15" t="s">
        <v>24</v>
      </c>
      <c r="E18" s="3">
        <v>8</v>
      </c>
      <c r="F18" s="5">
        <v>95</v>
      </c>
      <c r="G18" s="5">
        <f>IF(BD_MOVD[[#This Row],[SISTEMA]]="SUELDO",BD_MOVD[[#This Row],[COSTO DIA]]*30,0)</f>
        <v>0</v>
      </c>
      <c r="H18" s="5">
        <f>IFERROR(BD_MOVD[[#This Row],[COSTO DIA]]/BD_MOVD[[#This Row],[HR DE CONTRATO]],0)</f>
        <v>11.875</v>
      </c>
      <c r="I18" s="5" t="s">
        <v>25</v>
      </c>
    </row>
    <row r="19" spans="1:9" x14ac:dyDescent="0.3">
      <c r="A19" s="15" t="s">
        <v>45</v>
      </c>
      <c r="B19" s="3">
        <v>43124981</v>
      </c>
      <c r="C19" s="3" t="s">
        <v>31</v>
      </c>
      <c r="D19" s="15" t="s">
        <v>24</v>
      </c>
      <c r="E19" s="3">
        <v>8</v>
      </c>
      <c r="F19" s="5">
        <v>95</v>
      </c>
      <c r="G19" s="5">
        <f>IF(BD_MOVD[[#This Row],[SISTEMA]]="SUELDO",BD_MOVD[[#This Row],[COSTO DIA]]*30,0)</f>
        <v>0</v>
      </c>
      <c r="H19" s="5">
        <f>IFERROR(BD_MOVD[[#This Row],[COSTO DIA]]/BD_MOVD[[#This Row],[HR DE CONTRATO]],0)</f>
        <v>11.875</v>
      </c>
      <c r="I19" s="5" t="s">
        <v>25</v>
      </c>
    </row>
    <row r="20" spans="1:9" x14ac:dyDescent="0.3">
      <c r="A20" s="15" t="s">
        <v>46</v>
      </c>
      <c r="B20" s="3">
        <v>45967153</v>
      </c>
      <c r="C20" s="3" t="s">
        <v>42</v>
      </c>
      <c r="D20" s="15" t="s">
        <v>24</v>
      </c>
      <c r="E20" s="3">
        <v>8</v>
      </c>
      <c r="F20" s="5">
        <v>95</v>
      </c>
      <c r="G20" s="5">
        <f>IF(BD_MOVD[[#This Row],[SISTEMA]]="SUELDO",BD_MOVD[[#This Row],[COSTO DIA]]*30,0)</f>
        <v>0</v>
      </c>
      <c r="H20" s="5">
        <f>IFERROR(BD_MOVD[[#This Row],[COSTO DIA]]/BD_MOVD[[#This Row],[HR DE CONTRATO]],0)</f>
        <v>11.875</v>
      </c>
      <c r="I20" s="5" t="s">
        <v>25</v>
      </c>
    </row>
    <row r="21" spans="1:9" x14ac:dyDescent="0.3">
      <c r="A21" s="15" t="s">
        <v>47</v>
      </c>
      <c r="B21" s="3">
        <v>46990866</v>
      </c>
      <c r="C21" s="3" t="s">
        <v>42</v>
      </c>
      <c r="D21" s="15" t="s">
        <v>24</v>
      </c>
      <c r="E21" s="3">
        <v>8</v>
      </c>
      <c r="F21" s="5">
        <v>95</v>
      </c>
      <c r="G21" s="5">
        <f>IF(BD_MOVD[[#This Row],[SISTEMA]]="SUELDO",BD_MOVD[[#This Row],[COSTO DIA]]*30,0)</f>
        <v>0</v>
      </c>
      <c r="H21" s="5">
        <f>IFERROR(BD_MOVD[[#This Row],[COSTO DIA]]/BD_MOVD[[#This Row],[HR DE CONTRATO]],0)</f>
        <v>11.875</v>
      </c>
      <c r="I21" s="5" t="s">
        <v>25</v>
      </c>
    </row>
    <row r="22" spans="1:9" x14ac:dyDescent="0.3">
      <c r="A22" s="15" t="s">
        <v>48</v>
      </c>
      <c r="B22" s="3">
        <v>47993609</v>
      </c>
      <c r="C22" s="3" t="s">
        <v>31</v>
      </c>
      <c r="D22" s="15" t="s">
        <v>24</v>
      </c>
      <c r="E22" s="3">
        <v>8</v>
      </c>
      <c r="F22" s="5">
        <v>95</v>
      </c>
      <c r="G22" s="5">
        <f>IF(BD_MOVD[[#This Row],[SISTEMA]]="SUELDO",BD_MOVD[[#This Row],[COSTO DIA]]*30,0)</f>
        <v>0</v>
      </c>
      <c r="H22" s="5">
        <f>IFERROR(BD_MOVD[[#This Row],[COSTO DIA]]/BD_MOVD[[#This Row],[HR DE CONTRATO]],0)</f>
        <v>11.875</v>
      </c>
      <c r="I22" s="5" t="s">
        <v>25</v>
      </c>
    </row>
    <row r="23" spans="1:9" x14ac:dyDescent="0.3">
      <c r="A23" s="15" t="s">
        <v>49</v>
      </c>
      <c r="B23" s="3">
        <v>77477753</v>
      </c>
      <c r="C23" s="3" t="s">
        <v>42</v>
      </c>
      <c r="D23" s="15" t="s">
        <v>24</v>
      </c>
      <c r="E23" s="3">
        <v>8</v>
      </c>
      <c r="F23" s="5">
        <v>95</v>
      </c>
      <c r="G23" s="5">
        <f>IF(BD_MOVD[[#This Row],[SISTEMA]]="SUELDO",BD_MOVD[[#This Row],[COSTO DIA]]*30,0)</f>
        <v>0</v>
      </c>
      <c r="H23" s="5">
        <f>IFERROR(BD_MOVD[[#This Row],[COSTO DIA]]/BD_MOVD[[#This Row],[HR DE CONTRATO]],0)</f>
        <v>11.875</v>
      </c>
      <c r="I23" s="5" t="s">
        <v>25</v>
      </c>
    </row>
    <row r="24" spans="1:9" x14ac:dyDescent="0.3">
      <c r="A24" s="15" t="s">
        <v>50</v>
      </c>
      <c r="B24" s="3">
        <v>10322874</v>
      </c>
      <c r="C24" s="3" t="s">
        <v>31</v>
      </c>
      <c r="D24" s="15" t="s">
        <v>24</v>
      </c>
      <c r="E24" s="3">
        <v>8</v>
      </c>
      <c r="F24" s="5">
        <v>100</v>
      </c>
      <c r="G24" s="5">
        <f>IF(BD_MOVD[[#This Row],[SISTEMA]]="SUELDO",BD_MOVD[[#This Row],[COSTO DIA]]*30,0)</f>
        <v>0</v>
      </c>
      <c r="H24" s="5">
        <f>IFERROR(BD_MOVD[[#This Row],[COSTO DIA]]/BD_MOVD[[#This Row],[HR DE CONTRATO]],0)</f>
        <v>12.5</v>
      </c>
      <c r="I24" s="5" t="s">
        <v>25</v>
      </c>
    </row>
    <row r="25" spans="1:9" x14ac:dyDescent="0.3">
      <c r="A25" s="15" t="s">
        <v>51</v>
      </c>
      <c r="B25" s="3">
        <v>17640789</v>
      </c>
      <c r="C25" s="3" t="s">
        <v>31</v>
      </c>
      <c r="D25" s="15" t="s">
        <v>24</v>
      </c>
      <c r="E25" s="3">
        <v>8</v>
      </c>
      <c r="F25" s="5">
        <v>100</v>
      </c>
      <c r="G25" s="5">
        <f>IF(BD_MOVD[[#This Row],[SISTEMA]]="SUELDO",BD_MOVD[[#This Row],[COSTO DIA]]*30,0)</f>
        <v>0</v>
      </c>
      <c r="H25" s="5">
        <f>IFERROR(BD_MOVD[[#This Row],[COSTO DIA]]/BD_MOVD[[#This Row],[HR DE CONTRATO]],0)</f>
        <v>12.5</v>
      </c>
      <c r="I25" s="5" t="s">
        <v>25</v>
      </c>
    </row>
    <row r="26" spans="1:9" x14ac:dyDescent="0.3">
      <c r="A26" s="15" t="s">
        <v>52</v>
      </c>
      <c r="B26" s="3">
        <v>18889811</v>
      </c>
      <c r="C26" s="3" t="s">
        <v>42</v>
      </c>
      <c r="D26" s="15" t="s">
        <v>24</v>
      </c>
      <c r="E26" s="3">
        <v>8</v>
      </c>
      <c r="F26" s="5">
        <v>100</v>
      </c>
      <c r="G26" s="5">
        <f>IF(BD_MOVD[[#This Row],[SISTEMA]]="SUELDO",BD_MOVD[[#This Row],[COSTO DIA]]*30,0)</f>
        <v>0</v>
      </c>
      <c r="H26" s="5">
        <f>IFERROR(BD_MOVD[[#This Row],[COSTO DIA]]/BD_MOVD[[#This Row],[HR DE CONTRATO]],0)</f>
        <v>12.5</v>
      </c>
      <c r="I26" s="5" t="s">
        <v>25</v>
      </c>
    </row>
    <row r="27" spans="1:9" x14ac:dyDescent="0.3">
      <c r="A27" s="15" t="s">
        <v>53</v>
      </c>
      <c r="B27" s="3">
        <v>19681971</v>
      </c>
      <c r="C27" s="3" t="s">
        <v>31</v>
      </c>
      <c r="D27" s="15" t="s">
        <v>24</v>
      </c>
      <c r="E27" s="3">
        <v>8</v>
      </c>
      <c r="F27" s="5">
        <v>100</v>
      </c>
      <c r="G27" s="5">
        <f>IF(BD_MOVD[[#This Row],[SISTEMA]]="SUELDO",BD_MOVD[[#This Row],[COSTO DIA]]*30,0)</f>
        <v>0</v>
      </c>
      <c r="H27" s="5">
        <f>IFERROR(BD_MOVD[[#This Row],[COSTO DIA]]/BD_MOVD[[#This Row],[HR DE CONTRATO]],0)</f>
        <v>12.5</v>
      </c>
      <c r="I27" s="5" t="s">
        <v>25</v>
      </c>
    </row>
    <row r="28" spans="1:9" x14ac:dyDescent="0.3">
      <c r="A28" s="15" t="s">
        <v>54</v>
      </c>
      <c r="B28" s="3">
        <v>26730217</v>
      </c>
      <c r="C28" s="3" t="s">
        <v>31</v>
      </c>
      <c r="D28" s="15" t="s">
        <v>24</v>
      </c>
      <c r="E28" s="3">
        <v>8</v>
      </c>
      <c r="F28" s="5">
        <v>100</v>
      </c>
      <c r="G28" s="5">
        <f>IF(BD_MOVD[[#This Row],[SISTEMA]]="SUELDO",BD_MOVD[[#This Row],[COSTO DIA]]*30,0)</f>
        <v>0</v>
      </c>
      <c r="H28" s="5">
        <f>IFERROR(BD_MOVD[[#This Row],[COSTO DIA]]/BD_MOVD[[#This Row],[HR DE CONTRATO]],0)</f>
        <v>12.5</v>
      </c>
      <c r="I28" s="5" t="s">
        <v>25</v>
      </c>
    </row>
    <row r="29" spans="1:9" x14ac:dyDescent="0.3">
      <c r="A29" s="15" t="s">
        <v>55</v>
      </c>
      <c r="B29" s="3">
        <v>32872782</v>
      </c>
      <c r="C29" s="3" t="s">
        <v>35</v>
      </c>
      <c r="D29" s="15" t="s">
        <v>24</v>
      </c>
      <c r="E29" s="3">
        <v>8</v>
      </c>
      <c r="F29" s="5">
        <v>100</v>
      </c>
      <c r="G29" s="5">
        <f>IF(BD_MOVD[[#This Row],[SISTEMA]]="SUELDO",BD_MOVD[[#This Row],[COSTO DIA]]*30,0)</f>
        <v>0</v>
      </c>
      <c r="H29" s="5">
        <f>IFERROR(BD_MOVD[[#This Row],[COSTO DIA]]/BD_MOVD[[#This Row],[HR DE CONTRATO]],0)</f>
        <v>12.5</v>
      </c>
      <c r="I29" s="5" t="s">
        <v>25</v>
      </c>
    </row>
    <row r="30" spans="1:9" x14ac:dyDescent="0.3">
      <c r="A30" s="15" t="s">
        <v>56</v>
      </c>
      <c r="B30" s="3">
        <v>41440234</v>
      </c>
      <c r="C30" s="3" t="s">
        <v>42</v>
      </c>
      <c r="D30" s="15" t="s">
        <v>24</v>
      </c>
      <c r="E30" s="3">
        <v>8</v>
      </c>
      <c r="F30" s="5">
        <v>100</v>
      </c>
      <c r="G30" s="5">
        <f>IF(BD_MOVD[[#This Row],[SISTEMA]]="SUELDO",BD_MOVD[[#This Row],[COSTO DIA]]*30,0)</f>
        <v>0</v>
      </c>
      <c r="H30" s="5">
        <f>IFERROR(BD_MOVD[[#This Row],[COSTO DIA]]/BD_MOVD[[#This Row],[HR DE CONTRATO]],0)</f>
        <v>12.5</v>
      </c>
      <c r="I30" s="5" t="s">
        <v>25</v>
      </c>
    </row>
    <row r="31" spans="1:9" x14ac:dyDescent="0.3">
      <c r="A31" s="15" t="s">
        <v>57</v>
      </c>
      <c r="B31" s="3">
        <v>41737298</v>
      </c>
      <c r="C31" s="3" t="s">
        <v>35</v>
      </c>
      <c r="D31" s="15" t="s">
        <v>24</v>
      </c>
      <c r="E31" s="3">
        <v>8</v>
      </c>
      <c r="F31" s="5">
        <v>100</v>
      </c>
      <c r="G31" s="5">
        <f>IF(BD_MOVD[[#This Row],[SISTEMA]]="SUELDO",BD_MOVD[[#This Row],[COSTO DIA]]*30,0)</f>
        <v>0</v>
      </c>
      <c r="H31" s="5">
        <f>IFERROR(BD_MOVD[[#This Row],[COSTO DIA]]/BD_MOVD[[#This Row],[HR DE CONTRATO]],0)</f>
        <v>12.5</v>
      </c>
      <c r="I31" s="5" t="s">
        <v>25</v>
      </c>
    </row>
    <row r="32" spans="1:9" x14ac:dyDescent="0.3">
      <c r="A32" s="15" t="s">
        <v>58</v>
      </c>
      <c r="B32" s="3">
        <v>42455256</v>
      </c>
      <c r="C32" s="3" t="s">
        <v>35</v>
      </c>
      <c r="D32" s="15" t="s">
        <v>24</v>
      </c>
      <c r="E32" s="3">
        <v>8</v>
      </c>
      <c r="F32" s="5">
        <v>100</v>
      </c>
      <c r="G32" s="5">
        <f>IF(BD_MOVD[[#This Row],[SISTEMA]]="SUELDO",BD_MOVD[[#This Row],[COSTO DIA]]*30,0)</f>
        <v>0</v>
      </c>
      <c r="H32" s="5">
        <f>IFERROR(BD_MOVD[[#This Row],[COSTO DIA]]/BD_MOVD[[#This Row],[HR DE CONTRATO]],0)</f>
        <v>12.5</v>
      </c>
      <c r="I32" s="5" t="s">
        <v>25</v>
      </c>
    </row>
    <row r="33" spans="1:9" x14ac:dyDescent="0.3">
      <c r="A33" s="15" t="s">
        <v>59</v>
      </c>
      <c r="B33" s="3">
        <v>44479116</v>
      </c>
      <c r="C33" s="3" t="s">
        <v>60</v>
      </c>
      <c r="D33" s="15" t="s">
        <v>24</v>
      </c>
      <c r="E33" s="3">
        <v>8</v>
      </c>
      <c r="F33" s="5">
        <v>100</v>
      </c>
      <c r="G33" s="5">
        <f>IF(BD_MOVD[[#This Row],[SISTEMA]]="SUELDO",BD_MOVD[[#This Row],[COSTO DIA]]*30,0)</f>
        <v>0</v>
      </c>
      <c r="H33" s="5">
        <f>IFERROR(BD_MOVD[[#This Row],[COSTO DIA]]/BD_MOVD[[#This Row],[HR DE CONTRATO]],0)</f>
        <v>12.5</v>
      </c>
      <c r="I33" s="5" t="s">
        <v>25</v>
      </c>
    </row>
    <row r="34" spans="1:9" x14ac:dyDescent="0.3">
      <c r="A34" s="15" t="s">
        <v>61</v>
      </c>
      <c r="B34" s="3">
        <v>45621097</v>
      </c>
      <c r="C34" s="3" t="s">
        <v>42</v>
      </c>
      <c r="D34" s="15" t="s">
        <v>24</v>
      </c>
      <c r="E34" s="3">
        <v>8</v>
      </c>
      <c r="F34" s="5">
        <v>100</v>
      </c>
      <c r="G34" s="5">
        <f>IF(BD_MOVD[[#This Row],[SISTEMA]]="SUELDO",BD_MOVD[[#This Row],[COSTO DIA]]*30,0)</f>
        <v>0</v>
      </c>
      <c r="H34" s="5">
        <f>IFERROR(BD_MOVD[[#This Row],[COSTO DIA]]/BD_MOVD[[#This Row],[HR DE CONTRATO]],0)</f>
        <v>12.5</v>
      </c>
      <c r="I34" s="5" t="s">
        <v>25</v>
      </c>
    </row>
    <row r="35" spans="1:9" x14ac:dyDescent="0.3">
      <c r="A35" s="15" t="s">
        <v>62</v>
      </c>
      <c r="B35" s="3">
        <v>46385212</v>
      </c>
      <c r="C35" s="3" t="s">
        <v>31</v>
      </c>
      <c r="D35" s="15" t="s">
        <v>24</v>
      </c>
      <c r="E35" s="3">
        <v>8</v>
      </c>
      <c r="F35" s="5">
        <v>100</v>
      </c>
      <c r="G35" s="5">
        <f>IF(BD_MOVD[[#This Row],[SISTEMA]]="SUELDO",BD_MOVD[[#This Row],[COSTO DIA]]*30,0)</f>
        <v>0</v>
      </c>
      <c r="H35" s="5">
        <f>IFERROR(BD_MOVD[[#This Row],[COSTO DIA]]/BD_MOVD[[#This Row],[HR DE CONTRATO]],0)</f>
        <v>12.5</v>
      </c>
      <c r="I35" s="5" t="s">
        <v>25</v>
      </c>
    </row>
    <row r="36" spans="1:9" x14ac:dyDescent="0.3">
      <c r="A36" s="15" t="s">
        <v>63</v>
      </c>
      <c r="B36" s="3">
        <v>47092198</v>
      </c>
      <c r="C36" s="3" t="s">
        <v>42</v>
      </c>
      <c r="D36" s="15" t="s">
        <v>24</v>
      </c>
      <c r="E36" s="3">
        <v>8</v>
      </c>
      <c r="F36" s="5">
        <v>100</v>
      </c>
      <c r="G36" s="5">
        <f>IF(BD_MOVD[[#This Row],[SISTEMA]]="SUELDO",BD_MOVD[[#This Row],[COSTO DIA]]*30,0)</f>
        <v>0</v>
      </c>
      <c r="H36" s="5">
        <f>IFERROR(BD_MOVD[[#This Row],[COSTO DIA]]/BD_MOVD[[#This Row],[HR DE CONTRATO]],0)</f>
        <v>12.5</v>
      </c>
      <c r="I36" s="5" t="s">
        <v>25</v>
      </c>
    </row>
    <row r="37" spans="1:9" x14ac:dyDescent="0.3">
      <c r="A37" s="15" t="s">
        <v>64</v>
      </c>
      <c r="B37" s="3">
        <v>75318476</v>
      </c>
      <c r="C37" s="3" t="s">
        <v>35</v>
      </c>
      <c r="D37" s="15" t="s">
        <v>24</v>
      </c>
      <c r="E37" s="3">
        <v>8</v>
      </c>
      <c r="F37" s="5">
        <v>100</v>
      </c>
      <c r="G37" s="5">
        <f>IF(BD_MOVD[[#This Row],[SISTEMA]]="SUELDO",BD_MOVD[[#This Row],[COSTO DIA]]*30,0)</f>
        <v>0</v>
      </c>
      <c r="H37" s="5">
        <f>IFERROR(BD_MOVD[[#This Row],[COSTO DIA]]/BD_MOVD[[#This Row],[HR DE CONTRATO]],0)</f>
        <v>12.5</v>
      </c>
      <c r="I37" s="5" t="s">
        <v>25</v>
      </c>
    </row>
    <row r="38" spans="1:9" x14ac:dyDescent="0.3">
      <c r="A38" s="15" t="s">
        <v>65</v>
      </c>
      <c r="B38" s="3">
        <v>75700357</v>
      </c>
      <c r="C38" s="3" t="s">
        <v>35</v>
      </c>
      <c r="D38" s="15" t="s">
        <v>24</v>
      </c>
      <c r="E38" s="3">
        <v>8</v>
      </c>
      <c r="F38" s="5">
        <v>100</v>
      </c>
      <c r="G38" s="5">
        <f>IF(BD_MOVD[[#This Row],[SISTEMA]]="SUELDO",BD_MOVD[[#This Row],[COSTO DIA]]*30,0)</f>
        <v>0</v>
      </c>
      <c r="H38" s="5">
        <f>IFERROR(BD_MOVD[[#This Row],[COSTO DIA]]/BD_MOVD[[#This Row],[HR DE CONTRATO]],0)</f>
        <v>12.5</v>
      </c>
      <c r="I38" s="5" t="s">
        <v>25</v>
      </c>
    </row>
    <row r="39" spans="1:9" x14ac:dyDescent="0.3">
      <c r="A39" s="15" t="s">
        <v>66</v>
      </c>
      <c r="B39" s="3">
        <v>42437840</v>
      </c>
      <c r="C39" s="3" t="s">
        <v>31</v>
      </c>
      <c r="D39" s="15" t="s">
        <v>24</v>
      </c>
      <c r="E39" s="3">
        <v>8</v>
      </c>
      <c r="F39" s="5">
        <v>120</v>
      </c>
      <c r="G39" s="5">
        <f>IF(BD_MOVD[[#This Row],[SISTEMA]]="SUELDO",BD_MOVD[[#This Row],[COSTO DIA]]*30,0)</f>
        <v>0</v>
      </c>
      <c r="H39" s="5">
        <f>IFERROR(BD_MOVD[[#This Row],[COSTO DIA]]/BD_MOVD[[#This Row],[HR DE CONTRATO]],0)</f>
        <v>15</v>
      </c>
      <c r="I39" s="5" t="s">
        <v>25</v>
      </c>
    </row>
    <row r="40" spans="1:9" x14ac:dyDescent="0.3">
      <c r="A40" s="15" t="s">
        <v>67</v>
      </c>
      <c r="B40" s="3">
        <v>47006566</v>
      </c>
      <c r="C40" s="3" t="s">
        <v>42</v>
      </c>
      <c r="D40" s="15" t="s">
        <v>24</v>
      </c>
      <c r="E40" s="3">
        <v>8</v>
      </c>
      <c r="F40" s="5">
        <v>130</v>
      </c>
      <c r="G40" s="5">
        <f>IF(BD_MOVD[[#This Row],[SISTEMA]]="SUELDO",BD_MOVD[[#This Row],[COSTO DIA]]*30,0)</f>
        <v>0</v>
      </c>
      <c r="H40" s="5">
        <f>IFERROR(BD_MOVD[[#This Row],[COSTO DIA]]/BD_MOVD[[#This Row],[HR DE CONTRATO]],0)</f>
        <v>16.25</v>
      </c>
      <c r="I40" s="5" t="s">
        <v>25</v>
      </c>
    </row>
    <row r="41" spans="1:9" x14ac:dyDescent="0.3">
      <c r="A41" s="15" t="s">
        <v>68</v>
      </c>
      <c r="B41" s="3">
        <v>41555424</v>
      </c>
      <c r="C41" s="3" t="s">
        <v>35</v>
      </c>
      <c r="D41" s="16" t="s">
        <v>20</v>
      </c>
      <c r="E41" s="3">
        <v>8</v>
      </c>
      <c r="F41" s="5">
        <v>95</v>
      </c>
      <c r="G41" s="5">
        <f>IF(BD_MOVD[[#This Row],[SISTEMA]]="SUELDO",BD_MOVD[[#This Row],[COSTO DIA]]*30,0)</f>
        <v>2850</v>
      </c>
      <c r="H41" s="5">
        <f>IFERROR(BD_MOVD[[#This Row],[COSTO DIA]]/BD_MOVD[[#This Row],[HR DE CONTRATO]],0)</f>
        <v>11.875</v>
      </c>
      <c r="I41" s="5" t="s">
        <v>69</v>
      </c>
    </row>
    <row r="42" spans="1:9" x14ac:dyDescent="0.3">
      <c r="A42" s="15" t="s">
        <v>70</v>
      </c>
      <c r="B42" s="3">
        <v>32924560</v>
      </c>
      <c r="C42" s="3" t="s">
        <v>35</v>
      </c>
      <c r="D42" s="16" t="s">
        <v>20</v>
      </c>
      <c r="E42" s="3">
        <v>8</v>
      </c>
      <c r="F42" s="5">
        <v>105</v>
      </c>
      <c r="G42" s="5">
        <f>IF(BD_MOVD[[#This Row],[SISTEMA]]="SUELDO",BD_MOVD[[#This Row],[COSTO DIA]]*30,0)</f>
        <v>3150</v>
      </c>
      <c r="H42" s="5">
        <f>IFERROR(BD_MOVD[[#This Row],[COSTO DIA]]/BD_MOVD[[#This Row],[HR DE CONTRATO]],0)</f>
        <v>13.125</v>
      </c>
      <c r="I42" s="5" t="s">
        <v>69</v>
      </c>
    </row>
    <row r="43" spans="1:9" x14ac:dyDescent="0.3">
      <c r="A43" s="15" t="s">
        <v>71</v>
      </c>
      <c r="B43" s="3">
        <v>46191684</v>
      </c>
      <c r="C43" s="3" t="s">
        <v>31</v>
      </c>
      <c r="D43" s="16" t="s">
        <v>20</v>
      </c>
      <c r="E43" s="3">
        <v>8</v>
      </c>
      <c r="F43" s="5">
        <v>95</v>
      </c>
      <c r="G43" s="5">
        <f>IF(BD_MOVD[[#This Row],[SISTEMA]]="SUELDO",BD_MOVD[[#This Row],[COSTO DIA]]*30,0)</f>
        <v>2850</v>
      </c>
      <c r="H43" s="5">
        <f>IFERROR(BD_MOVD[[#This Row],[COSTO DIA]]/BD_MOVD[[#This Row],[HR DE CONTRATO]],0)</f>
        <v>11.875</v>
      </c>
      <c r="I43" s="5" t="s">
        <v>69</v>
      </c>
    </row>
    <row r="44" spans="1:9" x14ac:dyDescent="0.3">
      <c r="A44" s="15" t="s">
        <v>72</v>
      </c>
      <c r="B44" s="3">
        <v>18857590</v>
      </c>
      <c r="C44" s="3" t="s">
        <v>31</v>
      </c>
      <c r="D44" s="16" t="s">
        <v>20</v>
      </c>
      <c r="E44" s="3">
        <v>8</v>
      </c>
      <c r="F44" s="5">
        <v>95</v>
      </c>
      <c r="G44" s="5">
        <f>IF(BD_MOVD[[#This Row],[SISTEMA]]="SUELDO",BD_MOVD[[#This Row],[COSTO DIA]]*30,0)</f>
        <v>2850</v>
      </c>
      <c r="H44" s="5">
        <f>IFERROR(BD_MOVD[[#This Row],[COSTO DIA]]/BD_MOVD[[#This Row],[HR DE CONTRATO]],0)</f>
        <v>11.875</v>
      </c>
      <c r="I44" s="5" t="s">
        <v>69</v>
      </c>
    </row>
    <row r="45" spans="1:9" x14ac:dyDescent="0.3">
      <c r="A45" s="15" t="s">
        <v>73</v>
      </c>
      <c r="B45" s="3">
        <v>18901373</v>
      </c>
      <c r="C45" s="3" t="s">
        <v>31</v>
      </c>
      <c r="D45" s="16" t="s">
        <v>20</v>
      </c>
      <c r="E45" s="3">
        <v>8</v>
      </c>
      <c r="F45" s="5">
        <v>95</v>
      </c>
      <c r="G45" s="5">
        <f>IF(BD_MOVD[[#This Row],[SISTEMA]]="SUELDO",BD_MOVD[[#This Row],[COSTO DIA]]*30,0)</f>
        <v>2850</v>
      </c>
      <c r="H45" s="5">
        <f>IFERROR(BD_MOVD[[#This Row],[COSTO DIA]]/BD_MOVD[[#This Row],[HR DE CONTRATO]],0)</f>
        <v>11.875</v>
      </c>
      <c r="I45" s="5" t="s">
        <v>69</v>
      </c>
    </row>
    <row r="46" spans="1:9" x14ac:dyDescent="0.3">
      <c r="A46" s="15" t="s">
        <v>74</v>
      </c>
      <c r="B46" s="3">
        <v>70767712</v>
      </c>
      <c r="C46" s="3" t="s">
        <v>42</v>
      </c>
      <c r="D46" s="16" t="s">
        <v>20</v>
      </c>
      <c r="E46" s="3">
        <v>8</v>
      </c>
      <c r="F46" s="5">
        <v>95</v>
      </c>
      <c r="G46" s="5">
        <f>IF(BD_MOVD[[#This Row],[SISTEMA]]="SUELDO",BD_MOVD[[#This Row],[COSTO DIA]]*30,0)</f>
        <v>2850</v>
      </c>
      <c r="H46" s="5">
        <f>IFERROR(BD_MOVD[[#This Row],[COSTO DIA]]/BD_MOVD[[#This Row],[HR DE CONTRATO]],0)</f>
        <v>11.875</v>
      </c>
      <c r="I46" s="5" t="s">
        <v>69</v>
      </c>
    </row>
    <row r="47" spans="1:9" x14ac:dyDescent="0.3">
      <c r="A47" s="15" t="s">
        <v>10</v>
      </c>
      <c r="B47" s="3">
        <v>18901067</v>
      </c>
      <c r="C47" s="3" t="s">
        <v>42</v>
      </c>
      <c r="D47" s="16" t="s">
        <v>20</v>
      </c>
      <c r="E47" s="3">
        <v>8</v>
      </c>
      <c r="F47" s="5">
        <v>95</v>
      </c>
      <c r="G47" s="5">
        <f>IF(BD_MOVD[[#This Row],[SISTEMA]]="SUELDO",BD_MOVD[[#This Row],[COSTO DIA]]*30,0)</f>
        <v>2850</v>
      </c>
      <c r="H47" s="5">
        <f>IFERROR(BD_MOVD[[#This Row],[COSTO DIA]]/BD_MOVD[[#This Row],[HR DE CONTRATO]],0)</f>
        <v>11.875</v>
      </c>
      <c r="I47" s="5" t="s">
        <v>69</v>
      </c>
    </row>
    <row r="48" spans="1:9" x14ac:dyDescent="0.3">
      <c r="A48" s="15" t="s">
        <v>75</v>
      </c>
      <c r="B48" s="3">
        <v>44242287</v>
      </c>
      <c r="C48" s="3" t="s">
        <v>42</v>
      </c>
      <c r="D48" s="16" t="s">
        <v>20</v>
      </c>
      <c r="E48" s="3">
        <v>8</v>
      </c>
      <c r="F48" s="5">
        <v>95</v>
      </c>
      <c r="G48" s="5">
        <f>IF(BD_MOVD[[#This Row],[SISTEMA]]="SUELDO",BD_MOVD[[#This Row],[COSTO DIA]]*30,0)</f>
        <v>2850</v>
      </c>
      <c r="H48" s="5">
        <f>IFERROR(BD_MOVD[[#This Row],[COSTO DIA]]/BD_MOVD[[#This Row],[HR DE CONTRATO]],0)</f>
        <v>11.875</v>
      </c>
      <c r="I48" s="5" t="s">
        <v>69</v>
      </c>
    </row>
  </sheetData>
  <conditionalFormatting sqref="D3:D48">
    <cfRule type="containsText" dxfId="66" priority="11" operator="containsText" text="JORNAL">
      <formula>NOT(ISERROR(SEARCH("JORNAL",D3)))</formula>
    </cfRule>
    <cfRule type="containsText" dxfId="65" priority="13" operator="containsText" text="SUELDO">
      <formula>NOT(ISERROR(SEARCH("SUELDO",D3)))</formula>
    </cfRule>
  </conditionalFormatting>
  <conditionalFormatting sqref="I3:I48">
    <cfRule type="containsText" dxfId="64" priority="12" operator="containsText" text="NORMAL">
      <formula>NOT(ISERROR(SEARCH("NORMAL",I3)))</formula>
    </cfRule>
    <cfRule type="containsText" dxfId="63" priority="14" operator="containsText" text="COMPRA HORAS">
      <formula>NOT(ISERROR(SEARCH("COMPRA HORAS",I3)))</formula>
    </cfRule>
  </conditionalFormatting>
  <conditionalFormatting sqref="N3:N10">
    <cfRule type="containsText" dxfId="62" priority="7" operator="containsText" text="JORNAL">
      <formula>NOT(ISERROR(SEARCH("JORNAL",N3)))</formula>
    </cfRule>
    <cfRule type="containsText" dxfId="61" priority="9" operator="containsText" text="SUELDO">
      <formula>NOT(ISERROR(SEARCH("SUELDO",N3)))</formula>
    </cfRule>
  </conditionalFormatting>
  <conditionalFormatting sqref="S3:S10">
    <cfRule type="containsText" dxfId="60" priority="5" operator="containsText" text="NORMAL">
      <formula>NOT(ISERROR(SEARCH("NORMAL",S3)))</formula>
    </cfRule>
    <cfRule type="containsText" dxfId="59" priority="6" operator="containsText" text="COMPRA HORAS">
      <formula>NOT(ISERROR(SEARCH("COMPRA HORAS",S3)))</formula>
    </cfRule>
  </conditionalFormatting>
  <conditionalFormatting sqref="X3:X7">
    <cfRule type="containsText" dxfId="58" priority="1" operator="containsText" text="JORNAL">
      <formula>NOT(ISERROR(SEARCH("JORNAL",X3)))</formula>
    </cfRule>
    <cfRule type="containsText" dxfId="57" priority="3" operator="containsText" text="SUELDO">
      <formula>NOT(ISERROR(SEARCH("SUELDO",X3)))</formula>
    </cfRule>
  </conditionalFormatting>
  <conditionalFormatting sqref="AC3:AC7">
    <cfRule type="containsText" dxfId="56" priority="2" operator="containsText" text="NORMAL">
      <formula>NOT(ISERROR(SEARCH("NORMAL",AC3)))</formula>
    </cfRule>
    <cfRule type="containsText" dxfId="55" priority="4" operator="containsText" text="COMPRA HORAS">
      <formula>NOT(ISERROR(SEARCH("COMPRA HORAS",AC3)))</formula>
    </cfRule>
  </conditionalFormatting>
  <pageMargins left="0.7" right="0.7" top="0.75" bottom="0.75" header="0.3" footer="0.3"/>
  <pageSetup paperSize="9" orientation="portrait" horizontalDpi="0" verticalDpi="0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F43EF-0056-4A76-8633-68995F76A9EF}">
  <sheetPr codeName="Hoja8"/>
  <dimension ref="A1:L68"/>
  <sheetViews>
    <sheetView topLeftCell="A10" workbookViewId="0">
      <selection activeCell="D19" sqref="D19"/>
    </sheetView>
  </sheetViews>
  <sheetFormatPr baseColWidth="10" defaultRowHeight="14.4" x14ac:dyDescent="0.3"/>
  <cols>
    <col min="1" max="1" width="10.5546875" bestFit="1" customWidth="1"/>
    <col min="2" max="2" width="24.44140625" bestFit="1" customWidth="1"/>
    <col min="3" max="3" width="25.21875" bestFit="1" customWidth="1"/>
    <col min="4" max="4" width="7.6640625" bestFit="1" customWidth="1"/>
    <col min="5" max="5" width="18.77734375" customWidth="1"/>
    <col min="6" max="6" width="20.33203125" customWidth="1"/>
    <col min="7" max="7" width="19.77734375" customWidth="1"/>
    <col min="8" max="8" width="24.88671875" customWidth="1"/>
    <col min="10" max="10" width="24.21875" customWidth="1"/>
    <col min="12" max="12" width="20.5546875" customWidth="1"/>
  </cols>
  <sheetData>
    <row r="1" spans="1:12" ht="31.2" customHeight="1" thickBot="1" x14ac:dyDescent="0.35">
      <c r="A1" s="108" t="s">
        <v>168</v>
      </c>
      <c r="B1" s="109"/>
      <c r="C1" s="110"/>
    </row>
    <row r="2" spans="1:12" ht="47.4" thickBot="1" x14ac:dyDescent="0.35">
      <c r="A2" s="71" t="s">
        <v>103</v>
      </c>
      <c r="B2" s="59" t="s">
        <v>0</v>
      </c>
      <c r="C2" s="59" t="s">
        <v>106</v>
      </c>
      <c r="D2" s="66" t="s">
        <v>120</v>
      </c>
      <c r="E2" s="67" t="s">
        <v>121</v>
      </c>
      <c r="F2" s="68" t="s">
        <v>122</v>
      </c>
      <c r="G2" s="69" t="s">
        <v>123</v>
      </c>
      <c r="H2" s="70" t="s">
        <v>124</v>
      </c>
      <c r="I2" s="63" t="s">
        <v>125</v>
      </c>
      <c r="J2" s="64" t="s">
        <v>126</v>
      </c>
      <c r="K2" s="65" t="s">
        <v>127</v>
      </c>
      <c r="L2" s="107" t="s">
        <v>169</v>
      </c>
    </row>
    <row r="3" spans="1:12" ht="15" thickBot="1" x14ac:dyDescent="0.35">
      <c r="A3" s="72" t="s">
        <v>128</v>
      </c>
      <c r="B3" s="60">
        <v>45033</v>
      </c>
      <c r="C3" s="61" t="s">
        <v>68</v>
      </c>
      <c r="D3" s="62" t="s">
        <v>129</v>
      </c>
      <c r="E3" s="62" t="s">
        <v>129</v>
      </c>
      <c r="F3" s="62" t="s">
        <v>130</v>
      </c>
      <c r="G3" s="62" t="s">
        <v>129</v>
      </c>
      <c r="H3" s="62" t="s">
        <v>129</v>
      </c>
      <c r="I3" s="62" t="s">
        <v>129</v>
      </c>
      <c r="J3" s="62" t="s">
        <v>129</v>
      </c>
      <c r="K3" s="62" t="s">
        <v>129</v>
      </c>
      <c r="L3" s="62" t="s">
        <v>129</v>
      </c>
    </row>
    <row r="4" spans="1:12" ht="15" thickBot="1" x14ac:dyDescent="0.35">
      <c r="A4" s="72" t="s">
        <v>128</v>
      </c>
      <c r="B4" s="60">
        <v>45033</v>
      </c>
      <c r="C4" s="61" t="s">
        <v>15</v>
      </c>
      <c r="D4" s="62" t="s">
        <v>131</v>
      </c>
      <c r="E4" s="62" t="s">
        <v>129</v>
      </c>
      <c r="F4" s="62" t="s">
        <v>129</v>
      </c>
      <c r="G4" s="62" t="s">
        <v>129</v>
      </c>
      <c r="H4" s="62" t="s">
        <v>129</v>
      </c>
      <c r="I4" s="62" t="s">
        <v>129</v>
      </c>
      <c r="J4" s="62" t="s">
        <v>129</v>
      </c>
      <c r="K4" s="62" t="s">
        <v>129</v>
      </c>
      <c r="L4" s="62" t="s">
        <v>129</v>
      </c>
    </row>
    <row r="5" spans="1:12" ht="15" thickBot="1" x14ac:dyDescent="0.35">
      <c r="A5" s="72" t="s">
        <v>128</v>
      </c>
      <c r="B5" s="60">
        <v>45033</v>
      </c>
      <c r="C5" s="61" t="s">
        <v>132</v>
      </c>
      <c r="D5" s="62" t="s">
        <v>133</v>
      </c>
      <c r="E5" s="62" t="s">
        <v>129</v>
      </c>
      <c r="F5" s="62" t="s">
        <v>129</v>
      </c>
      <c r="G5" s="62" t="s">
        <v>129</v>
      </c>
      <c r="H5" s="62" t="s">
        <v>129</v>
      </c>
      <c r="I5" s="62" t="s">
        <v>129</v>
      </c>
      <c r="J5" s="62" t="s">
        <v>129</v>
      </c>
      <c r="K5" s="62" t="s">
        <v>129</v>
      </c>
      <c r="L5" s="62" t="s">
        <v>129</v>
      </c>
    </row>
    <row r="6" spans="1:12" ht="15" thickBot="1" x14ac:dyDescent="0.35">
      <c r="A6" s="72" t="s">
        <v>128</v>
      </c>
      <c r="B6" s="60">
        <v>45033</v>
      </c>
      <c r="C6" s="61" t="s">
        <v>26</v>
      </c>
      <c r="D6" s="62" t="s">
        <v>134</v>
      </c>
      <c r="E6" s="62" t="s">
        <v>129</v>
      </c>
      <c r="F6" s="62" t="s">
        <v>129</v>
      </c>
      <c r="G6" s="62" t="s">
        <v>129</v>
      </c>
      <c r="H6" s="62" t="s">
        <v>129</v>
      </c>
      <c r="I6" s="62" t="s">
        <v>129</v>
      </c>
      <c r="J6" s="62" t="s">
        <v>129</v>
      </c>
      <c r="K6" s="62" t="s">
        <v>129</v>
      </c>
      <c r="L6" s="62" t="s">
        <v>129</v>
      </c>
    </row>
    <row r="7" spans="1:12" ht="15" thickBot="1" x14ac:dyDescent="0.35">
      <c r="A7" s="72" t="s">
        <v>128</v>
      </c>
      <c r="B7" s="60">
        <v>45033</v>
      </c>
      <c r="C7" s="61" t="s">
        <v>135</v>
      </c>
      <c r="D7" s="62" t="s">
        <v>134</v>
      </c>
      <c r="E7" s="62" t="s">
        <v>129</v>
      </c>
      <c r="F7" s="62" t="s">
        <v>129</v>
      </c>
      <c r="G7" s="62" t="s">
        <v>129</v>
      </c>
      <c r="H7" s="62" t="s">
        <v>129</v>
      </c>
      <c r="I7" s="62" t="s">
        <v>129</v>
      </c>
      <c r="J7" s="62" t="s">
        <v>129</v>
      </c>
      <c r="K7" s="62" t="s">
        <v>129</v>
      </c>
      <c r="L7" s="62" t="s">
        <v>129</v>
      </c>
    </row>
    <row r="8" spans="1:12" ht="15" thickBot="1" x14ac:dyDescent="0.35">
      <c r="A8" s="72" t="s">
        <v>128</v>
      </c>
      <c r="B8" s="60">
        <v>45033</v>
      </c>
      <c r="C8" s="61" t="s">
        <v>27</v>
      </c>
      <c r="D8" s="62" t="s">
        <v>134</v>
      </c>
      <c r="E8" s="62" t="s">
        <v>129</v>
      </c>
      <c r="F8" s="62" t="s">
        <v>129</v>
      </c>
      <c r="G8" s="62" t="s">
        <v>129</v>
      </c>
      <c r="H8" s="62" t="s">
        <v>129</v>
      </c>
      <c r="I8" s="62" t="s">
        <v>129</v>
      </c>
      <c r="J8" s="62" t="s">
        <v>129</v>
      </c>
      <c r="K8" s="62" t="s">
        <v>129</v>
      </c>
      <c r="L8" s="62" t="s">
        <v>129</v>
      </c>
    </row>
    <row r="9" spans="1:12" ht="15" thickBot="1" x14ac:dyDescent="0.35">
      <c r="A9" s="72" t="s">
        <v>128</v>
      </c>
      <c r="B9" s="60">
        <v>45033</v>
      </c>
      <c r="C9" s="61" t="s">
        <v>10</v>
      </c>
      <c r="D9" s="62" t="s">
        <v>134</v>
      </c>
      <c r="E9" s="62" t="s">
        <v>129</v>
      </c>
      <c r="F9" s="62" t="s">
        <v>129</v>
      </c>
      <c r="G9" s="62" t="s">
        <v>129</v>
      </c>
      <c r="H9" s="62" t="s">
        <v>129</v>
      </c>
      <c r="I9" s="62" t="s">
        <v>129</v>
      </c>
      <c r="J9" s="62" t="s">
        <v>129</v>
      </c>
      <c r="K9" s="62" t="s">
        <v>129</v>
      </c>
      <c r="L9" s="62" t="s">
        <v>129</v>
      </c>
    </row>
    <row r="10" spans="1:12" ht="15" thickBot="1" x14ac:dyDescent="0.35">
      <c r="A10" s="72" t="s">
        <v>128</v>
      </c>
      <c r="B10" s="60">
        <v>45033</v>
      </c>
      <c r="C10" s="61" t="s">
        <v>136</v>
      </c>
      <c r="D10" s="62" t="s">
        <v>134</v>
      </c>
      <c r="E10" s="62" t="s">
        <v>129</v>
      </c>
      <c r="F10" s="62" t="s">
        <v>129</v>
      </c>
      <c r="G10" s="62" t="s">
        <v>129</v>
      </c>
      <c r="H10" s="62" t="s">
        <v>129</v>
      </c>
      <c r="I10" s="62" t="s">
        <v>129</v>
      </c>
      <c r="J10" s="62" t="s">
        <v>129</v>
      </c>
      <c r="K10" s="62" t="s">
        <v>129</v>
      </c>
      <c r="L10" s="62" t="s">
        <v>129</v>
      </c>
    </row>
    <row r="11" spans="1:12" ht="15" thickBot="1" x14ac:dyDescent="0.35">
      <c r="A11" s="72" t="s">
        <v>137</v>
      </c>
      <c r="B11" s="60">
        <v>45034</v>
      </c>
      <c r="C11" s="61" t="s">
        <v>68</v>
      </c>
      <c r="D11" s="62" t="s">
        <v>133</v>
      </c>
      <c r="E11" s="62" t="s">
        <v>129</v>
      </c>
      <c r="F11" s="62" t="s">
        <v>138</v>
      </c>
      <c r="G11" s="62" t="s">
        <v>129</v>
      </c>
      <c r="H11" s="62" t="s">
        <v>129</v>
      </c>
      <c r="I11" s="62" t="s">
        <v>129</v>
      </c>
      <c r="J11" s="62" t="s">
        <v>139</v>
      </c>
      <c r="K11" s="62" t="s">
        <v>138</v>
      </c>
      <c r="L11" s="62" t="s">
        <v>129</v>
      </c>
    </row>
    <row r="12" spans="1:12" ht="15" thickBot="1" x14ac:dyDescent="0.35">
      <c r="A12" s="72" t="s">
        <v>137</v>
      </c>
      <c r="B12" s="60">
        <v>45034</v>
      </c>
      <c r="C12" s="61" t="s">
        <v>15</v>
      </c>
      <c r="D12" s="62" t="s">
        <v>134</v>
      </c>
      <c r="E12" s="62" t="s">
        <v>129</v>
      </c>
      <c r="F12" s="62" t="s">
        <v>129</v>
      </c>
      <c r="G12" s="62" t="s">
        <v>129</v>
      </c>
      <c r="H12" s="62" t="s">
        <v>129</v>
      </c>
      <c r="I12" s="62" t="s">
        <v>129</v>
      </c>
      <c r="J12" s="62" t="s">
        <v>129</v>
      </c>
      <c r="K12" s="62" t="s">
        <v>138</v>
      </c>
      <c r="L12" s="62" t="s">
        <v>129</v>
      </c>
    </row>
    <row r="13" spans="1:12" ht="15" thickBot="1" x14ac:dyDescent="0.35">
      <c r="A13" s="72" t="s">
        <v>137</v>
      </c>
      <c r="B13" s="60">
        <v>45034</v>
      </c>
      <c r="C13" s="61" t="s">
        <v>132</v>
      </c>
      <c r="D13" s="62" t="s">
        <v>129</v>
      </c>
      <c r="E13" s="62" t="s">
        <v>129</v>
      </c>
      <c r="F13" s="62" t="s">
        <v>133</v>
      </c>
      <c r="G13" s="62" t="s">
        <v>129</v>
      </c>
      <c r="H13" s="62" t="s">
        <v>129</v>
      </c>
      <c r="I13" s="62" t="s">
        <v>140</v>
      </c>
      <c r="J13" s="62" t="s">
        <v>129</v>
      </c>
      <c r="K13" s="62" t="s">
        <v>133</v>
      </c>
      <c r="L13" s="62" t="s">
        <v>129</v>
      </c>
    </row>
    <row r="14" spans="1:12" ht="15" thickBot="1" x14ac:dyDescent="0.35">
      <c r="A14" s="72" t="s">
        <v>137</v>
      </c>
      <c r="B14" s="60">
        <v>45034</v>
      </c>
      <c r="C14" s="61" t="s">
        <v>26</v>
      </c>
      <c r="D14" s="62" t="s">
        <v>141</v>
      </c>
      <c r="E14" s="62" t="s">
        <v>129</v>
      </c>
      <c r="F14" s="62" t="s">
        <v>129</v>
      </c>
      <c r="G14" s="62" t="s">
        <v>129</v>
      </c>
      <c r="H14" s="62" t="s">
        <v>129</v>
      </c>
      <c r="I14" s="62" t="s">
        <v>129</v>
      </c>
      <c r="J14" s="62" t="s">
        <v>129</v>
      </c>
      <c r="K14" s="62" t="s">
        <v>133</v>
      </c>
      <c r="L14" s="62" t="s">
        <v>129</v>
      </c>
    </row>
    <row r="15" spans="1:12" ht="15" thickBot="1" x14ac:dyDescent="0.35">
      <c r="A15" s="72" t="s">
        <v>137</v>
      </c>
      <c r="B15" s="60">
        <v>45034</v>
      </c>
      <c r="C15" s="61" t="s">
        <v>135</v>
      </c>
      <c r="D15" s="62" t="s">
        <v>129</v>
      </c>
      <c r="E15" s="62" t="s">
        <v>129</v>
      </c>
      <c r="F15" s="62" t="s">
        <v>142</v>
      </c>
      <c r="G15" s="62" t="s">
        <v>129</v>
      </c>
      <c r="H15" s="62" t="s">
        <v>129</v>
      </c>
      <c r="I15" s="62" t="s">
        <v>129</v>
      </c>
      <c r="J15" s="62" t="s">
        <v>129</v>
      </c>
      <c r="K15" s="62" t="s">
        <v>129</v>
      </c>
      <c r="L15" s="62" t="s">
        <v>129</v>
      </c>
    </row>
    <row r="16" spans="1:12" ht="15" thickBot="1" x14ac:dyDescent="0.35">
      <c r="A16" s="72" t="s">
        <v>137</v>
      </c>
      <c r="B16" s="60">
        <v>45034</v>
      </c>
      <c r="C16" s="61" t="s">
        <v>27</v>
      </c>
      <c r="D16" s="62" t="s">
        <v>141</v>
      </c>
      <c r="E16" s="62" t="s">
        <v>129</v>
      </c>
      <c r="F16" s="62" t="s">
        <v>129</v>
      </c>
      <c r="G16" s="62" t="s">
        <v>129</v>
      </c>
      <c r="H16" s="62" t="s">
        <v>129</v>
      </c>
      <c r="I16" s="62" t="s">
        <v>141</v>
      </c>
      <c r="J16" s="62" t="s">
        <v>129</v>
      </c>
      <c r="K16" s="62" t="s">
        <v>143</v>
      </c>
      <c r="L16" s="62" t="s">
        <v>129</v>
      </c>
    </row>
    <row r="17" spans="1:12" ht="15" thickBot="1" x14ac:dyDescent="0.35">
      <c r="A17" s="72" t="s">
        <v>137</v>
      </c>
      <c r="B17" s="60">
        <v>45034</v>
      </c>
      <c r="C17" s="61" t="s">
        <v>136</v>
      </c>
      <c r="D17" s="62" t="s">
        <v>141</v>
      </c>
      <c r="E17" s="62" t="s">
        <v>129</v>
      </c>
      <c r="F17" s="62" t="s">
        <v>129</v>
      </c>
      <c r="G17" s="62" t="s">
        <v>129</v>
      </c>
      <c r="H17" s="62" t="s">
        <v>129</v>
      </c>
      <c r="I17" s="62" t="s">
        <v>141</v>
      </c>
      <c r="J17" s="62" t="s">
        <v>129</v>
      </c>
      <c r="K17" s="62" t="s">
        <v>143</v>
      </c>
      <c r="L17" s="62" t="s">
        <v>129</v>
      </c>
    </row>
    <row r="18" spans="1:12" ht="15" thickBot="1" x14ac:dyDescent="0.35">
      <c r="A18" s="72" t="s">
        <v>170</v>
      </c>
      <c r="B18" s="60">
        <v>45035</v>
      </c>
      <c r="C18" s="61" t="s">
        <v>68</v>
      </c>
      <c r="D18" s="62" t="s">
        <v>129</v>
      </c>
      <c r="E18" s="62" t="s">
        <v>129</v>
      </c>
      <c r="F18" s="62" t="s">
        <v>129</v>
      </c>
      <c r="G18" s="62" t="s">
        <v>129</v>
      </c>
      <c r="H18" s="62" t="s">
        <v>129</v>
      </c>
      <c r="I18" s="62" t="s">
        <v>129</v>
      </c>
      <c r="J18" s="62" t="s">
        <v>141</v>
      </c>
      <c r="K18" s="62" t="s">
        <v>129</v>
      </c>
      <c r="L18" s="62" t="s">
        <v>129</v>
      </c>
    </row>
    <row r="19" spans="1:12" ht="15" thickBot="1" x14ac:dyDescent="0.35">
      <c r="A19" s="72" t="s">
        <v>170</v>
      </c>
      <c r="B19" s="60">
        <v>45035</v>
      </c>
      <c r="C19" s="61" t="s">
        <v>15</v>
      </c>
      <c r="D19" s="62" t="s">
        <v>133</v>
      </c>
      <c r="E19" s="62" t="s">
        <v>129</v>
      </c>
      <c r="F19" s="62" t="s">
        <v>133</v>
      </c>
      <c r="G19" s="62" t="s">
        <v>129</v>
      </c>
      <c r="H19" s="62" t="s">
        <v>129</v>
      </c>
      <c r="I19" s="62" t="s">
        <v>129</v>
      </c>
      <c r="J19" s="62" t="s">
        <v>129</v>
      </c>
      <c r="K19" s="62" t="s">
        <v>129</v>
      </c>
      <c r="L19" s="62" t="s">
        <v>129</v>
      </c>
    </row>
    <row r="20" spans="1:12" ht="15" thickBot="1" x14ac:dyDescent="0.35">
      <c r="A20" s="72" t="s">
        <v>170</v>
      </c>
      <c r="B20" s="60">
        <v>45035</v>
      </c>
      <c r="C20" s="61" t="s">
        <v>132</v>
      </c>
      <c r="D20" s="62" t="s">
        <v>140</v>
      </c>
      <c r="E20" s="62" t="s">
        <v>129</v>
      </c>
      <c r="F20" s="62" t="s">
        <v>134</v>
      </c>
      <c r="G20" s="62" t="s">
        <v>129</v>
      </c>
      <c r="H20" s="62" t="s">
        <v>129</v>
      </c>
      <c r="I20" s="62" t="s">
        <v>129</v>
      </c>
      <c r="J20" s="62" t="s">
        <v>129</v>
      </c>
      <c r="K20" s="62" t="s">
        <v>129</v>
      </c>
      <c r="L20" s="62" t="s">
        <v>129</v>
      </c>
    </row>
    <row r="21" spans="1:12" ht="15" thickBot="1" x14ac:dyDescent="0.35">
      <c r="A21" s="72" t="s">
        <v>170</v>
      </c>
      <c r="B21" s="60">
        <v>45035</v>
      </c>
      <c r="C21" s="61" t="s">
        <v>26</v>
      </c>
      <c r="D21" s="62" t="s">
        <v>129</v>
      </c>
      <c r="E21" s="62" t="s">
        <v>129</v>
      </c>
      <c r="F21" s="62" t="s">
        <v>129</v>
      </c>
      <c r="G21" s="62" t="s">
        <v>129</v>
      </c>
      <c r="H21" s="62" t="s">
        <v>129</v>
      </c>
      <c r="I21" s="62" t="s">
        <v>134</v>
      </c>
      <c r="J21" s="62" t="s">
        <v>129</v>
      </c>
      <c r="K21" s="62" t="s">
        <v>129</v>
      </c>
      <c r="L21" s="62" t="s">
        <v>129</v>
      </c>
    </row>
    <row r="22" spans="1:12" ht="15" thickBot="1" x14ac:dyDescent="0.35">
      <c r="A22" s="72" t="s">
        <v>170</v>
      </c>
      <c r="B22" s="60">
        <v>45035</v>
      </c>
      <c r="C22" s="61" t="s">
        <v>135</v>
      </c>
      <c r="D22" s="62" t="s">
        <v>129</v>
      </c>
      <c r="E22" s="62" t="s">
        <v>129</v>
      </c>
      <c r="F22" s="62" t="s">
        <v>131</v>
      </c>
      <c r="G22" s="62" t="s">
        <v>129</v>
      </c>
      <c r="H22" s="62" t="s">
        <v>129</v>
      </c>
      <c r="I22" s="62" t="s">
        <v>129</v>
      </c>
      <c r="J22" s="62" t="s">
        <v>129</v>
      </c>
      <c r="K22" s="62" t="s">
        <v>129</v>
      </c>
      <c r="L22" s="62" t="s">
        <v>129</v>
      </c>
    </row>
    <row r="23" spans="1:12" ht="15" thickBot="1" x14ac:dyDescent="0.35">
      <c r="A23" s="72" t="s">
        <v>170</v>
      </c>
      <c r="B23" s="60">
        <v>45035</v>
      </c>
      <c r="C23" s="61" t="s">
        <v>27</v>
      </c>
      <c r="D23" s="62" t="s">
        <v>133</v>
      </c>
      <c r="E23" s="62" t="s">
        <v>129</v>
      </c>
      <c r="F23" s="62" t="s">
        <v>129</v>
      </c>
      <c r="G23" s="62" t="s">
        <v>129</v>
      </c>
      <c r="H23" s="62" t="s">
        <v>129</v>
      </c>
      <c r="I23" s="62" t="s">
        <v>129</v>
      </c>
      <c r="J23" s="62" t="s">
        <v>133</v>
      </c>
      <c r="K23" s="62" t="s">
        <v>129</v>
      </c>
      <c r="L23" s="62" t="s">
        <v>129</v>
      </c>
    </row>
    <row r="24" spans="1:12" ht="15" thickBot="1" x14ac:dyDescent="0.35">
      <c r="A24" s="72" t="s">
        <v>170</v>
      </c>
      <c r="B24" s="60">
        <v>45035</v>
      </c>
      <c r="C24" s="61" t="s">
        <v>136</v>
      </c>
      <c r="D24" s="62" t="s">
        <v>133</v>
      </c>
      <c r="E24" s="62" t="s">
        <v>129</v>
      </c>
      <c r="F24" s="62" t="s">
        <v>129</v>
      </c>
      <c r="G24" s="62" t="s">
        <v>129</v>
      </c>
      <c r="H24" s="62" t="s">
        <v>129</v>
      </c>
      <c r="I24" s="62" t="s">
        <v>129</v>
      </c>
      <c r="J24" s="62" t="s">
        <v>129</v>
      </c>
      <c r="K24" s="62" t="s">
        <v>129</v>
      </c>
      <c r="L24" s="62" t="s">
        <v>133</v>
      </c>
    </row>
    <row r="25" spans="1:12" x14ac:dyDescent="0.3">
      <c r="A25" s="73" t="s">
        <v>170</v>
      </c>
      <c r="B25" s="111">
        <v>45035</v>
      </c>
      <c r="C25" s="112" t="s">
        <v>171</v>
      </c>
      <c r="D25" s="74" t="s">
        <v>129</v>
      </c>
      <c r="E25" s="74" t="s">
        <v>129</v>
      </c>
      <c r="F25" s="74" t="s">
        <v>129</v>
      </c>
      <c r="G25" s="74" t="s">
        <v>129</v>
      </c>
      <c r="H25" s="74" t="s">
        <v>129</v>
      </c>
      <c r="I25" s="74" t="s">
        <v>129</v>
      </c>
      <c r="J25" s="74" t="s">
        <v>129</v>
      </c>
      <c r="K25" s="74" t="s">
        <v>129</v>
      </c>
      <c r="L25" s="74" t="s">
        <v>131</v>
      </c>
    </row>
    <row r="30" spans="1:12" x14ac:dyDescent="0.3">
      <c r="A30" t="s">
        <v>0</v>
      </c>
      <c r="B30" t="s">
        <v>106</v>
      </c>
      <c r="C30" t="s">
        <v>144</v>
      </c>
      <c r="D30" t="s">
        <v>145</v>
      </c>
    </row>
    <row r="31" spans="1:12" x14ac:dyDescent="0.3">
      <c r="A31" s="8">
        <v>45033</v>
      </c>
      <c r="B31" t="s">
        <v>132</v>
      </c>
      <c r="C31" s="106" t="s">
        <v>120</v>
      </c>
      <c r="D31">
        <v>4.5</v>
      </c>
    </row>
    <row r="32" spans="1:12" x14ac:dyDescent="0.3">
      <c r="A32" s="8">
        <v>45034</v>
      </c>
      <c r="B32" t="s">
        <v>132</v>
      </c>
      <c r="C32" s="106" t="s">
        <v>122</v>
      </c>
      <c r="D32">
        <v>4.5</v>
      </c>
    </row>
    <row r="33" spans="1:4" x14ac:dyDescent="0.3">
      <c r="A33" s="8">
        <v>45034</v>
      </c>
      <c r="B33" t="s">
        <v>132</v>
      </c>
      <c r="C33" s="106" t="s">
        <v>125</v>
      </c>
      <c r="D33">
        <v>1</v>
      </c>
    </row>
    <row r="34" spans="1:4" x14ac:dyDescent="0.3">
      <c r="A34" s="8">
        <v>45034</v>
      </c>
      <c r="B34" t="s">
        <v>132</v>
      </c>
      <c r="C34" s="106" t="s">
        <v>127</v>
      </c>
      <c r="D34">
        <v>4.5</v>
      </c>
    </row>
    <row r="35" spans="1:4" x14ac:dyDescent="0.3">
      <c r="A35" s="8">
        <v>45035</v>
      </c>
      <c r="B35" t="s">
        <v>132</v>
      </c>
      <c r="C35" s="106" t="s">
        <v>120</v>
      </c>
      <c r="D35">
        <v>1</v>
      </c>
    </row>
    <row r="36" spans="1:4" x14ac:dyDescent="0.3">
      <c r="A36" s="8">
        <v>45035</v>
      </c>
      <c r="B36" t="s">
        <v>132</v>
      </c>
      <c r="C36" s="106" t="s">
        <v>122</v>
      </c>
      <c r="D36">
        <v>8</v>
      </c>
    </row>
    <row r="37" spans="1:4" x14ac:dyDescent="0.3">
      <c r="A37" s="8">
        <v>45035</v>
      </c>
      <c r="B37" t="s">
        <v>171</v>
      </c>
      <c r="C37" s="106" t="s">
        <v>169</v>
      </c>
      <c r="D37">
        <v>9</v>
      </c>
    </row>
    <row r="38" spans="1:4" x14ac:dyDescent="0.3">
      <c r="A38" s="8">
        <v>45033</v>
      </c>
      <c r="B38" t="s">
        <v>15</v>
      </c>
      <c r="C38" s="106" t="s">
        <v>120</v>
      </c>
      <c r="D38">
        <v>9</v>
      </c>
    </row>
    <row r="39" spans="1:4" x14ac:dyDescent="0.3">
      <c r="A39" s="8">
        <v>45034</v>
      </c>
      <c r="B39" t="s">
        <v>15</v>
      </c>
      <c r="C39" s="106" t="s">
        <v>120</v>
      </c>
      <c r="D39">
        <v>8</v>
      </c>
    </row>
    <row r="40" spans="1:4" x14ac:dyDescent="0.3">
      <c r="A40" s="8">
        <v>45034</v>
      </c>
      <c r="B40" t="s">
        <v>15</v>
      </c>
      <c r="C40" s="106" t="s">
        <v>127</v>
      </c>
      <c r="D40">
        <v>2</v>
      </c>
    </row>
    <row r="41" spans="1:4" x14ac:dyDescent="0.3">
      <c r="A41" s="8">
        <v>45035</v>
      </c>
      <c r="B41" t="s">
        <v>15</v>
      </c>
      <c r="C41" s="106" t="s">
        <v>120</v>
      </c>
      <c r="D41">
        <v>4.5</v>
      </c>
    </row>
    <row r="42" spans="1:4" x14ac:dyDescent="0.3">
      <c r="A42" s="8">
        <v>45035</v>
      </c>
      <c r="B42" t="s">
        <v>15</v>
      </c>
      <c r="C42" s="106" t="s">
        <v>122</v>
      </c>
      <c r="D42">
        <v>4.5</v>
      </c>
    </row>
    <row r="43" spans="1:4" x14ac:dyDescent="0.3">
      <c r="A43" s="8">
        <v>45033</v>
      </c>
      <c r="B43" t="s">
        <v>10</v>
      </c>
      <c r="C43" s="106" t="s">
        <v>120</v>
      </c>
      <c r="D43">
        <v>8</v>
      </c>
    </row>
    <row r="44" spans="1:4" x14ac:dyDescent="0.3">
      <c r="A44" s="8">
        <v>45033</v>
      </c>
      <c r="B44" t="s">
        <v>135</v>
      </c>
      <c r="C44" s="106" t="s">
        <v>120</v>
      </c>
      <c r="D44">
        <v>8</v>
      </c>
    </row>
    <row r="45" spans="1:4" x14ac:dyDescent="0.3">
      <c r="A45" s="8">
        <v>45034</v>
      </c>
      <c r="B45" t="s">
        <v>135</v>
      </c>
      <c r="C45" s="106" t="s">
        <v>122</v>
      </c>
      <c r="D45">
        <v>5.5</v>
      </c>
    </row>
    <row r="46" spans="1:4" x14ac:dyDescent="0.3">
      <c r="A46" s="8">
        <v>45035</v>
      </c>
      <c r="B46" t="s">
        <v>135</v>
      </c>
      <c r="C46" s="106" t="s">
        <v>122</v>
      </c>
      <c r="D46">
        <v>9</v>
      </c>
    </row>
    <row r="47" spans="1:4" x14ac:dyDescent="0.3">
      <c r="A47" s="8">
        <v>45033</v>
      </c>
      <c r="B47" t="s">
        <v>27</v>
      </c>
      <c r="C47" s="106" t="s">
        <v>120</v>
      </c>
      <c r="D47">
        <v>8</v>
      </c>
    </row>
    <row r="48" spans="1:4" x14ac:dyDescent="0.3">
      <c r="A48" s="8">
        <v>45034</v>
      </c>
      <c r="B48" t="s">
        <v>27</v>
      </c>
      <c r="C48" s="106" t="s">
        <v>120</v>
      </c>
      <c r="D48">
        <v>3.5</v>
      </c>
    </row>
    <row r="49" spans="1:4" x14ac:dyDescent="0.3">
      <c r="A49" s="8">
        <v>45034</v>
      </c>
      <c r="B49" t="s">
        <v>27</v>
      </c>
      <c r="C49" s="106" t="s">
        <v>125</v>
      </c>
      <c r="D49">
        <v>3.5</v>
      </c>
    </row>
    <row r="50" spans="1:4" x14ac:dyDescent="0.3">
      <c r="A50" s="8">
        <v>45034</v>
      </c>
      <c r="B50" t="s">
        <v>27</v>
      </c>
      <c r="C50" s="106" t="s">
        <v>127</v>
      </c>
      <c r="D50">
        <v>3</v>
      </c>
    </row>
    <row r="51" spans="1:4" x14ac:dyDescent="0.3">
      <c r="A51" s="8">
        <v>45035</v>
      </c>
      <c r="B51" t="s">
        <v>27</v>
      </c>
      <c r="C51" s="106" t="s">
        <v>120</v>
      </c>
      <c r="D51">
        <v>4.5</v>
      </c>
    </row>
    <row r="52" spans="1:4" x14ac:dyDescent="0.3">
      <c r="A52" s="8">
        <v>45035</v>
      </c>
      <c r="B52" t="s">
        <v>27</v>
      </c>
      <c r="C52" s="106" t="s">
        <v>126</v>
      </c>
      <c r="D52">
        <v>4.5</v>
      </c>
    </row>
    <row r="53" spans="1:4" x14ac:dyDescent="0.3">
      <c r="A53" s="8">
        <v>45033</v>
      </c>
      <c r="B53" t="s">
        <v>136</v>
      </c>
      <c r="C53" s="106" t="s">
        <v>120</v>
      </c>
      <c r="D53">
        <v>8</v>
      </c>
    </row>
    <row r="54" spans="1:4" x14ac:dyDescent="0.3">
      <c r="A54" s="8">
        <v>45034</v>
      </c>
      <c r="B54" t="s">
        <v>136</v>
      </c>
      <c r="C54" s="106" t="s">
        <v>120</v>
      </c>
      <c r="D54">
        <v>3.5</v>
      </c>
    </row>
    <row r="55" spans="1:4" x14ac:dyDescent="0.3">
      <c r="A55" s="8">
        <v>45034</v>
      </c>
      <c r="B55" t="s">
        <v>136</v>
      </c>
      <c r="C55" s="106" t="s">
        <v>125</v>
      </c>
      <c r="D55">
        <v>3.5</v>
      </c>
    </row>
    <row r="56" spans="1:4" x14ac:dyDescent="0.3">
      <c r="A56" s="8">
        <v>45034</v>
      </c>
      <c r="B56" t="s">
        <v>136</v>
      </c>
      <c r="C56" s="106" t="s">
        <v>127</v>
      </c>
      <c r="D56">
        <v>3</v>
      </c>
    </row>
    <row r="57" spans="1:4" x14ac:dyDescent="0.3">
      <c r="A57" s="8">
        <v>45035</v>
      </c>
      <c r="B57" t="s">
        <v>136</v>
      </c>
      <c r="C57" s="106" t="s">
        <v>120</v>
      </c>
      <c r="D57">
        <v>4.5</v>
      </c>
    </row>
    <row r="58" spans="1:4" x14ac:dyDescent="0.3">
      <c r="A58" s="8">
        <v>45035</v>
      </c>
      <c r="B58" t="s">
        <v>136</v>
      </c>
      <c r="C58" s="106" t="s">
        <v>169</v>
      </c>
      <c r="D58">
        <v>4.5</v>
      </c>
    </row>
    <row r="59" spans="1:4" x14ac:dyDescent="0.3">
      <c r="A59" s="8">
        <v>45033</v>
      </c>
      <c r="B59" t="s">
        <v>26</v>
      </c>
      <c r="C59" s="106" t="s">
        <v>120</v>
      </c>
      <c r="D59">
        <v>8</v>
      </c>
    </row>
    <row r="60" spans="1:4" x14ac:dyDescent="0.3">
      <c r="A60" s="8">
        <v>45034</v>
      </c>
      <c r="B60" t="s">
        <v>26</v>
      </c>
      <c r="C60" s="106" t="s">
        <v>120</v>
      </c>
      <c r="D60">
        <v>3.5</v>
      </c>
    </row>
    <row r="61" spans="1:4" x14ac:dyDescent="0.3">
      <c r="A61" s="8">
        <v>45034</v>
      </c>
      <c r="B61" t="s">
        <v>26</v>
      </c>
      <c r="C61" s="106" t="s">
        <v>127</v>
      </c>
      <c r="D61">
        <v>4.5</v>
      </c>
    </row>
    <row r="62" spans="1:4" x14ac:dyDescent="0.3">
      <c r="A62" s="8">
        <v>45035</v>
      </c>
      <c r="B62" t="s">
        <v>26</v>
      </c>
      <c r="C62" s="106" t="s">
        <v>125</v>
      </c>
      <c r="D62">
        <v>8</v>
      </c>
    </row>
    <row r="63" spans="1:4" x14ac:dyDescent="0.3">
      <c r="A63" s="8">
        <v>45033</v>
      </c>
      <c r="B63" t="s">
        <v>68</v>
      </c>
      <c r="C63" s="106" t="s">
        <v>122</v>
      </c>
      <c r="D63">
        <v>10</v>
      </c>
    </row>
    <row r="64" spans="1:4" x14ac:dyDescent="0.3">
      <c r="A64" s="8">
        <v>45034</v>
      </c>
      <c r="B64" t="s">
        <v>68</v>
      </c>
      <c r="C64" s="106" t="s">
        <v>120</v>
      </c>
      <c r="D64">
        <v>4.5</v>
      </c>
    </row>
    <row r="65" spans="1:4" x14ac:dyDescent="0.3">
      <c r="A65" s="8">
        <v>45034</v>
      </c>
      <c r="B65" t="s">
        <v>68</v>
      </c>
      <c r="C65" s="106" t="s">
        <v>122</v>
      </c>
      <c r="D65">
        <v>2</v>
      </c>
    </row>
    <row r="66" spans="1:4" x14ac:dyDescent="0.3">
      <c r="A66" s="8">
        <v>45034</v>
      </c>
      <c r="B66" t="s">
        <v>68</v>
      </c>
      <c r="C66" s="106" t="s">
        <v>126</v>
      </c>
      <c r="D66">
        <v>1.5</v>
      </c>
    </row>
    <row r="67" spans="1:4" x14ac:dyDescent="0.3">
      <c r="A67" s="8">
        <v>45034</v>
      </c>
      <c r="B67" t="s">
        <v>68</v>
      </c>
      <c r="C67" s="106" t="s">
        <v>127</v>
      </c>
      <c r="D67">
        <v>2</v>
      </c>
    </row>
    <row r="68" spans="1:4" x14ac:dyDescent="0.3">
      <c r="A68" s="8">
        <v>45035</v>
      </c>
      <c r="B68" t="s">
        <v>68</v>
      </c>
      <c r="C68" s="106" t="s">
        <v>126</v>
      </c>
      <c r="D68">
        <v>3.5</v>
      </c>
    </row>
  </sheetData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9ED94-6F2A-45B9-9372-198ACD4058FB}">
  <sheetPr codeName="Hoja3"/>
  <dimension ref="B1:J2625"/>
  <sheetViews>
    <sheetView zoomScaleNormal="100" workbookViewId="0">
      <pane xSplit="1" topLeftCell="B1" activePane="topRight" state="frozen"/>
      <selection pane="topRight" activeCell="K13" sqref="D13:K13"/>
    </sheetView>
  </sheetViews>
  <sheetFormatPr baseColWidth="10" defaultRowHeight="14.4" x14ac:dyDescent="0.3"/>
  <cols>
    <col min="1" max="1" width="15.44140625" bestFit="1" customWidth="1"/>
    <col min="2" max="2" width="32.5546875" bestFit="1" customWidth="1"/>
    <col min="3" max="5" width="11.77734375" bestFit="1" customWidth="1"/>
    <col min="6" max="7" width="11.88671875" bestFit="1" customWidth="1"/>
    <col min="8" max="8" width="22.6640625" bestFit="1" customWidth="1"/>
    <col min="9" max="10" width="33.44140625" bestFit="1" customWidth="1"/>
  </cols>
  <sheetData>
    <row r="1" spans="2:10" x14ac:dyDescent="0.3">
      <c r="B1" t="s">
        <v>146</v>
      </c>
      <c r="C1" t="s">
        <v>147</v>
      </c>
      <c r="D1" t="s">
        <v>148</v>
      </c>
      <c r="E1" t="s">
        <v>149</v>
      </c>
      <c r="F1" t="s">
        <v>150</v>
      </c>
      <c r="G1" t="s">
        <v>151</v>
      </c>
      <c r="H1" t="s">
        <v>152</v>
      </c>
      <c r="I1" t="s">
        <v>153</v>
      </c>
      <c r="J1" t="s">
        <v>157</v>
      </c>
    </row>
    <row r="2" spans="2:10" x14ac:dyDescent="0.3">
      <c r="B2" s="79" t="s">
        <v>74</v>
      </c>
      <c r="C2" s="80">
        <v>70767712</v>
      </c>
      <c r="D2" s="80" t="s">
        <v>42</v>
      </c>
      <c r="E2" s="81" t="s">
        <v>20</v>
      </c>
      <c r="F2" s="80">
        <v>8</v>
      </c>
      <c r="G2" s="82">
        <v>95</v>
      </c>
      <c r="H2" s="78" t="e">
        <f>IF(BD_MOVD[[#This Row],[SISTEMA]]="SUELDO",BD_MOVD[[#This Row],[COSTO DIA]]*30,0)</f>
        <v>#VALUE!</v>
      </c>
      <c r="I2" s="82">
        <f>IFERROR(BD_MOVD[[#This Row],[COSTO DIA]]/BD_MOVD[[#This Row],[HR DE CONTRATO]],0)</f>
        <v>0</v>
      </c>
      <c r="J2" s="82" t="s">
        <v>69</v>
      </c>
    </row>
    <row r="3" spans="2:10" x14ac:dyDescent="0.3">
      <c r="B3" s="75" t="s">
        <v>71</v>
      </c>
      <c r="C3" s="76">
        <v>46191684</v>
      </c>
      <c r="D3" s="76" t="s">
        <v>31</v>
      </c>
      <c r="E3" s="77" t="s">
        <v>20</v>
      </c>
      <c r="F3" s="76">
        <v>8</v>
      </c>
      <c r="G3" s="78">
        <v>95</v>
      </c>
      <c r="H3" s="78">
        <f>IF(BD_MOVD[[#This Row],[SISTEMA]]="SUELDO",BD_MOVD[[#This Row],[COSTO DIA]]*30,0)</f>
        <v>0</v>
      </c>
      <c r="I3" s="78">
        <f>IFERROR(BD_MOVD[[#This Row],[COSTO DIA]]/BD_MOVD[[#This Row],[HR DE CONTRATO]],0)</f>
        <v>5</v>
      </c>
      <c r="J3" s="78" t="s">
        <v>69</v>
      </c>
    </row>
    <row r="4" spans="2:10" x14ac:dyDescent="0.3">
      <c r="B4" s="79" t="s">
        <v>70</v>
      </c>
      <c r="C4" s="80">
        <v>32924560</v>
      </c>
      <c r="D4" s="80" t="s">
        <v>35</v>
      </c>
      <c r="E4" s="81" t="s">
        <v>20</v>
      </c>
      <c r="F4" s="80">
        <v>8</v>
      </c>
      <c r="G4" s="82">
        <v>105</v>
      </c>
      <c r="H4" s="82">
        <f>IF(BD_MOVD[[#This Row],[SISTEMA]]="SUELDO",BD_MOVD[[#This Row],[COSTO DIA]]*30,0)</f>
        <v>0</v>
      </c>
      <c r="I4" s="82">
        <f>IFERROR(BD_MOVD[[#This Row],[COSTO DIA]]/BD_MOVD[[#This Row],[HR DE CONTRATO]],0)</f>
        <v>6.25</v>
      </c>
      <c r="J4" s="82" t="s">
        <v>69</v>
      </c>
    </row>
    <row r="5" spans="2:10" x14ac:dyDescent="0.3">
      <c r="B5" s="75" t="s">
        <v>10</v>
      </c>
      <c r="C5" s="76">
        <v>18901067</v>
      </c>
      <c r="D5" s="76" t="s">
        <v>42</v>
      </c>
      <c r="E5" s="77" t="s">
        <v>20</v>
      </c>
      <c r="F5" s="76">
        <v>8</v>
      </c>
      <c r="G5" s="78">
        <v>95</v>
      </c>
      <c r="H5" s="78">
        <f>IF(BD_MOVD[[#This Row],[SISTEMA]]="SUELDO",BD_MOVD[[#This Row],[COSTO DIA]]*30,0)</f>
        <v>0</v>
      </c>
      <c r="I5" s="78">
        <f>IFERROR(BD_MOVD[[#This Row],[COSTO DIA]]/BD_MOVD[[#This Row],[HR DE CONTRATO]],0)</f>
        <v>6.25</v>
      </c>
      <c r="J5" s="78" t="s">
        <v>69</v>
      </c>
    </row>
    <row r="6" spans="2:10" x14ac:dyDescent="0.3">
      <c r="B6" s="28" t="s">
        <v>84</v>
      </c>
      <c r="C6" s="28">
        <v>44584507</v>
      </c>
      <c r="D6" s="28" t="s">
        <v>77</v>
      </c>
      <c r="E6" s="19" t="s">
        <v>20</v>
      </c>
      <c r="F6" s="28">
        <v>8</v>
      </c>
      <c r="G6" s="29">
        <v>120</v>
      </c>
      <c r="H6" s="20">
        <f>G6*30</f>
        <v>3600</v>
      </c>
      <c r="I6" s="20">
        <f>G6/F6</f>
        <v>15</v>
      </c>
      <c r="J6" s="20" t="s">
        <v>69</v>
      </c>
    </row>
    <row r="7" spans="2:10" x14ac:dyDescent="0.3">
      <c r="B7" s="79" t="s">
        <v>72</v>
      </c>
      <c r="C7" s="80">
        <v>18857590</v>
      </c>
      <c r="D7" s="80" t="s">
        <v>31</v>
      </c>
      <c r="E7" s="81" t="s">
        <v>20</v>
      </c>
      <c r="F7" s="80">
        <v>8</v>
      </c>
      <c r="G7" s="82">
        <v>95</v>
      </c>
      <c r="H7" s="82">
        <f>IF(BD_MOVD[[#This Row],[SISTEMA]]="SUELDO",BD_MOVD[[#This Row],[COSTO DIA]]*30,0)</f>
        <v>0</v>
      </c>
      <c r="I7" s="82">
        <f>IFERROR(BD_MOVD[[#This Row],[COSTO DIA]]/BD_MOVD[[#This Row],[HR DE CONTRATO]],0)</f>
        <v>7.5</v>
      </c>
      <c r="J7" s="82" t="s">
        <v>69</v>
      </c>
    </row>
    <row r="8" spans="2:10" x14ac:dyDescent="0.3">
      <c r="B8" s="79" t="s">
        <v>75</v>
      </c>
      <c r="C8" s="80">
        <v>44242287</v>
      </c>
      <c r="D8" s="80" t="s">
        <v>42</v>
      </c>
      <c r="E8" s="81" t="s">
        <v>20</v>
      </c>
      <c r="F8" s="80">
        <v>8</v>
      </c>
      <c r="G8" s="82">
        <v>95</v>
      </c>
      <c r="H8" s="82">
        <f>IF(BD_MOVD[[#This Row],[SISTEMA]]="SUELDO",BD_MOVD[[#This Row],[COSTO DIA]]*30,0)</f>
        <v>0</v>
      </c>
      <c r="I8" s="82">
        <f>IFERROR(BD_MOVD[[#This Row],[COSTO DIA]]/BD_MOVD[[#This Row],[HR DE CONTRATO]],0)</f>
        <v>7.5</v>
      </c>
      <c r="J8" s="82" t="s">
        <v>69</v>
      </c>
    </row>
    <row r="9" spans="2:10" x14ac:dyDescent="0.3">
      <c r="B9" s="75" t="s">
        <v>68</v>
      </c>
      <c r="C9" s="76">
        <v>41555424</v>
      </c>
      <c r="D9" s="76" t="s">
        <v>35</v>
      </c>
      <c r="E9" s="77" t="s">
        <v>20</v>
      </c>
      <c r="F9" s="76">
        <v>8</v>
      </c>
      <c r="G9" s="78">
        <v>95</v>
      </c>
      <c r="H9" s="78">
        <f>IF(BD_MOVD[[#This Row],[SISTEMA]]="SUELDO",BD_MOVD[[#This Row],[COSTO DIA]]*30,0)</f>
        <v>0</v>
      </c>
      <c r="I9" s="78">
        <f>IFERROR(BD_MOVD[[#This Row],[COSTO DIA]]/BD_MOVD[[#This Row],[HR DE CONTRATO]],0)</f>
        <v>8.75</v>
      </c>
      <c r="J9" s="78" t="s">
        <v>69</v>
      </c>
    </row>
    <row r="10" spans="2:10" x14ac:dyDescent="0.3">
      <c r="B10" s="75" t="s">
        <v>73</v>
      </c>
      <c r="C10" s="76">
        <v>18901373</v>
      </c>
      <c r="D10" s="76" t="s">
        <v>31</v>
      </c>
      <c r="E10" s="77" t="s">
        <v>20</v>
      </c>
      <c r="F10" s="76">
        <v>8</v>
      </c>
      <c r="G10" s="78">
        <v>95</v>
      </c>
      <c r="H10" s="78">
        <f>IF(BD_MOVD[[#This Row],[SISTEMA]]="SUELDO",BD_MOVD[[#This Row],[COSTO DIA]]*30,0)</f>
        <v>0</v>
      </c>
      <c r="I10" s="78">
        <f>IFERROR(BD_MOVD[[#This Row],[COSTO DIA]]/BD_MOVD[[#This Row],[HR DE CONTRATO]],0)</f>
        <v>11.25</v>
      </c>
      <c r="J10" s="78" t="s">
        <v>69</v>
      </c>
    </row>
    <row r="2535" spans="2:5" x14ac:dyDescent="0.3">
      <c r="B2535" s="93">
        <v>1</v>
      </c>
      <c r="C2535" s="93">
        <v>1</v>
      </c>
      <c r="D2535" s="94" t="s">
        <v>160</v>
      </c>
      <c r="E2535" s="94"/>
    </row>
    <row r="2536" spans="2:5" x14ac:dyDescent="0.3">
      <c r="B2536" s="93">
        <v>2</v>
      </c>
      <c r="C2536" s="93">
        <v>1</v>
      </c>
      <c r="D2536" s="94" t="s">
        <v>160</v>
      </c>
      <c r="E2536" s="94"/>
    </row>
    <row r="2537" spans="2:5" x14ac:dyDescent="0.3">
      <c r="B2537" s="93">
        <v>3</v>
      </c>
      <c r="C2537" s="93">
        <v>1</v>
      </c>
      <c r="D2537" s="94" t="s">
        <v>160</v>
      </c>
      <c r="E2537" s="94"/>
    </row>
    <row r="2538" spans="2:5" x14ac:dyDescent="0.3">
      <c r="B2538" s="93">
        <v>4</v>
      </c>
      <c r="C2538" s="93">
        <v>1</v>
      </c>
      <c r="D2538" s="94" t="s">
        <v>160</v>
      </c>
      <c r="E2538" s="94"/>
    </row>
    <row r="2539" spans="2:5" x14ac:dyDescent="0.3">
      <c r="B2539" s="93">
        <v>5</v>
      </c>
      <c r="C2539" s="93">
        <v>1</v>
      </c>
      <c r="D2539" s="94" t="s">
        <v>160</v>
      </c>
      <c r="E2539" s="94"/>
    </row>
    <row r="2540" spans="2:5" x14ac:dyDescent="0.3">
      <c r="B2540" s="93">
        <v>6</v>
      </c>
      <c r="C2540" s="93">
        <v>1</v>
      </c>
      <c r="D2540" s="94" t="s">
        <v>160</v>
      </c>
      <c r="E2540" s="94"/>
    </row>
    <row r="2541" spans="2:5" x14ac:dyDescent="0.3">
      <c r="B2541" s="93">
        <v>7</v>
      </c>
      <c r="C2541" s="93">
        <v>1</v>
      </c>
      <c r="D2541" s="94" t="s">
        <v>160</v>
      </c>
      <c r="E2541" s="94"/>
    </row>
    <row r="2542" spans="2:5" x14ac:dyDescent="0.3">
      <c r="B2542" s="93">
        <v>8</v>
      </c>
      <c r="C2542" s="93">
        <v>1</v>
      </c>
      <c r="D2542" s="94" t="s">
        <v>160</v>
      </c>
      <c r="E2542" s="94"/>
    </row>
    <row r="2543" spans="2:5" x14ac:dyDescent="0.3">
      <c r="B2543" s="93">
        <v>9</v>
      </c>
      <c r="C2543" s="93">
        <v>1</v>
      </c>
      <c r="D2543" s="94" t="s">
        <v>160</v>
      </c>
      <c r="E2543" s="94"/>
    </row>
    <row r="2544" spans="2:5" x14ac:dyDescent="0.3">
      <c r="B2544" s="93">
        <v>10</v>
      </c>
      <c r="C2544" s="93">
        <v>1</v>
      </c>
      <c r="D2544" s="94" t="s">
        <v>160</v>
      </c>
      <c r="E2544" s="94"/>
    </row>
    <row r="2545" spans="2:5" x14ac:dyDescent="0.3">
      <c r="B2545" s="93">
        <v>11</v>
      </c>
      <c r="C2545" s="93">
        <v>1</v>
      </c>
      <c r="D2545" s="94" t="s">
        <v>160</v>
      </c>
      <c r="E2545" s="94"/>
    </row>
    <row r="2546" spans="2:5" x14ac:dyDescent="0.3">
      <c r="B2546" s="93">
        <v>12</v>
      </c>
      <c r="C2546" s="93">
        <v>1</v>
      </c>
      <c r="D2546" s="94" t="s">
        <v>160</v>
      </c>
      <c r="E2546" s="94"/>
    </row>
    <row r="2547" spans="2:5" x14ac:dyDescent="0.3">
      <c r="B2547" s="93">
        <v>13</v>
      </c>
      <c r="C2547" s="93">
        <v>1</v>
      </c>
      <c r="D2547" s="94" t="s">
        <v>160</v>
      </c>
      <c r="E2547" s="94"/>
    </row>
    <row r="2548" spans="2:5" x14ac:dyDescent="0.3">
      <c r="B2548" s="93">
        <v>14</v>
      </c>
      <c r="C2548" s="93">
        <v>1</v>
      </c>
      <c r="D2548" s="94" t="s">
        <v>160</v>
      </c>
      <c r="E2548" s="94"/>
    </row>
    <row r="2549" spans="2:5" x14ac:dyDescent="0.3">
      <c r="B2549" s="93">
        <v>15</v>
      </c>
      <c r="C2549" s="93">
        <v>1</v>
      </c>
      <c r="D2549" s="94"/>
      <c r="E2549" s="94" t="s">
        <v>161</v>
      </c>
    </row>
    <row r="2550" spans="2:5" x14ac:dyDescent="0.3">
      <c r="B2550" s="93">
        <v>16</v>
      </c>
      <c r="C2550" s="93">
        <v>1</v>
      </c>
      <c r="D2550" s="94"/>
      <c r="E2550" s="94" t="s">
        <v>161</v>
      </c>
    </row>
    <row r="2551" spans="2:5" x14ac:dyDescent="0.3">
      <c r="B2551" s="93">
        <v>17</v>
      </c>
      <c r="C2551" s="93">
        <v>1</v>
      </c>
      <c r="D2551" s="94"/>
      <c r="E2551" s="94" t="s">
        <v>161</v>
      </c>
    </row>
    <row r="2552" spans="2:5" x14ac:dyDescent="0.3">
      <c r="B2552" s="93">
        <v>18</v>
      </c>
      <c r="C2552" s="93">
        <v>1</v>
      </c>
      <c r="D2552" s="94"/>
      <c r="E2552" s="94" t="s">
        <v>161</v>
      </c>
    </row>
    <row r="2553" spans="2:5" x14ac:dyDescent="0.3">
      <c r="B2553" s="93">
        <v>19</v>
      </c>
      <c r="C2553" s="93">
        <v>1</v>
      </c>
      <c r="D2553" s="94"/>
      <c r="E2553" s="94" t="s">
        <v>161</v>
      </c>
    </row>
    <row r="2554" spans="2:5" x14ac:dyDescent="0.3">
      <c r="B2554" s="93">
        <v>20</v>
      </c>
      <c r="C2554" s="93">
        <v>1</v>
      </c>
      <c r="D2554" s="94"/>
      <c r="E2554" s="94" t="s">
        <v>161</v>
      </c>
    </row>
    <row r="2555" spans="2:5" x14ac:dyDescent="0.3">
      <c r="B2555" s="93">
        <v>21</v>
      </c>
      <c r="C2555" s="93">
        <v>1</v>
      </c>
      <c r="D2555" s="94"/>
      <c r="E2555" s="94" t="s">
        <v>161</v>
      </c>
    </row>
    <row r="2556" spans="2:5" x14ac:dyDescent="0.3">
      <c r="B2556" s="93">
        <v>22</v>
      </c>
      <c r="C2556" s="93">
        <v>1</v>
      </c>
      <c r="D2556" s="94" t="s">
        <v>160</v>
      </c>
      <c r="E2556" s="94"/>
    </row>
    <row r="2557" spans="2:5" x14ac:dyDescent="0.3">
      <c r="B2557" s="93">
        <v>23</v>
      </c>
      <c r="C2557" s="93">
        <v>1</v>
      </c>
      <c r="D2557" s="94" t="s">
        <v>160</v>
      </c>
      <c r="E2557" s="94"/>
    </row>
    <row r="2558" spans="2:5" x14ac:dyDescent="0.3">
      <c r="B2558" s="93">
        <v>24</v>
      </c>
      <c r="C2558" s="93">
        <v>1</v>
      </c>
      <c r="D2558" s="94" t="s">
        <v>160</v>
      </c>
      <c r="E2558" s="94"/>
    </row>
    <row r="2559" spans="2:5" x14ac:dyDescent="0.3">
      <c r="B2559" s="93">
        <v>25</v>
      </c>
      <c r="C2559" s="93">
        <v>1</v>
      </c>
      <c r="D2559" s="94" t="s">
        <v>160</v>
      </c>
      <c r="E2559" s="94"/>
    </row>
    <row r="2560" spans="2:5" x14ac:dyDescent="0.3">
      <c r="B2560" s="93">
        <v>26</v>
      </c>
      <c r="C2560" s="93">
        <v>1</v>
      </c>
      <c r="D2560" s="94" t="s">
        <v>160</v>
      </c>
      <c r="E2560" s="94"/>
    </row>
    <row r="2561" spans="2:7" x14ac:dyDescent="0.3">
      <c r="B2561" s="93">
        <v>27</v>
      </c>
      <c r="C2561" s="93">
        <v>1</v>
      </c>
      <c r="D2561" s="94" t="s">
        <v>160</v>
      </c>
      <c r="E2561" s="94"/>
    </row>
    <row r="2562" spans="2:7" x14ac:dyDescent="0.3">
      <c r="B2562" s="93">
        <v>28</v>
      </c>
      <c r="C2562" s="93">
        <v>1</v>
      </c>
      <c r="D2562" s="94" t="s">
        <v>160</v>
      </c>
      <c r="E2562" s="94"/>
    </row>
    <row r="2563" spans="2:7" x14ac:dyDescent="0.3">
      <c r="B2563" s="93">
        <v>29</v>
      </c>
      <c r="C2563" s="93">
        <v>1</v>
      </c>
      <c r="D2563" s="95" t="s">
        <v>160</v>
      </c>
      <c r="E2563" s="95"/>
    </row>
    <row r="2564" spans="2:7" x14ac:dyDescent="0.3">
      <c r="B2564" s="93">
        <v>30</v>
      </c>
      <c r="C2564" s="93">
        <v>1</v>
      </c>
      <c r="D2564" s="95" t="s">
        <v>160</v>
      </c>
      <c r="E2564" s="95"/>
    </row>
    <row r="2565" spans="2:7" x14ac:dyDescent="0.3">
      <c r="B2565" s="93">
        <v>31</v>
      </c>
      <c r="C2565" s="93">
        <v>1</v>
      </c>
      <c r="D2565" s="95" t="s">
        <v>160</v>
      </c>
      <c r="E2565" s="95"/>
    </row>
    <row r="2566" spans="2:7" x14ac:dyDescent="0.3">
      <c r="B2566" s="93">
        <v>32</v>
      </c>
      <c r="C2566" s="93">
        <v>1</v>
      </c>
      <c r="D2566" s="95" t="s">
        <v>160</v>
      </c>
      <c r="E2566" s="95"/>
    </row>
    <row r="2567" spans="2:7" x14ac:dyDescent="0.3">
      <c r="B2567" s="93">
        <v>33</v>
      </c>
      <c r="C2567" s="93">
        <v>1</v>
      </c>
      <c r="D2567" s="95" t="s">
        <v>160</v>
      </c>
      <c r="E2567" s="95"/>
    </row>
    <row r="2568" spans="2:7" x14ac:dyDescent="0.3">
      <c r="B2568" s="93">
        <v>34</v>
      </c>
      <c r="C2568" s="93">
        <v>1</v>
      </c>
      <c r="D2568" s="95" t="s">
        <v>160</v>
      </c>
      <c r="E2568" s="95"/>
    </row>
    <row r="2569" spans="2:7" x14ac:dyDescent="0.3">
      <c r="B2569" s="93">
        <v>35</v>
      </c>
      <c r="C2569" s="93">
        <v>1</v>
      </c>
      <c r="D2569" s="95" t="s">
        <v>160</v>
      </c>
      <c r="E2569" s="95"/>
    </row>
    <row r="2570" spans="2:7" x14ac:dyDescent="0.3">
      <c r="B2570" s="93">
        <v>36</v>
      </c>
      <c r="C2570" s="93">
        <v>1</v>
      </c>
      <c r="D2570" s="95"/>
      <c r="E2570" s="95" t="s">
        <v>161</v>
      </c>
    </row>
    <row r="2571" spans="2:7" x14ac:dyDescent="0.3">
      <c r="B2571" s="93">
        <v>37</v>
      </c>
      <c r="C2571" s="93">
        <v>1</v>
      </c>
      <c r="D2571" s="95"/>
      <c r="E2571" s="95" t="s">
        <v>161</v>
      </c>
    </row>
    <row r="2572" spans="2:7" x14ac:dyDescent="0.3">
      <c r="B2572" s="93">
        <v>38</v>
      </c>
      <c r="C2572" s="93">
        <v>1</v>
      </c>
      <c r="D2572" s="95"/>
      <c r="E2572" s="95" t="s">
        <v>161</v>
      </c>
    </row>
    <row r="2573" spans="2:7" x14ac:dyDescent="0.3">
      <c r="B2573" s="93">
        <v>39</v>
      </c>
      <c r="C2573" s="93">
        <v>1</v>
      </c>
      <c r="D2573" s="95"/>
      <c r="E2573" s="95" t="s">
        <v>161</v>
      </c>
    </row>
    <row r="2574" spans="2:7" x14ac:dyDescent="0.3">
      <c r="B2574" s="93">
        <v>40</v>
      </c>
      <c r="C2574" s="93">
        <v>1</v>
      </c>
      <c r="D2574" s="95"/>
      <c r="E2574" s="95" t="s">
        <v>161</v>
      </c>
    </row>
    <row r="2575" spans="2:7" x14ac:dyDescent="0.3">
      <c r="D2575" s="93">
        <v>41</v>
      </c>
      <c r="E2575" s="93">
        <v>1</v>
      </c>
      <c r="F2575" s="95"/>
      <c r="G2575" s="95" t="s">
        <v>161</v>
      </c>
    </row>
    <row r="2576" spans="2:7" x14ac:dyDescent="0.3">
      <c r="D2576" s="93">
        <v>42</v>
      </c>
      <c r="E2576" s="93">
        <v>1</v>
      </c>
      <c r="F2576" s="95"/>
      <c r="G2576" s="95" t="s">
        <v>161</v>
      </c>
    </row>
    <row r="2577" spans="2:7" x14ac:dyDescent="0.3">
      <c r="D2577" s="93">
        <v>43</v>
      </c>
      <c r="E2577" s="93">
        <v>1</v>
      </c>
      <c r="F2577" s="95" t="s">
        <v>160</v>
      </c>
      <c r="G2577" s="95"/>
    </row>
    <row r="2578" spans="2:7" x14ac:dyDescent="0.3">
      <c r="D2578" s="93">
        <v>44</v>
      </c>
      <c r="E2578" s="93">
        <v>1</v>
      </c>
      <c r="F2578" s="95" t="s">
        <v>160</v>
      </c>
      <c r="G2578" s="95"/>
    </row>
    <row r="2579" spans="2:7" x14ac:dyDescent="0.3">
      <c r="D2579" s="93">
        <v>45</v>
      </c>
      <c r="E2579" s="93">
        <v>1</v>
      </c>
      <c r="F2579" s="95" t="s">
        <v>160</v>
      </c>
      <c r="G2579" s="95"/>
    </row>
    <row r="2580" spans="2:7" x14ac:dyDescent="0.3">
      <c r="D2580" s="93">
        <v>46</v>
      </c>
      <c r="E2580" s="93">
        <v>1</v>
      </c>
      <c r="F2580" s="95" t="s">
        <v>160</v>
      </c>
      <c r="G2580" s="95"/>
    </row>
    <row r="2581" spans="2:7" x14ac:dyDescent="0.3">
      <c r="D2581" s="93">
        <v>47</v>
      </c>
      <c r="E2581" s="93">
        <v>1</v>
      </c>
      <c r="F2581" s="95" t="s">
        <v>160</v>
      </c>
      <c r="G2581" s="95"/>
    </row>
    <row r="2582" spans="2:7" x14ac:dyDescent="0.3">
      <c r="D2582" s="93">
        <v>48</v>
      </c>
      <c r="E2582" s="93">
        <v>1</v>
      </c>
      <c r="F2582" s="95" t="s">
        <v>160</v>
      </c>
      <c r="G2582" s="95"/>
    </row>
    <row r="2583" spans="2:7" x14ac:dyDescent="0.3">
      <c r="D2583" s="93">
        <v>49</v>
      </c>
      <c r="E2583" s="93">
        <v>1</v>
      </c>
      <c r="F2583" s="95" t="s">
        <v>160</v>
      </c>
      <c r="G2583" s="95"/>
    </row>
    <row r="2584" spans="2:7" x14ac:dyDescent="0.3">
      <c r="D2584" s="93">
        <v>50</v>
      </c>
      <c r="E2584" s="93">
        <v>1</v>
      </c>
      <c r="F2584" s="95" t="s">
        <v>160</v>
      </c>
      <c r="G2584" s="95"/>
    </row>
    <row r="2585" spans="2:7" x14ac:dyDescent="0.3">
      <c r="D2585" s="93">
        <v>51</v>
      </c>
      <c r="E2585" s="93">
        <v>1</v>
      </c>
      <c r="F2585" s="95" t="s">
        <v>160</v>
      </c>
      <c r="G2585" s="95"/>
    </row>
    <row r="2586" spans="2:7" x14ac:dyDescent="0.3">
      <c r="D2586" s="93">
        <v>52</v>
      </c>
      <c r="E2586" s="93">
        <v>1</v>
      </c>
      <c r="F2586" s="95" t="s">
        <v>160</v>
      </c>
      <c r="G2586" s="95"/>
    </row>
    <row r="2587" spans="2:7" x14ac:dyDescent="0.3">
      <c r="D2587" s="93">
        <v>53</v>
      </c>
      <c r="E2587" s="93">
        <v>1</v>
      </c>
      <c r="F2587" s="95" t="s">
        <v>160</v>
      </c>
      <c r="G2587" s="95"/>
    </row>
    <row r="2588" spans="2:7" x14ac:dyDescent="0.3">
      <c r="D2588" s="93">
        <v>54</v>
      </c>
      <c r="E2588" s="93">
        <v>1</v>
      </c>
      <c r="F2588" s="95" t="s">
        <v>160</v>
      </c>
      <c r="G2588" s="95"/>
    </row>
    <row r="2589" spans="2:7" x14ac:dyDescent="0.3">
      <c r="D2589" s="93">
        <v>55</v>
      </c>
      <c r="E2589" s="93">
        <v>1</v>
      </c>
      <c r="F2589" s="95" t="s">
        <v>160</v>
      </c>
      <c r="G2589" s="95"/>
    </row>
    <row r="2590" spans="2:7" x14ac:dyDescent="0.3">
      <c r="D2590" s="93">
        <v>56</v>
      </c>
      <c r="E2590" s="93">
        <v>1</v>
      </c>
      <c r="F2590" s="95" t="s">
        <v>160</v>
      </c>
      <c r="G2590" s="95"/>
    </row>
    <row r="2591" spans="2:7" x14ac:dyDescent="0.3">
      <c r="D2591" s="93">
        <v>57</v>
      </c>
      <c r="E2591" s="93">
        <v>1</v>
      </c>
      <c r="F2591" s="96" t="s">
        <v>160</v>
      </c>
      <c r="G2591" s="96"/>
    </row>
    <row r="2592" spans="2:7" x14ac:dyDescent="0.3">
      <c r="B2592" s="93">
        <v>58</v>
      </c>
      <c r="C2592" s="93">
        <v>1</v>
      </c>
      <c r="D2592" s="96" t="s">
        <v>160</v>
      </c>
      <c r="E2592" s="96"/>
    </row>
    <row r="2593" spans="2:7" x14ac:dyDescent="0.3">
      <c r="B2593" s="93">
        <v>59</v>
      </c>
      <c r="C2593" s="93">
        <v>1</v>
      </c>
      <c r="D2593" s="96" t="s">
        <v>160</v>
      </c>
      <c r="E2593" s="96"/>
    </row>
    <row r="2594" spans="2:7" x14ac:dyDescent="0.3">
      <c r="B2594" s="93">
        <v>60</v>
      </c>
      <c r="C2594" s="93">
        <v>1</v>
      </c>
      <c r="D2594" s="96" t="s">
        <v>160</v>
      </c>
      <c r="E2594" s="96"/>
    </row>
    <row r="2595" spans="2:7" x14ac:dyDescent="0.3">
      <c r="B2595" s="93">
        <v>61</v>
      </c>
      <c r="C2595" s="93">
        <v>1</v>
      </c>
      <c r="D2595" s="96" t="s">
        <v>160</v>
      </c>
      <c r="E2595" s="96"/>
    </row>
    <row r="2596" spans="2:7" x14ac:dyDescent="0.3">
      <c r="B2596" s="93">
        <v>62</v>
      </c>
      <c r="C2596" s="93">
        <v>1</v>
      </c>
      <c r="D2596" s="96" t="s">
        <v>160</v>
      </c>
      <c r="E2596" s="96"/>
    </row>
    <row r="2597" spans="2:7" x14ac:dyDescent="0.3">
      <c r="B2597" s="93">
        <v>63</v>
      </c>
      <c r="C2597" s="93">
        <v>1</v>
      </c>
      <c r="D2597" s="96" t="s">
        <v>160</v>
      </c>
      <c r="E2597" s="96"/>
    </row>
    <row r="2598" spans="2:7" x14ac:dyDescent="0.3">
      <c r="B2598" s="93">
        <v>64</v>
      </c>
      <c r="C2598" s="93">
        <v>1</v>
      </c>
      <c r="D2598" s="96" t="s">
        <v>160</v>
      </c>
      <c r="E2598" s="96"/>
    </row>
    <row r="2599" spans="2:7" x14ac:dyDescent="0.3">
      <c r="B2599" s="93">
        <v>65</v>
      </c>
      <c r="C2599" s="93">
        <v>1</v>
      </c>
      <c r="D2599" s="96" t="s">
        <v>160</v>
      </c>
      <c r="E2599" s="96"/>
    </row>
    <row r="2600" spans="2:7" x14ac:dyDescent="0.3">
      <c r="B2600" s="93">
        <v>66</v>
      </c>
      <c r="C2600" s="93">
        <v>1</v>
      </c>
      <c r="D2600" s="96" t="s">
        <v>160</v>
      </c>
      <c r="E2600" s="96"/>
    </row>
    <row r="2601" spans="2:7" x14ac:dyDescent="0.3">
      <c r="B2601" s="93">
        <v>67</v>
      </c>
      <c r="C2601" s="93">
        <v>1</v>
      </c>
      <c r="D2601" s="96" t="s">
        <v>160</v>
      </c>
      <c r="E2601" s="96"/>
    </row>
    <row r="2602" spans="2:7" x14ac:dyDescent="0.3">
      <c r="B2602" s="93">
        <v>68</v>
      </c>
      <c r="C2602" s="93">
        <v>1</v>
      </c>
      <c r="D2602" s="96" t="s">
        <v>160</v>
      </c>
      <c r="E2602" s="96"/>
    </row>
    <row r="2603" spans="2:7" x14ac:dyDescent="0.3">
      <c r="B2603" s="93">
        <v>69</v>
      </c>
      <c r="C2603" s="93">
        <v>1</v>
      </c>
      <c r="D2603" s="96" t="s">
        <v>160</v>
      </c>
      <c r="E2603" s="96"/>
    </row>
    <row r="2604" spans="2:7" x14ac:dyDescent="0.3">
      <c r="B2604" s="93">
        <v>70</v>
      </c>
      <c r="C2604" s="93">
        <v>1</v>
      </c>
      <c r="D2604" s="96" t="s">
        <v>160</v>
      </c>
      <c r="E2604" s="96"/>
    </row>
    <row r="2605" spans="2:7" x14ac:dyDescent="0.3">
      <c r="D2605" s="93">
        <v>71</v>
      </c>
      <c r="E2605" s="93">
        <v>1</v>
      </c>
      <c r="F2605" s="96" t="s">
        <v>160</v>
      </c>
      <c r="G2605" s="96"/>
    </row>
    <row r="2606" spans="2:7" x14ac:dyDescent="0.3">
      <c r="D2606" s="93">
        <v>72</v>
      </c>
      <c r="E2606" s="93">
        <v>1</v>
      </c>
      <c r="F2606" s="96"/>
      <c r="G2606" s="96" t="s">
        <v>161</v>
      </c>
    </row>
    <row r="2607" spans="2:7" x14ac:dyDescent="0.3">
      <c r="D2607" s="93">
        <v>73</v>
      </c>
      <c r="E2607" s="93">
        <v>1</v>
      </c>
      <c r="F2607" s="96"/>
      <c r="G2607" s="96" t="s">
        <v>161</v>
      </c>
    </row>
    <row r="2608" spans="2:7" x14ac:dyDescent="0.3">
      <c r="D2608" s="93">
        <v>74</v>
      </c>
      <c r="E2608" s="93">
        <v>1</v>
      </c>
      <c r="F2608" s="96"/>
      <c r="G2608" s="96" t="s">
        <v>161</v>
      </c>
    </row>
    <row r="2609" spans="4:9" x14ac:dyDescent="0.3">
      <c r="D2609" s="93">
        <v>75</v>
      </c>
      <c r="E2609" s="93">
        <v>1</v>
      </c>
      <c r="F2609" s="96" t="s">
        <v>160</v>
      </c>
      <c r="G2609" s="96"/>
    </row>
    <row r="2610" spans="4:9" x14ac:dyDescent="0.3">
      <c r="D2610" s="93">
        <v>76</v>
      </c>
      <c r="E2610" s="93">
        <v>1</v>
      </c>
      <c r="F2610" s="96" t="s">
        <v>160</v>
      </c>
      <c r="G2610" s="96"/>
    </row>
    <row r="2611" spans="4:9" x14ac:dyDescent="0.3">
      <c r="D2611" s="93">
        <v>77</v>
      </c>
      <c r="E2611" s="93">
        <v>1</v>
      </c>
      <c r="F2611" s="96" t="s">
        <v>160</v>
      </c>
      <c r="G2611" s="96"/>
    </row>
    <row r="2612" spans="4:9" x14ac:dyDescent="0.3">
      <c r="D2612" s="93">
        <v>78</v>
      </c>
      <c r="E2612" s="93">
        <v>1</v>
      </c>
      <c r="F2612" s="96" t="s">
        <v>160</v>
      </c>
      <c r="G2612" s="96"/>
    </row>
    <row r="2613" spans="4:9" x14ac:dyDescent="0.3">
      <c r="D2613" s="93">
        <v>79</v>
      </c>
      <c r="E2613" s="93">
        <v>1</v>
      </c>
      <c r="F2613" s="96" t="s">
        <v>160</v>
      </c>
      <c r="G2613" s="96"/>
    </row>
    <row r="2614" spans="4:9" x14ac:dyDescent="0.3">
      <c r="D2614" s="93">
        <v>80</v>
      </c>
      <c r="E2614" s="93">
        <v>1</v>
      </c>
      <c r="F2614" s="96" t="s">
        <v>160</v>
      </c>
      <c r="G2614" s="96"/>
    </row>
    <row r="2615" spans="4:9" x14ac:dyDescent="0.3">
      <c r="D2615" s="93">
        <v>81</v>
      </c>
      <c r="E2615" s="93">
        <v>1</v>
      </c>
      <c r="F2615" s="96" t="s">
        <v>160</v>
      </c>
      <c r="G2615" s="96"/>
    </row>
    <row r="2616" spans="4:9" x14ac:dyDescent="0.3">
      <c r="D2616" s="93">
        <v>82</v>
      </c>
      <c r="E2616" s="93">
        <v>1</v>
      </c>
      <c r="F2616" s="96" t="s">
        <v>160</v>
      </c>
      <c r="G2616" s="96"/>
    </row>
    <row r="2617" spans="4:9" x14ac:dyDescent="0.3">
      <c r="D2617" s="93">
        <v>83</v>
      </c>
      <c r="E2617" s="93">
        <v>1</v>
      </c>
      <c r="F2617" s="96" t="s">
        <v>160</v>
      </c>
      <c r="G2617" s="96"/>
    </row>
    <row r="2618" spans="4:9" x14ac:dyDescent="0.3">
      <c r="D2618" s="93">
        <v>84</v>
      </c>
      <c r="E2618" s="93">
        <v>1</v>
      </c>
      <c r="F2618" s="96"/>
      <c r="G2618" s="96" t="s">
        <v>161</v>
      </c>
    </row>
    <row r="2619" spans="4:9" x14ac:dyDescent="0.3">
      <c r="D2619">
        <v>85</v>
      </c>
      <c r="H2619" t="s">
        <v>162</v>
      </c>
      <c r="I2619" t="s">
        <v>163</v>
      </c>
    </row>
    <row r="2620" spans="4:9" x14ac:dyDescent="0.3">
      <c r="E2620">
        <f>SUM(E2535:E2619)</f>
        <v>31</v>
      </c>
      <c r="F2620">
        <f>COUNTA(F2535:F2619)</f>
        <v>25</v>
      </c>
      <c r="G2620">
        <f>COUNTA(G2535:G2619)</f>
        <v>6</v>
      </c>
      <c r="H2620" s="2">
        <f>IF((F2620/3-COUNTA(G2535:G2619))*3&gt;0,0,-(F2620/3-COUNTA(G2535:G2619))*3)</f>
        <v>0</v>
      </c>
      <c r="I2620" s="2">
        <f>IF(F2620/3-COUNTA(G2535:G2619)&lt;0,0,F2620/3-COUNTA(G2535:G2619))</f>
        <v>2.3333333333333339</v>
      </c>
    </row>
    <row r="2625" spans="6:6" x14ac:dyDescent="0.3">
      <c r="F2625">
        <f>F2620/3</f>
        <v>8.3333333333333339</v>
      </c>
    </row>
  </sheetData>
  <phoneticPr fontId="15" type="noConversion"/>
  <conditionalFormatting sqref="E2:E9">
    <cfRule type="containsText" dxfId="54" priority="9" operator="containsText" text="JORNAL">
      <formula>NOT(ISERROR(SEARCH("JORNAL",E2)))</formula>
    </cfRule>
    <cfRule type="containsText" dxfId="53" priority="11" operator="containsText" text="SUELDO">
      <formula>NOT(ISERROR(SEARCH("SUELDO",E2)))</formula>
    </cfRule>
  </conditionalFormatting>
  <conditionalFormatting sqref="J2:J9">
    <cfRule type="containsText" dxfId="52" priority="10" operator="containsText" text="NORMAL">
      <formula>NOT(ISERROR(SEARCH("NORMAL",J2)))</formula>
    </cfRule>
    <cfRule type="containsText" dxfId="51" priority="12" operator="containsText" text="COMPRA HORAS">
      <formula>NOT(ISERROR(SEARCH("COMPRA HORAS",J2)))</formula>
    </cfRule>
  </conditionalFormatting>
  <conditionalFormatting sqref="E10">
    <cfRule type="containsText" dxfId="50" priority="7" operator="containsText" text="JORNAL">
      <formula>NOT(ISERROR(SEARCH("JORNAL",E10)))</formula>
    </cfRule>
    <cfRule type="containsText" dxfId="49" priority="8" operator="containsText" text="SUELDO">
      <formula>NOT(ISERROR(SEARCH("SUELDO",E10)))</formula>
    </cfRule>
  </conditionalFormatting>
  <conditionalFormatting sqref="J10">
    <cfRule type="containsText" dxfId="48" priority="5" operator="containsText" text="NORMAL">
      <formula>NOT(ISERROR(SEARCH("NORMAL",J10)))</formula>
    </cfRule>
    <cfRule type="containsText" dxfId="47" priority="6" operator="containsText" text="COMPRA HORAS">
      <formula>NOT(ISERROR(SEARCH("COMPRA HORAS",J10)))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84E1F-3A46-4BC5-B06D-55B1A81B95D4}">
  <sheetPr codeName="Hoja4">
    <tabColor rgb="FFCCFF99"/>
  </sheetPr>
  <dimension ref="A1:AC40"/>
  <sheetViews>
    <sheetView topLeftCell="S1" workbookViewId="0">
      <selection activeCell="W34" sqref="W34"/>
    </sheetView>
  </sheetViews>
  <sheetFormatPr baseColWidth="10" defaultRowHeight="14.4" x14ac:dyDescent="0.3"/>
  <cols>
    <col min="1" max="1" width="10.5546875" bestFit="1" customWidth="1"/>
    <col min="2" max="2" width="34.6640625" bestFit="1" customWidth="1"/>
    <col min="3" max="3" width="25.21875" bestFit="1" customWidth="1"/>
    <col min="4" max="4" width="9.109375" bestFit="1" customWidth="1"/>
    <col min="5" max="5" width="13.21875" bestFit="1" customWidth="1"/>
    <col min="6" max="6" width="15" bestFit="1" customWidth="1"/>
    <col min="7" max="7" width="11.88671875" bestFit="1" customWidth="1"/>
    <col min="8" max="8" width="18.33203125" bestFit="1" customWidth="1"/>
    <col min="11" max="11" width="41.109375" bestFit="1" customWidth="1"/>
    <col min="12" max="12" width="16.44140625" bestFit="1" customWidth="1"/>
    <col min="13" max="13" width="18" bestFit="1" customWidth="1"/>
    <col min="14" max="14" width="15.109375" bestFit="1" customWidth="1"/>
    <col min="15" max="15" width="14.109375" bestFit="1" customWidth="1"/>
    <col min="16" max="16" width="14.44140625" bestFit="1" customWidth="1"/>
    <col min="17" max="17" width="15.33203125" bestFit="1" customWidth="1"/>
    <col min="18" max="18" width="16" bestFit="1" customWidth="1"/>
    <col min="19" max="19" width="16" customWidth="1"/>
    <col min="20" max="20" width="11.33203125" bestFit="1" customWidth="1"/>
    <col min="21" max="21" width="10.5546875" bestFit="1" customWidth="1"/>
    <col min="22" max="22" width="24.44140625" bestFit="1" customWidth="1"/>
    <col min="23" max="23" width="25.21875" bestFit="1" customWidth="1"/>
    <col min="24" max="24" width="9.109375" bestFit="1" customWidth="1"/>
    <col min="25" max="25" width="13.5546875" bestFit="1" customWidth="1"/>
    <col min="26" max="26" width="12.44140625" bestFit="1" customWidth="1"/>
    <col min="27" max="27" width="11.88671875" bestFit="1" customWidth="1"/>
    <col min="28" max="28" width="10.77734375" bestFit="1" customWidth="1"/>
    <col min="29" max="30" width="18.33203125" bestFit="1" customWidth="1"/>
  </cols>
  <sheetData>
    <row r="1" spans="1:29" ht="18" x14ac:dyDescent="0.3">
      <c r="A1" s="8" t="s">
        <v>0</v>
      </c>
      <c r="B1" t="s">
        <v>1</v>
      </c>
      <c r="C1" t="s">
        <v>3</v>
      </c>
      <c r="D1" t="s">
        <v>4</v>
      </c>
      <c r="E1" t="s">
        <v>13</v>
      </c>
      <c r="F1" t="s">
        <v>14</v>
      </c>
      <c r="G1" t="s">
        <v>7</v>
      </c>
      <c r="H1" t="s">
        <v>9</v>
      </c>
      <c r="K1" s="57" t="s">
        <v>118</v>
      </c>
      <c r="L1" s="57"/>
      <c r="M1" s="57"/>
      <c r="N1" s="57"/>
      <c r="O1" s="57"/>
      <c r="P1" s="57"/>
      <c r="Q1" s="57"/>
      <c r="R1" s="57"/>
      <c r="T1" t="s">
        <v>2</v>
      </c>
      <c r="U1" s="1" t="s">
        <v>0</v>
      </c>
      <c r="V1" s="1" t="s">
        <v>1</v>
      </c>
      <c r="W1" t="s">
        <v>3</v>
      </c>
      <c r="X1" t="s">
        <v>4</v>
      </c>
      <c r="Y1" t="s">
        <v>5</v>
      </c>
      <c r="Z1" s="2" t="s">
        <v>6</v>
      </c>
      <c r="AA1" t="s">
        <v>7</v>
      </c>
      <c r="AB1" s="2" t="s">
        <v>8</v>
      </c>
      <c r="AC1" t="s">
        <v>9</v>
      </c>
    </row>
    <row r="2" spans="1:29" ht="15.6" x14ac:dyDescent="0.3">
      <c r="A2" s="7">
        <v>45033</v>
      </c>
      <c r="B2" s="9" t="s">
        <v>27</v>
      </c>
      <c r="C2" s="9" t="s">
        <v>120</v>
      </c>
      <c r="D2" s="10">
        <v>8</v>
      </c>
      <c r="E2" s="11">
        <f>(8/48)*MOVD_Jornal[[#This Row],[HORAS]]</f>
        <v>1.3333333333333333</v>
      </c>
      <c r="F2" s="11">
        <f>SUM(MOVD_Jornal[[#This Row],[HORAS]:[DOMINICAL]])</f>
        <v>9.3333333333333339</v>
      </c>
      <c r="G2" s="12">
        <v>6.25</v>
      </c>
      <c r="H2" s="13">
        <f>MOVD_Jornal[[#This Row],[TOTAL HORAS]]*MOVD_Jornal[[#This Row],[COSTO HH]]</f>
        <v>58.333333333333336</v>
      </c>
      <c r="K2" s="46" t="s">
        <v>1</v>
      </c>
      <c r="L2" s="47" t="s">
        <v>113</v>
      </c>
      <c r="M2" s="47" t="s">
        <v>114</v>
      </c>
      <c r="N2" s="47" t="s">
        <v>115</v>
      </c>
      <c r="O2" s="47" t="s">
        <v>116</v>
      </c>
      <c r="P2" s="47" t="s">
        <v>117</v>
      </c>
      <c r="Q2" s="48" t="s">
        <v>7</v>
      </c>
      <c r="R2" s="47" t="s">
        <v>21</v>
      </c>
      <c r="T2" s="3" t="str">
        <f>VLOOKUP(MOVD_Sueldo[[#This Row],[FECHA]]&amp;MOVD_Sueldo[[#This Row],[NOMBRE]],BD_ControlRegimen[],5,0)</f>
        <v>Trabajo</v>
      </c>
      <c r="U2" s="7">
        <v>45033</v>
      </c>
      <c r="V2" s="3" t="s">
        <v>10</v>
      </c>
      <c r="W2" s="3" t="s">
        <v>120</v>
      </c>
      <c r="X2" s="3">
        <v>10</v>
      </c>
      <c r="Y2" s="4">
        <f>IFERROR(IF(AND(WEEKDAY(U2,2)&lt;&gt; 7,T2="Trabajo"),-((10-SUMIFS(MOVD_Sueldo[HORAS],MOVD_Sueldo[NOMBRE],MOVD_Sueldo[[#This Row],[NOMBRE]],MOVD_Sueldo[FECHA],MOVD_Sueldo[[#This Row],[FECHA]]))*MOVD_Sueldo[[#This Row],[HORAS]]/SUMIFS(MOVD_Sueldo[HORAS],MOVD_Sueldo[NOMBRE],MOVD_Sueldo[[#This Row],[NOMBRE]],MOVD_Sueldo[FECHA],MOVD_Sueldo[[#This Row],[FECHA]])),IF(WEEKDAY(U2,2)= 7,0,0)),-10)</f>
        <v>0</v>
      </c>
      <c r="Z2" s="4">
        <f>VLOOKUP(MOVD_Sueldo[[#This Row],[NOMBRE]],BD_MOVD[],6,0)/COUNTIFS(MOVD_Sueldo[FECHA],MOVD_Sueldo[[#This Row],[FECHA]],MOVD_Sueldo[NOMBRE],MOVD_Sueldo[[#This Row],[NOMBRE]])</f>
        <v>95</v>
      </c>
      <c r="AA2" s="4">
        <f>(MOVD_Sueldo[[#This Row],[COSTO DIA]]*30)/240*COUNTIFS(MOVD_Sueldo[FECHA],MOVD_Sueldo[[#This Row],[FECHA]],MOVD_Sueldo[NOMBRE],MOVD_Sueldo[[#This Row],[NOMBRE]])</f>
        <v>11.875</v>
      </c>
      <c r="AB2" s="5">
        <f>(MOVD_Sueldo[[#This Row],[COSTO DIA]]*30)/DAY(EOMONTH(U2,0))</f>
        <v>95</v>
      </c>
      <c r="AC2" s="6">
        <f>IF(T2&lt;&gt; "descanso forzado",AB2+Y2*AA2,AB2)</f>
        <v>95</v>
      </c>
    </row>
    <row r="3" spans="1:29" x14ac:dyDescent="0.3">
      <c r="A3" s="7">
        <v>45034</v>
      </c>
      <c r="B3" s="9" t="s">
        <v>27</v>
      </c>
      <c r="C3" s="9" t="s">
        <v>120</v>
      </c>
      <c r="D3" s="10">
        <v>3.5</v>
      </c>
      <c r="E3" s="11">
        <f>(8/48)*MOVD_Jornal[[#This Row],[HORAS]]</f>
        <v>0.58333333333333326</v>
      </c>
      <c r="F3" s="11">
        <f>SUM(MOVD_Jornal[[#This Row],[HORAS]:[DOMINICAL]])</f>
        <v>4.083333333333333</v>
      </c>
      <c r="G3" s="12">
        <v>6.25</v>
      </c>
      <c r="H3" s="13">
        <f>MOVD_Jornal[[#This Row],[TOTAL HORAS]]*MOVD_Jornal[[#This Row],[COSTO HH]]</f>
        <v>25.520833333333332</v>
      </c>
      <c r="K3" s="49" t="s">
        <v>58</v>
      </c>
      <c r="L3" s="50">
        <v>100</v>
      </c>
      <c r="M3" s="51">
        <v>44927</v>
      </c>
      <c r="N3" s="51">
        <v>45291</v>
      </c>
      <c r="O3" s="52">
        <f>MOVD_ControlJornal[[#This Row],[FECHA FIN]]-MOVD_ControlJornal[[#This Row],[FECHA INICIO]]+1</f>
        <v>365</v>
      </c>
      <c r="P3" s="53" t="str">
        <f>IF(MOVD_ControlJornal[[#This Row],[PERIODO]]&gt;=364,"ANUAL", IF(MOVD_ControlJornal[[#This Row],[PERIODO]]&gt;=1,"POR DIAS","PASADO"))</f>
        <v>ANUAL</v>
      </c>
      <c r="Q3" s="13">
        <f>MOVD_ControlJornal[[#This Row],[S/. POR DIA]]/8</f>
        <v>12.5</v>
      </c>
      <c r="R3" s="13" t="str">
        <f>VLOOKUP(MOVD_ControlJornal[[#This Row],[NOMBRE]],BD_MOVD[],9,0)</f>
        <v>NORMAL</v>
      </c>
      <c r="T3" s="3" t="str">
        <f>VLOOKUP(MOVD_Sueldo[[#This Row],[FECHA]]&amp;MOVD_Sueldo[[#This Row],[NOMBRE]],BD_ControlRegimen[],5,0)</f>
        <v>Trabajo</v>
      </c>
      <c r="U3" s="7">
        <v>45033</v>
      </c>
      <c r="V3" s="3" t="s">
        <v>68</v>
      </c>
      <c r="W3" s="3" t="s">
        <v>122</v>
      </c>
      <c r="X3" s="3">
        <v>10</v>
      </c>
      <c r="Y3" s="4">
        <f>IFERROR(IF(AND(WEEKDAY(U3,2)&lt;&gt; 7,T3="Trabajo"),-((10-SUMIFS(MOVD_Sueldo[HORAS],MOVD_Sueldo[NOMBRE],MOVD_Sueldo[[#This Row],[NOMBRE]],MOVD_Sueldo[FECHA],MOVD_Sueldo[[#This Row],[FECHA]]))*MOVD_Sueldo[[#This Row],[HORAS]]/SUMIFS(MOVD_Sueldo[HORAS],MOVD_Sueldo[NOMBRE],MOVD_Sueldo[[#This Row],[NOMBRE]],MOVD_Sueldo[FECHA],MOVD_Sueldo[[#This Row],[FECHA]])),IF(WEEKDAY(U3,2)= 7,0,0)),-10)</f>
        <v>0</v>
      </c>
      <c r="Z3" s="4">
        <f>VLOOKUP(MOVD_Sueldo[[#This Row],[NOMBRE]],BD_MOVD[],6,0)/COUNTIFS(MOVD_Sueldo[FECHA],MOVD_Sueldo[[#This Row],[FECHA]],MOVD_Sueldo[NOMBRE],MOVD_Sueldo[[#This Row],[NOMBRE]])</f>
        <v>95</v>
      </c>
      <c r="AA3" s="4">
        <f>(MOVD_Sueldo[[#This Row],[COSTO DIA]]*30)/240*COUNTIFS(MOVD_Sueldo[FECHA],MOVD_Sueldo[[#This Row],[FECHA]],MOVD_Sueldo[NOMBRE],MOVD_Sueldo[[#This Row],[NOMBRE]])</f>
        <v>11.875</v>
      </c>
      <c r="AB3" s="5">
        <f>(MOVD_Sueldo[[#This Row],[COSTO DIA]]*30)/DAY(EOMONTH(U3,0))</f>
        <v>95</v>
      </c>
      <c r="AC3" s="6">
        <f>IF(T3&lt;&gt; "descanso forzado",AB3+Y3*AA3,AB3)</f>
        <v>95</v>
      </c>
    </row>
    <row r="4" spans="1:29" x14ac:dyDescent="0.3">
      <c r="A4" s="7">
        <v>45034</v>
      </c>
      <c r="B4" s="9" t="s">
        <v>27</v>
      </c>
      <c r="C4" s="9" t="s">
        <v>125</v>
      </c>
      <c r="D4" s="10">
        <v>3.5</v>
      </c>
      <c r="E4" s="11">
        <f>(8/48)*MOVD_Jornal[[#This Row],[HORAS]]</f>
        <v>0.58333333333333326</v>
      </c>
      <c r="F4" s="11">
        <f>SUM(MOVD_Jornal[[#This Row],[HORAS]:[DOMINICAL]])</f>
        <v>4.083333333333333</v>
      </c>
      <c r="G4" s="12">
        <v>6.25</v>
      </c>
      <c r="H4" s="13">
        <f>MOVD_Jornal[[#This Row],[TOTAL HORAS]]*MOVD_Jornal[[#This Row],[COSTO HH]]</f>
        <v>25.520833333333332</v>
      </c>
      <c r="K4" s="49" t="s">
        <v>37</v>
      </c>
      <c r="L4" s="50">
        <v>90</v>
      </c>
      <c r="M4" s="51">
        <v>44927</v>
      </c>
      <c r="N4" s="51">
        <v>45291</v>
      </c>
      <c r="O4" s="52">
        <f>MOVD_ControlJornal[[#This Row],[FECHA FIN]]-MOVD_ControlJornal[[#This Row],[FECHA INICIO]]+1</f>
        <v>365</v>
      </c>
      <c r="P4" s="53" t="str">
        <f>IF(MOVD_ControlJornal[[#This Row],[PERIODO]]&gt;=364,"ANUAL", IF(MOVD_ControlJornal[[#This Row],[PERIODO]]&gt;=1,"POR DIAS","PASADO"))</f>
        <v>ANUAL</v>
      </c>
      <c r="Q4" s="13">
        <f>MOVD_ControlJornal[[#This Row],[S/. POR DIA]]/8</f>
        <v>11.25</v>
      </c>
      <c r="R4" s="13" t="str">
        <f>VLOOKUP(MOVD_ControlJornal[[#This Row],[NOMBRE]],BD_MOVD[],9,0)</f>
        <v>NORMAL</v>
      </c>
      <c r="T4" s="3" t="str">
        <f>VLOOKUP(MOVD_Sueldo[[#This Row],[FECHA]]&amp;MOVD_Sueldo[[#This Row],[NOMBRE]],BD_ControlRegimen[],5,0)</f>
        <v>Trabajo</v>
      </c>
      <c r="U4" s="7">
        <v>45034</v>
      </c>
      <c r="V4" s="3" t="s">
        <v>68</v>
      </c>
      <c r="W4" s="3" t="s">
        <v>120</v>
      </c>
      <c r="X4" s="3">
        <v>4.5</v>
      </c>
      <c r="Y4" s="4">
        <f>IFERROR(IF(AND(WEEKDAY(U4,2)&lt;&gt; 7,T4="Trabajo"),-((10-SUMIFS(MOVD_Sueldo[HORAS],MOVD_Sueldo[NOMBRE],MOVD_Sueldo[[#This Row],[NOMBRE]],MOVD_Sueldo[FECHA],MOVD_Sueldo[[#This Row],[FECHA]]))*MOVD_Sueldo[[#This Row],[HORAS]]/SUMIFS(MOVD_Sueldo[HORAS],MOVD_Sueldo[NOMBRE],MOVD_Sueldo[[#This Row],[NOMBRE]],MOVD_Sueldo[FECHA],MOVD_Sueldo[[#This Row],[FECHA]])),IF(WEEKDAY(U4,2)= 7,0,0)),-10)</f>
        <v>0</v>
      </c>
      <c r="Z4" s="4">
        <f>VLOOKUP(MOVD_Sueldo[[#This Row],[NOMBRE]],BD_MOVD[],6,0)/COUNTIFS(MOVD_Sueldo[FECHA],MOVD_Sueldo[[#This Row],[FECHA]],MOVD_Sueldo[NOMBRE],MOVD_Sueldo[[#This Row],[NOMBRE]])</f>
        <v>23.75</v>
      </c>
      <c r="AA4" s="4">
        <f>(MOVD_Sueldo[[#This Row],[COSTO DIA]]*30)/240*COUNTIFS(MOVD_Sueldo[FECHA],MOVD_Sueldo[[#This Row],[FECHA]],MOVD_Sueldo[NOMBRE],MOVD_Sueldo[[#This Row],[NOMBRE]])</f>
        <v>11.875</v>
      </c>
      <c r="AB4" s="5">
        <f>(MOVD_Sueldo[[#This Row],[COSTO DIA]]*30)/DAY(EOMONTH(U4,0))</f>
        <v>23.75</v>
      </c>
      <c r="AC4" s="6">
        <f>IF(T4&lt;&gt; "descanso forzado",AB4+Y4*AA4,AB4)</f>
        <v>23.75</v>
      </c>
    </row>
    <row r="5" spans="1:29" x14ac:dyDescent="0.3">
      <c r="A5" s="7">
        <v>45034</v>
      </c>
      <c r="B5" s="9" t="s">
        <v>27</v>
      </c>
      <c r="C5" s="9" t="s">
        <v>127</v>
      </c>
      <c r="D5" s="10">
        <v>3</v>
      </c>
      <c r="E5" s="11">
        <f>(8/48)*MOVD_Jornal[[#This Row],[HORAS]]</f>
        <v>0.5</v>
      </c>
      <c r="F5" s="11">
        <f>SUM(MOVD_Jornal[[#This Row],[HORAS]:[DOMINICAL]])</f>
        <v>3.5</v>
      </c>
      <c r="G5" s="12">
        <v>6.25</v>
      </c>
      <c r="H5" s="13">
        <f>MOVD_Jornal[[#This Row],[TOTAL HORAS]]*MOVD_Jornal[[#This Row],[COSTO HH]]</f>
        <v>21.875</v>
      </c>
      <c r="K5" s="49" t="s">
        <v>15</v>
      </c>
      <c r="L5" s="50">
        <v>95</v>
      </c>
      <c r="M5" s="51">
        <v>44927</v>
      </c>
      <c r="N5" s="51">
        <v>45291</v>
      </c>
      <c r="O5" s="52">
        <f>MOVD_ControlJornal[[#This Row],[FECHA FIN]]-MOVD_ControlJornal[[#This Row],[FECHA INICIO]]+1</f>
        <v>365</v>
      </c>
      <c r="P5" s="53" t="str">
        <f>IF(MOVD_ControlJornal[[#This Row],[PERIODO]]&gt;=364,"ANUAL", IF(MOVD_ControlJornal[[#This Row],[PERIODO]]&gt;=1,"POR DIAS","PASADO"))</f>
        <v>ANUAL</v>
      </c>
      <c r="Q5" s="13">
        <f>MOVD_ControlJornal[[#This Row],[S/. POR DIA]]/8</f>
        <v>11.875</v>
      </c>
      <c r="R5" s="13" t="str">
        <f>VLOOKUP(MOVD_ControlJornal[[#This Row],[NOMBRE]],BD_MOVD[],9,0)</f>
        <v>NORMAL</v>
      </c>
      <c r="T5" s="3" t="str">
        <f>VLOOKUP(MOVD_Sueldo[[#This Row],[FECHA]]&amp;MOVD_Sueldo[[#This Row],[NOMBRE]],BD_ControlRegimen[],5,0)</f>
        <v>Trabajo</v>
      </c>
      <c r="U5" s="7">
        <v>45034</v>
      </c>
      <c r="V5" s="3" t="s">
        <v>68</v>
      </c>
      <c r="W5" s="3" t="s">
        <v>122</v>
      </c>
      <c r="X5" s="3">
        <v>2</v>
      </c>
      <c r="Y5" s="4">
        <f>IFERROR(IF(AND(WEEKDAY(U5,2)&lt;&gt; 7,T5="Trabajo"),-((10-SUMIFS(MOVD_Sueldo[HORAS],MOVD_Sueldo[NOMBRE],MOVD_Sueldo[[#This Row],[NOMBRE]],MOVD_Sueldo[FECHA],MOVD_Sueldo[[#This Row],[FECHA]]))*MOVD_Sueldo[[#This Row],[HORAS]]/SUMIFS(MOVD_Sueldo[HORAS],MOVD_Sueldo[NOMBRE],MOVD_Sueldo[[#This Row],[NOMBRE]],MOVD_Sueldo[FECHA],MOVD_Sueldo[[#This Row],[FECHA]])),IF(WEEKDAY(U5,2)= 7,0,0)),-10)</f>
        <v>0</v>
      </c>
      <c r="Z5" s="4">
        <f>VLOOKUP(MOVD_Sueldo[[#This Row],[NOMBRE]],BD_MOVD[],6,0)/COUNTIFS(MOVD_Sueldo[FECHA],MOVD_Sueldo[[#This Row],[FECHA]],MOVD_Sueldo[NOMBRE],MOVD_Sueldo[[#This Row],[NOMBRE]])</f>
        <v>23.75</v>
      </c>
      <c r="AA5" s="4">
        <f>(MOVD_Sueldo[[#This Row],[COSTO DIA]]*30)/240*COUNTIFS(MOVD_Sueldo[FECHA],MOVD_Sueldo[[#This Row],[FECHA]],MOVD_Sueldo[NOMBRE],MOVD_Sueldo[[#This Row],[NOMBRE]])</f>
        <v>11.875</v>
      </c>
      <c r="AB5" s="5">
        <f>(MOVD_Sueldo[[#This Row],[COSTO DIA]]*30)/DAY(EOMONTH(U5,0))</f>
        <v>23.75</v>
      </c>
      <c r="AC5" s="6">
        <f>IF(T5&lt;&gt; "descanso forzado",AB5+Y5*AA5,AB5)</f>
        <v>23.75</v>
      </c>
    </row>
    <row r="6" spans="1:29" x14ac:dyDescent="0.3">
      <c r="A6" s="7">
        <v>45035</v>
      </c>
      <c r="B6" s="9" t="s">
        <v>27</v>
      </c>
      <c r="C6" s="9" t="s">
        <v>120</v>
      </c>
      <c r="D6" s="10">
        <v>4.5</v>
      </c>
      <c r="E6" s="11">
        <f>(8/48)*MOVD_Jornal[[#This Row],[HORAS]]</f>
        <v>0.75</v>
      </c>
      <c r="F6" s="11">
        <f>SUM(MOVD_Jornal[[#This Row],[HORAS]:[DOMINICAL]])</f>
        <v>5.25</v>
      </c>
      <c r="G6" s="12">
        <v>6.25</v>
      </c>
      <c r="H6" s="13">
        <f>MOVD_Jornal[[#This Row],[TOTAL HORAS]]*MOVD_Jornal[[#This Row],[COSTO HH]]</f>
        <v>32.8125</v>
      </c>
      <c r="K6" s="49" t="s">
        <v>40</v>
      </c>
      <c r="L6" s="50">
        <v>95</v>
      </c>
      <c r="M6" s="51">
        <v>44927</v>
      </c>
      <c r="N6" s="51">
        <v>45291</v>
      </c>
      <c r="O6" s="52">
        <f>MOVD_ControlJornal[[#This Row],[FECHA FIN]]-MOVD_ControlJornal[[#This Row],[FECHA INICIO]]+1</f>
        <v>365</v>
      </c>
      <c r="P6" s="53" t="str">
        <f>IF(MOVD_ControlJornal[[#This Row],[PERIODO]]&gt;=364,"ANUAL", IF(MOVD_ControlJornal[[#This Row],[PERIODO]]&gt;=1,"POR DIAS","PASADO"))</f>
        <v>ANUAL</v>
      </c>
      <c r="Q6" s="13">
        <f>MOVD_ControlJornal[[#This Row],[S/. POR DIA]]/8</f>
        <v>11.875</v>
      </c>
      <c r="R6" s="13" t="str">
        <f>VLOOKUP(MOVD_ControlJornal[[#This Row],[NOMBRE]],BD_MOVD[],9,0)</f>
        <v>NORMAL</v>
      </c>
      <c r="T6" s="3" t="str">
        <f>VLOOKUP(MOVD_Sueldo[[#This Row],[FECHA]]&amp;MOVD_Sueldo[[#This Row],[NOMBRE]],BD_ControlRegimen[],5,0)</f>
        <v>Trabajo</v>
      </c>
      <c r="U6" s="7">
        <v>45034</v>
      </c>
      <c r="V6" s="3" t="s">
        <v>68</v>
      </c>
      <c r="W6" s="3" t="s">
        <v>126</v>
      </c>
      <c r="X6" s="3">
        <v>1.5</v>
      </c>
      <c r="Y6" s="4">
        <f>IFERROR(IF(AND(WEEKDAY(U6,2)&lt;&gt; 7,T6="Trabajo"),-((10-SUMIFS(MOVD_Sueldo[HORAS],MOVD_Sueldo[NOMBRE],MOVD_Sueldo[[#This Row],[NOMBRE]],MOVD_Sueldo[FECHA],MOVD_Sueldo[[#This Row],[FECHA]]))*MOVD_Sueldo[[#This Row],[HORAS]]/SUMIFS(MOVD_Sueldo[HORAS],MOVD_Sueldo[NOMBRE],MOVD_Sueldo[[#This Row],[NOMBRE]],MOVD_Sueldo[FECHA],MOVD_Sueldo[[#This Row],[FECHA]])),IF(WEEKDAY(U6,2)= 7,0,0)),-10)</f>
        <v>0</v>
      </c>
      <c r="Z6" s="4">
        <f>VLOOKUP(MOVD_Sueldo[[#This Row],[NOMBRE]],BD_MOVD[],6,0)/COUNTIFS(MOVD_Sueldo[FECHA],MOVD_Sueldo[[#This Row],[FECHA]],MOVD_Sueldo[NOMBRE],MOVD_Sueldo[[#This Row],[NOMBRE]])</f>
        <v>23.75</v>
      </c>
      <c r="AA6" s="4">
        <f>(MOVD_Sueldo[[#This Row],[COSTO DIA]]*30)/240*COUNTIFS(MOVD_Sueldo[FECHA],MOVD_Sueldo[[#This Row],[FECHA]],MOVD_Sueldo[NOMBRE],MOVD_Sueldo[[#This Row],[NOMBRE]])</f>
        <v>11.875</v>
      </c>
      <c r="AB6" s="5">
        <f>(MOVD_Sueldo[[#This Row],[COSTO DIA]]*30)/DAY(EOMONTH(U6,0))</f>
        <v>23.75</v>
      </c>
      <c r="AC6" s="6">
        <f>IF(T6&lt;&gt; "descanso forzado",AB6+Y6*AA6,AB6)</f>
        <v>23.75</v>
      </c>
    </row>
    <row r="7" spans="1:29" x14ac:dyDescent="0.3">
      <c r="A7" s="7">
        <v>45035</v>
      </c>
      <c r="B7" s="9" t="s">
        <v>27</v>
      </c>
      <c r="C7" s="9" t="s">
        <v>126</v>
      </c>
      <c r="D7" s="10">
        <v>4.5</v>
      </c>
      <c r="E7" s="11">
        <f>(8/48)*MOVD_Jornal[[#This Row],[HORAS]]</f>
        <v>0.75</v>
      </c>
      <c r="F7" s="11">
        <f>SUM(MOVD_Jornal[[#This Row],[HORAS]:[DOMINICAL]])</f>
        <v>5.25</v>
      </c>
      <c r="G7" s="12">
        <v>6.25</v>
      </c>
      <c r="H7" s="13">
        <f>MOVD_Jornal[[#This Row],[TOTAL HORAS]]*MOVD_Jornal[[#This Row],[COSTO HH]]</f>
        <v>32.8125</v>
      </c>
      <c r="K7" s="49" t="s">
        <v>47</v>
      </c>
      <c r="L7" s="50">
        <v>95</v>
      </c>
      <c r="M7" s="51">
        <v>44927</v>
      </c>
      <c r="N7" s="51">
        <v>45291</v>
      </c>
      <c r="O7" s="52">
        <f>MOVD_ControlJornal[[#This Row],[FECHA FIN]]-MOVD_ControlJornal[[#This Row],[FECHA INICIO]]+1</f>
        <v>365</v>
      </c>
      <c r="P7" s="53" t="str">
        <f>IF(MOVD_ControlJornal[[#This Row],[PERIODO]]&gt;=364,"ANUAL", IF(MOVD_ControlJornal[[#This Row],[PERIODO]]&gt;=1,"POR DIAS","PASADO"))</f>
        <v>ANUAL</v>
      </c>
      <c r="Q7" s="13">
        <f>MOVD_ControlJornal[[#This Row],[S/. POR DIA]]/8</f>
        <v>11.875</v>
      </c>
      <c r="R7" s="13" t="str">
        <f>VLOOKUP(MOVD_ControlJornal[[#This Row],[NOMBRE]],BD_MOVD[],9,0)</f>
        <v>NORMAL</v>
      </c>
      <c r="T7" s="3" t="str">
        <f>VLOOKUP(MOVD_Sueldo[[#This Row],[FECHA]]&amp;MOVD_Sueldo[[#This Row],[NOMBRE]],BD_ControlRegimen[],5,0)</f>
        <v>Trabajo</v>
      </c>
      <c r="U7" s="7">
        <v>45034</v>
      </c>
      <c r="V7" s="3" t="s">
        <v>68</v>
      </c>
      <c r="W7" s="3" t="s">
        <v>127</v>
      </c>
      <c r="X7" s="3">
        <v>2</v>
      </c>
      <c r="Y7" s="4">
        <f>IFERROR(IF(AND(WEEKDAY(U7,2)&lt;&gt; 7,T7="Trabajo"),-((10-SUMIFS(MOVD_Sueldo[HORAS],MOVD_Sueldo[NOMBRE],MOVD_Sueldo[[#This Row],[NOMBRE]],MOVD_Sueldo[FECHA],MOVD_Sueldo[[#This Row],[FECHA]]))*MOVD_Sueldo[[#This Row],[HORAS]]/SUMIFS(MOVD_Sueldo[HORAS],MOVD_Sueldo[NOMBRE],MOVD_Sueldo[[#This Row],[NOMBRE]],MOVD_Sueldo[FECHA],MOVD_Sueldo[[#This Row],[FECHA]])),IF(WEEKDAY(U7,2)= 7,0,0)),-10)</f>
        <v>0</v>
      </c>
      <c r="Z7" s="4">
        <f>VLOOKUP(MOVD_Sueldo[[#This Row],[NOMBRE]],BD_MOVD[],6,0)/COUNTIFS(MOVD_Sueldo[FECHA],MOVD_Sueldo[[#This Row],[FECHA]],MOVD_Sueldo[NOMBRE],MOVD_Sueldo[[#This Row],[NOMBRE]])</f>
        <v>23.75</v>
      </c>
      <c r="AA7" s="4">
        <f>(MOVD_Sueldo[[#This Row],[COSTO DIA]]*30)/240*COUNTIFS(MOVD_Sueldo[FECHA],MOVD_Sueldo[[#This Row],[FECHA]],MOVD_Sueldo[NOMBRE],MOVD_Sueldo[[#This Row],[NOMBRE]])</f>
        <v>11.875</v>
      </c>
      <c r="AB7" s="5">
        <f>(MOVD_Sueldo[[#This Row],[COSTO DIA]]*30)/DAY(EOMONTH(U7,0))</f>
        <v>23.75</v>
      </c>
      <c r="AC7" s="6">
        <f>IF(T7&lt;&gt; "descanso forzado",AB7+Y7*AA7,AB7)</f>
        <v>23.75</v>
      </c>
    </row>
    <row r="8" spans="1:29" x14ac:dyDescent="0.3">
      <c r="A8" s="7">
        <v>45033</v>
      </c>
      <c r="B8" s="9" t="s">
        <v>26</v>
      </c>
      <c r="C8" s="9" t="s">
        <v>120</v>
      </c>
      <c r="D8" s="10">
        <v>8</v>
      </c>
      <c r="E8" s="11">
        <f>(8/48)*MOVD_Jornal[[#This Row],[HORAS]]</f>
        <v>1.3333333333333333</v>
      </c>
      <c r="F8" s="11">
        <f>SUM(MOVD_Jornal[[#This Row],[HORAS]:[DOMINICAL]])</f>
        <v>9.3333333333333339</v>
      </c>
      <c r="G8" s="12">
        <v>6.25</v>
      </c>
      <c r="H8" s="13">
        <f>MOVD_Jornal[[#This Row],[TOTAL HORAS]]*MOVD_Jornal[[#This Row],[COSTO HH]]</f>
        <v>58.333333333333336</v>
      </c>
      <c r="K8" s="49" t="s">
        <v>44</v>
      </c>
      <c r="L8" s="50">
        <v>95</v>
      </c>
      <c r="M8" s="51">
        <v>44927</v>
      </c>
      <c r="N8" s="51">
        <v>45291</v>
      </c>
      <c r="O8" s="52">
        <f>MOVD_ControlJornal[[#This Row],[FECHA FIN]]-MOVD_ControlJornal[[#This Row],[FECHA INICIO]]+1</f>
        <v>365</v>
      </c>
      <c r="P8" s="53" t="str">
        <f>IF(MOVD_ControlJornal[[#This Row],[PERIODO]]&gt;=364,"ANUAL", IF(MOVD_ControlJornal[[#This Row],[PERIODO]]&gt;=1,"POR DIAS","PASADO"))</f>
        <v>ANUAL</v>
      </c>
      <c r="Q8" s="13">
        <f>MOVD_ControlJornal[[#This Row],[S/. POR DIA]]/8</f>
        <v>11.875</v>
      </c>
      <c r="R8" s="13" t="str">
        <f>VLOOKUP(MOVD_ControlJornal[[#This Row],[NOMBRE]],BD_MOVD[],9,0)</f>
        <v>NORMAL</v>
      </c>
      <c r="T8" s="3" t="str">
        <f>VLOOKUP(MOVD_Sueldo[[#This Row],[FECHA]]&amp;MOVD_Sueldo[[#This Row],[NOMBRE]],BD_ControlRegimen[],5,0)</f>
        <v>Trabajo</v>
      </c>
      <c r="U8" s="7">
        <v>45035</v>
      </c>
      <c r="V8" s="3" t="s">
        <v>68</v>
      </c>
      <c r="W8" s="3" t="s">
        <v>126</v>
      </c>
      <c r="X8" s="3">
        <v>3.5</v>
      </c>
      <c r="Y8" s="4">
        <f>IFERROR(IF(AND(WEEKDAY(U8,2)&lt;&gt; 7,T8="Trabajo"),-((10-SUMIFS(MOVD_Sueldo[HORAS],MOVD_Sueldo[NOMBRE],MOVD_Sueldo[[#This Row],[NOMBRE]],MOVD_Sueldo[FECHA],MOVD_Sueldo[[#This Row],[FECHA]]))*MOVD_Sueldo[[#This Row],[HORAS]]/SUMIFS(MOVD_Sueldo[HORAS],MOVD_Sueldo[NOMBRE],MOVD_Sueldo[[#This Row],[NOMBRE]],MOVD_Sueldo[FECHA],MOVD_Sueldo[[#This Row],[FECHA]])),IF(WEEKDAY(U8,2)= 7,0,0)),-10)</f>
        <v>-6.5</v>
      </c>
      <c r="Z8" s="4">
        <f>VLOOKUP(MOVD_Sueldo[[#This Row],[NOMBRE]],BD_MOVD[],6,0)/COUNTIFS(MOVD_Sueldo[FECHA],MOVD_Sueldo[[#This Row],[FECHA]],MOVD_Sueldo[NOMBRE],MOVD_Sueldo[[#This Row],[NOMBRE]])</f>
        <v>95</v>
      </c>
      <c r="AA8" s="4">
        <f>(MOVD_Sueldo[[#This Row],[COSTO DIA]]*30)/240*COUNTIFS(MOVD_Sueldo[FECHA],MOVD_Sueldo[[#This Row],[FECHA]],MOVD_Sueldo[NOMBRE],MOVD_Sueldo[[#This Row],[NOMBRE]])</f>
        <v>11.875</v>
      </c>
      <c r="AB8" s="5">
        <f>(MOVD_Sueldo[[#This Row],[COSTO DIA]]*30)/DAY(EOMONTH(U8,0))</f>
        <v>95</v>
      </c>
      <c r="AC8" s="6">
        <f>IF(T8&lt;&gt; "descanso forzado",AB8+Y8*AA8,AB8)</f>
        <v>17.8125</v>
      </c>
    </row>
    <row r="9" spans="1:29" x14ac:dyDescent="0.3">
      <c r="A9" s="7">
        <v>45034</v>
      </c>
      <c r="B9" s="9" t="s">
        <v>26</v>
      </c>
      <c r="C9" s="9" t="s">
        <v>120</v>
      </c>
      <c r="D9" s="10">
        <v>3.5</v>
      </c>
      <c r="E9" s="11">
        <f>(8/48)*MOVD_Jornal[[#This Row],[HORAS]]</f>
        <v>0.58333333333333326</v>
      </c>
      <c r="F9" s="11">
        <f>SUM(MOVD_Jornal[[#This Row],[HORAS]:[DOMINICAL]])</f>
        <v>4.083333333333333</v>
      </c>
      <c r="G9" s="12">
        <v>6.25</v>
      </c>
      <c r="H9" s="13">
        <f>MOVD_Jornal[[#This Row],[TOTAL HORAS]]*MOVD_Jornal[[#This Row],[COSTO HH]]</f>
        <v>25.520833333333332</v>
      </c>
      <c r="K9" s="49" t="s">
        <v>50</v>
      </c>
      <c r="L9" s="50">
        <v>100</v>
      </c>
      <c r="M9" s="51">
        <v>44927</v>
      </c>
      <c r="N9" s="51">
        <v>45291</v>
      </c>
      <c r="O9" s="52">
        <f>MOVD_ControlJornal[[#This Row],[FECHA FIN]]-MOVD_ControlJornal[[#This Row],[FECHA INICIO]]+1</f>
        <v>365</v>
      </c>
      <c r="P9" s="53" t="str">
        <f>IF(MOVD_ControlJornal[[#This Row],[PERIODO]]&gt;=364,"ANUAL", IF(MOVD_ControlJornal[[#This Row],[PERIODO]]&gt;=1,"POR DIAS","PASADO"))</f>
        <v>ANUAL</v>
      </c>
      <c r="Q9" s="13">
        <f>MOVD_ControlJornal[[#This Row],[S/. POR DIA]]/8</f>
        <v>12.5</v>
      </c>
      <c r="R9" s="13" t="str">
        <f>VLOOKUP(MOVD_ControlJornal[[#This Row],[NOMBRE]],BD_MOVD[],9,0)</f>
        <v>NORMAL</v>
      </c>
    </row>
    <row r="10" spans="1:29" x14ac:dyDescent="0.3">
      <c r="A10" s="7">
        <v>45034</v>
      </c>
      <c r="B10" s="9" t="s">
        <v>26</v>
      </c>
      <c r="C10" s="9" t="s">
        <v>127</v>
      </c>
      <c r="D10" s="10">
        <v>4.5</v>
      </c>
      <c r="E10" s="11">
        <f>(8/48)*MOVD_Jornal[[#This Row],[HORAS]]</f>
        <v>0.75</v>
      </c>
      <c r="F10" s="11">
        <f>SUM(MOVD_Jornal[[#This Row],[HORAS]:[DOMINICAL]])</f>
        <v>5.25</v>
      </c>
      <c r="G10" s="12">
        <v>6.25</v>
      </c>
      <c r="H10" s="13">
        <f>MOVD_Jornal[[#This Row],[TOTAL HORAS]]*MOVD_Jornal[[#This Row],[COSTO HH]]</f>
        <v>32.8125</v>
      </c>
      <c r="K10" s="49" t="s">
        <v>34</v>
      </c>
      <c r="L10" s="50">
        <v>90</v>
      </c>
      <c r="M10" s="51">
        <v>44927</v>
      </c>
      <c r="N10" s="51">
        <v>45291</v>
      </c>
      <c r="O10" s="52">
        <f>MOVD_ControlJornal[[#This Row],[FECHA FIN]]-MOVD_ControlJornal[[#This Row],[FECHA INICIO]]+1</f>
        <v>365</v>
      </c>
      <c r="P10" s="53" t="str">
        <f>IF(MOVD_ControlJornal[[#This Row],[PERIODO]]&gt;=364,"ANUAL", IF(MOVD_ControlJornal[[#This Row],[PERIODO]]&gt;=1,"POR DIAS","PASADO"))</f>
        <v>ANUAL</v>
      </c>
      <c r="Q10" s="13">
        <f>MOVD_ControlJornal[[#This Row],[S/. POR DIA]]/8</f>
        <v>11.25</v>
      </c>
      <c r="R10" s="13" t="str">
        <f>VLOOKUP(MOVD_ControlJornal[[#This Row],[NOMBRE]],BD_MOVD[],9,0)</f>
        <v>NORMAL</v>
      </c>
    </row>
    <row r="11" spans="1:29" x14ac:dyDescent="0.3">
      <c r="A11" s="7">
        <v>45035</v>
      </c>
      <c r="B11" s="9" t="s">
        <v>26</v>
      </c>
      <c r="C11" s="9" t="s">
        <v>125</v>
      </c>
      <c r="D11" s="10">
        <v>8</v>
      </c>
      <c r="E11" s="11">
        <f>(8/48)*MOVD_Jornal[[#This Row],[HORAS]]</f>
        <v>1.3333333333333333</v>
      </c>
      <c r="F11" s="11">
        <f>SUM(MOVD_Jornal[[#This Row],[HORAS]:[DOMINICAL]])</f>
        <v>9.3333333333333339</v>
      </c>
      <c r="G11" s="12">
        <v>6.25</v>
      </c>
      <c r="H11" s="13">
        <f>MOVD_Jornal[[#This Row],[TOTAL HORAS]]*MOVD_Jornal[[#This Row],[COSTO HH]]</f>
        <v>58.333333333333336</v>
      </c>
      <c r="K11" s="49" t="s">
        <v>55</v>
      </c>
      <c r="L11" s="50">
        <v>100</v>
      </c>
      <c r="M11" s="51">
        <v>44927</v>
      </c>
      <c r="N11" s="51">
        <v>45291</v>
      </c>
      <c r="O11" s="52">
        <f>MOVD_ControlJornal[[#This Row],[FECHA FIN]]-MOVD_ControlJornal[[#This Row],[FECHA INICIO]]+1</f>
        <v>365</v>
      </c>
      <c r="P11" s="53" t="str">
        <f>IF(MOVD_ControlJornal[[#This Row],[PERIODO]]&gt;=364,"ANUAL", IF(MOVD_ControlJornal[[#This Row],[PERIODO]]&gt;=1,"POR DIAS","PASADO"))</f>
        <v>ANUAL</v>
      </c>
      <c r="Q11" s="13">
        <f>MOVD_ControlJornal[[#This Row],[S/. POR DIA]]/8</f>
        <v>12.5</v>
      </c>
      <c r="R11" s="13" t="str">
        <f>VLOOKUP(MOVD_ControlJornal[[#This Row],[NOMBRE]],BD_MOVD[],9,0)</f>
        <v>NORMAL</v>
      </c>
    </row>
    <row r="12" spans="1:29" x14ac:dyDescent="0.3">
      <c r="A12" s="7">
        <v>45033</v>
      </c>
      <c r="B12" s="9" t="s">
        <v>28</v>
      </c>
      <c r="C12" s="9" t="s">
        <v>120</v>
      </c>
      <c r="D12" s="10">
        <v>8</v>
      </c>
      <c r="E12" s="11">
        <f>(8/48)*MOVD_Jornal[[#This Row],[HORAS]]</f>
        <v>1.3333333333333333</v>
      </c>
      <c r="F12" s="11">
        <f>SUM(MOVD_Jornal[[#This Row],[HORAS]:[DOMINICAL]])</f>
        <v>9.3333333333333339</v>
      </c>
      <c r="G12" s="12">
        <v>7.5</v>
      </c>
      <c r="H12" s="13">
        <f>MOVD_Jornal[[#This Row],[TOTAL HORAS]]*MOVD_Jornal[[#This Row],[COSTO HH]]</f>
        <v>70</v>
      </c>
      <c r="K12" s="49" t="s">
        <v>33</v>
      </c>
      <c r="L12" s="50">
        <v>70</v>
      </c>
      <c r="M12" s="51">
        <v>44927</v>
      </c>
      <c r="N12" s="51">
        <v>45291</v>
      </c>
      <c r="O12" s="52">
        <f>MOVD_ControlJornal[[#This Row],[FECHA FIN]]-MOVD_ControlJornal[[#This Row],[FECHA INICIO]]+1</f>
        <v>365</v>
      </c>
      <c r="P12" s="53" t="str">
        <f>IF(MOVD_ControlJornal[[#This Row],[PERIODO]]&gt;=364,"ANUAL", IF(MOVD_ControlJornal[[#This Row],[PERIODO]]&gt;=1,"POR DIAS","PASADO"))</f>
        <v>ANUAL</v>
      </c>
      <c r="Q12" s="13">
        <f>MOVD_ControlJornal[[#This Row],[S/. POR DIA]]/8</f>
        <v>8.75</v>
      </c>
      <c r="R12" s="13" t="str">
        <f>VLOOKUP(MOVD_ControlJornal[[#This Row],[NOMBRE]],BD_MOVD[],9,0)</f>
        <v>NORMAL</v>
      </c>
    </row>
    <row r="13" spans="1:29" x14ac:dyDescent="0.3">
      <c r="A13" s="7">
        <v>45034</v>
      </c>
      <c r="B13" s="9" t="s">
        <v>28</v>
      </c>
      <c r="C13" s="9" t="s">
        <v>120</v>
      </c>
      <c r="D13" s="10">
        <v>3.5</v>
      </c>
      <c r="E13" s="11">
        <f>(8/48)*MOVD_Jornal[[#This Row],[HORAS]]</f>
        <v>0.58333333333333326</v>
      </c>
      <c r="F13" s="11">
        <f>SUM(MOVD_Jornal[[#This Row],[HORAS]:[DOMINICAL]])</f>
        <v>4.083333333333333</v>
      </c>
      <c r="G13" s="12">
        <v>7.5</v>
      </c>
      <c r="H13" s="13">
        <f>MOVD_Jornal[[#This Row],[TOTAL HORAS]]*MOVD_Jornal[[#This Row],[COSTO HH]]</f>
        <v>30.624999999999996</v>
      </c>
      <c r="K13" s="49" t="s">
        <v>36</v>
      </c>
      <c r="L13" s="50">
        <v>90</v>
      </c>
      <c r="M13" s="51">
        <v>44927</v>
      </c>
      <c r="N13" s="51">
        <v>45291</v>
      </c>
      <c r="O13" s="52">
        <f>MOVD_ControlJornal[[#This Row],[FECHA FIN]]-MOVD_ControlJornal[[#This Row],[FECHA INICIO]]+1</f>
        <v>365</v>
      </c>
      <c r="P13" s="53" t="str">
        <f>IF(MOVD_ControlJornal[[#This Row],[PERIODO]]&gt;=364,"ANUAL", IF(MOVD_ControlJornal[[#This Row],[PERIODO]]&gt;=1,"POR DIAS","PASADO"))</f>
        <v>ANUAL</v>
      </c>
      <c r="Q13" s="13">
        <f>MOVD_ControlJornal[[#This Row],[S/. POR DIA]]/8</f>
        <v>11.25</v>
      </c>
      <c r="R13" s="13" t="str">
        <f>VLOOKUP(MOVD_ControlJornal[[#This Row],[NOMBRE]],BD_MOVD[],9,0)</f>
        <v>NORMAL</v>
      </c>
    </row>
    <row r="14" spans="1:29" x14ac:dyDescent="0.3">
      <c r="A14" s="7">
        <v>45034</v>
      </c>
      <c r="B14" s="9" t="s">
        <v>28</v>
      </c>
      <c r="C14" s="9" t="s">
        <v>125</v>
      </c>
      <c r="D14" s="10">
        <v>3.5</v>
      </c>
      <c r="E14" s="11">
        <f>(8/48)*MOVD_Jornal[[#This Row],[HORAS]]</f>
        <v>0.58333333333333326</v>
      </c>
      <c r="F14" s="11">
        <f>SUM(MOVD_Jornal[[#This Row],[HORAS]:[DOMINICAL]])</f>
        <v>4.083333333333333</v>
      </c>
      <c r="G14" s="12">
        <v>7.5</v>
      </c>
      <c r="H14" s="13">
        <f>MOVD_Jornal[[#This Row],[TOTAL HORAS]]*MOVD_Jornal[[#This Row],[COSTO HH]]</f>
        <v>30.624999999999996</v>
      </c>
      <c r="K14" s="49" t="s">
        <v>64</v>
      </c>
      <c r="L14" s="50">
        <v>100</v>
      </c>
      <c r="M14" s="51">
        <v>44927</v>
      </c>
      <c r="N14" s="51">
        <v>45291</v>
      </c>
      <c r="O14" s="52">
        <f>MOVD_ControlJornal[[#This Row],[FECHA FIN]]-MOVD_ControlJornal[[#This Row],[FECHA INICIO]]+1</f>
        <v>365</v>
      </c>
      <c r="P14" s="53" t="str">
        <f>IF(MOVD_ControlJornal[[#This Row],[PERIODO]]&gt;=364,"ANUAL", IF(MOVD_ControlJornal[[#This Row],[PERIODO]]&gt;=1,"POR DIAS","PASADO"))</f>
        <v>ANUAL</v>
      </c>
      <c r="Q14" s="13">
        <f>MOVD_ControlJornal[[#This Row],[S/. POR DIA]]/8</f>
        <v>12.5</v>
      </c>
      <c r="R14" s="13" t="str">
        <f>VLOOKUP(MOVD_ControlJornal[[#This Row],[NOMBRE]],BD_MOVD[],9,0)</f>
        <v>NORMAL</v>
      </c>
    </row>
    <row r="15" spans="1:29" x14ac:dyDescent="0.3">
      <c r="A15" s="7">
        <v>45034</v>
      </c>
      <c r="B15" s="9" t="s">
        <v>28</v>
      </c>
      <c r="C15" s="9" t="s">
        <v>127</v>
      </c>
      <c r="D15" s="10">
        <v>3</v>
      </c>
      <c r="E15" s="11">
        <f>(8/48)*MOVD_Jornal[[#This Row],[HORAS]]</f>
        <v>0.5</v>
      </c>
      <c r="F15" s="11">
        <f>SUM(MOVD_Jornal[[#This Row],[HORAS]:[DOMINICAL]])</f>
        <v>3.5</v>
      </c>
      <c r="G15" s="12">
        <v>7.5</v>
      </c>
      <c r="H15" s="13">
        <f>MOVD_Jornal[[#This Row],[TOTAL HORAS]]*MOVD_Jornal[[#This Row],[COSTO HH]]</f>
        <v>26.25</v>
      </c>
      <c r="K15" s="49" t="s">
        <v>32</v>
      </c>
      <c r="L15" s="50">
        <v>60</v>
      </c>
      <c r="M15" s="51">
        <v>44927</v>
      </c>
      <c r="N15" s="51">
        <v>45291</v>
      </c>
      <c r="O15" s="52">
        <f>MOVD_ControlJornal[[#This Row],[FECHA FIN]]-MOVD_ControlJornal[[#This Row],[FECHA INICIO]]+1</f>
        <v>365</v>
      </c>
      <c r="P15" s="53" t="str">
        <f>IF(MOVD_ControlJornal[[#This Row],[PERIODO]]&gt;=364,"ANUAL", IF(MOVD_ControlJornal[[#This Row],[PERIODO]]&gt;=1,"POR DIAS","PASADO"))</f>
        <v>ANUAL</v>
      </c>
      <c r="Q15" s="13">
        <f>MOVD_ControlJornal[[#This Row],[S/. POR DIA]]/8</f>
        <v>7.5</v>
      </c>
      <c r="R15" s="13" t="str">
        <f>VLOOKUP(MOVD_ControlJornal[[#This Row],[NOMBRE]],BD_MOVD[],9,0)</f>
        <v>NORMAL</v>
      </c>
    </row>
    <row r="16" spans="1:29" x14ac:dyDescent="0.3">
      <c r="A16" s="7">
        <v>45035</v>
      </c>
      <c r="B16" s="9" t="s">
        <v>28</v>
      </c>
      <c r="C16" s="9" t="s">
        <v>120</v>
      </c>
      <c r="D16" s="10">
        <v>4.5</v>
      </c>
      <c r="E16" s="11">
        <f>(8/48)*MOVD_Jornal[[#This Row],[HORAS]]</f>
        <v>0.75</v>
      </c>
      <c r="F16" s="11">
        <f>SUM(MOVD_Jornal[[#This Row],[HORAS]:[DOMINICAL]])</f>
        <v>5.25</v>
      </c>
      <c r="G16" s="12">
        <v>7.5</v>
      </c>
      <c r="H16" s="13">
        <f>MOVD_Jornal[[#This Row],[TOTAL HORAS]]*MOVD_Jornal[[#This Row],[COSTO HH]]</f>
        <v>39.375</v>
      </c>
      <c r="K16" s="49" t="s">
        <v>52</v>
      </c>
      <c r="L16" s="50">
        <v>100</v>
      </c>
      <c r="M16" s="51">
        <v>44927</v>
      </c>
      <c r="N16" s="51">
        <v>45291</v>
      </c>
      <c r="O16" s="52">
        <f>MOVD_ControlJornal[[#This Row],[FECHA FIN]]-MOVD_ControlJornal[[#This Row],[FECHA INICIO]]+1</f>
        <v>365</v>
      </c>
      <c r="P16" s="53" t="str">
        <f>IF(MOVD_ControlJornal[[#This Row],[PERIODO]]&gt;=364,"ANUAL", IF(MOVD_ControlJornal[[#This Row],[PERIODO]]&gt;=1,"POR DIAS","PASADO"))</f>
        <v>ANUAL</v>
      </c>
      <c r="Q16" s="13">
        <f>MOVD_ControlJornal[[#This Row],[S/. POR DIA]]/8</f>
        <v>12.5</v>
      </c>
      <c r="R16" s="13" t="str">
        <f>VLOOKUP(MOVD_ControlJornal[[#This Row],[NOMBRE]],BD_MOVD[],9,0)</f>
        <v>NORMAL</v>
      </c>
    </row>
    <row r="17" spans="1:18" x14ac:dyDescent="0.3">
      <c r="A17" s="7">
        <v>45035</v>
      </c>
      <c r="B17" s="9" t="s">
        <v>28</v>
      </c>
      <c r="C17" s="9" t="s">
        <v>169</v>
      </c>
      <c r="D17" s="10">
        <v>4.5</v>
      </c>
      <c r="E17" s="11">
        <f>(8/48)*MOVD_Jornal[[#This Row],[HORAS]]</f>
        <v>0.75</v>
      </c>
      <c r="F17" s="11">
        <f>SUM(MOVD_Jornal[[#This Row],[HORAS]:[DOMINICAL]])</f>
        <v>5.25</v>
      </c>
      <c r="G17" s="12">
        <v>7.5</v>
      </c>
      <c r="H17" s="13">
        <f>MOVD_Jornal[[#This Row],[TOTAL HORAS]]*MOVD_Jornal[[#This Row],[COSTO HH]]</f>
        <v>39.375</v>
      </c>
      <c r="K17" s="49" t="s">
        <v>28</v>
      </c>
      <c r="L17" s="50">
        <v>60</v>
      </c>
      <c r="M17" s="51">
        <v>44927</v>
      </c>
      <c r="N17" s="51">
        <v>45291</v>
      </c>
      <c r="O17" s="52">
        <f>MOVD_ControlJornal[[#This Row],[FECHA FIN]]-MOVD_ControlJornal[[#This Row],[FECHA INICIO]]+1</f>
        <v>365</v>
      </c>
      <c r="P17" s="53" t="str">
        <f>IF(MOVD_ControlJornal[[#This Row],[PERIODO]]&gt;=364,"ANUAL", IF(MOVD_ControlJornal[[#This Row],[PERIODO]]&gt;=1,"POR DIAS","PASADO"))</f>
        <v>ANUAL</v>
      </c>
      <c r="Q17" s="13">
        <f>MOVD_ControlJornal[[#This Row],[S/. POR DIA]]/8</f>
        <v>7.5</v>
      </c>
      <c r="R17" s="13" t="str">
        <f>VLOOKUP(MOVD_ControlJornal[[#This Row],[NOMBRE]],BD_MOVD[],9,0)</f>
        <v>NORMAL</v>
      </c>
    </row>
    <row r="18" spans="1:18" x14ac:dyDescent="0.3">
      <c r="A18" s="7">
        <v>45033</v>
      </c>
      <c r="B18" s="9" t="s">
        <v>33</v>
      </c>
      <c r="C18" s="9" t="s">
        <v>120</v>
      </c>
      <c r="D18" s="10">
        <v>4.5</v>
      </c>
      <c r="E18" s="11">
        <f>(8/48)*MOVD_Jornal[[#This Row],[HORAS]]</f>
        <v>0.75</v>
      </c>
      <c r="F18" s="11">
        <f>SUM(MOVD_Jornal[[#This Row],[HORAS]:[DOMINICAL]])</f>
        <v>5.25</v>
      </c>
      <c r="G18" s="12">
        <v>8.75</v>
      </c>
      <c r="H18" s="13">
        <f>MOVD_Jornal[[#This Row],[TOTAL HORAS]]*MOVD_Jornal[[#This Row],[COSTO HH]]</f>
        <v>45.9375</v>
      </c>
      <c r="K18" s="49" t="s">
        <v>27</v>
      </c>
      <c r="L18" s="50">
        <v>50</v>
      </c>
      <c r="M18" s="51">
        <v>44927</v>
      </c>
      <c r="N18" s="51">
        <v>45291</v>
      </c>
      <c r="O18" s="52">
        <f>MOVD_ControlJornal[[#This Row],[FECHA FIN]]-MOVD_ControlJornal[[#This Row],[FECHA INICIO]]+1</f>
        <v>365</v>
      </c>
      <c r="P18" s="53" t="str">
        <f>IF(MOVD_ControlJornal[[#This Row],[PERIODO]]&gt;=364,"ANUAL", IF(MOVD_ControlJornal[[#This Row],[PERIODO]]&gt;=1,"POR DIAS","PASADO"))</f>
        <v>ANUAL</v>
      </c>
      <c r="Q18" s="13">
        <f>MOVD_ControlJornal[[#This Row],[S/. POR DIA]]/8</f>
        <v>6.25</v>
      </c>
      <c r="R18" s="13" t="str">
        <f>VLOOKUP(MOVD_ControlJornal[[#This Row],[NOMBRE]],BD_MOVD[],9,0)</f>
        <v>NORMAL</v>
      </c>
    </row>
    <row r="19" spans="1:18" x14ac:dyDescent="0.3">
      <c r="A19" s="7">
        <v>45034</v>
      </c>
      <c r="B19" s="9" t="s">
        <v>33</v>
      </c>
      <c r="C19" s="9" t="s">
        <v>122</v>
      </c>
      <c r="D19" s="10">
        <v>4.5</v>
      </c>
      <c r="E19" s="11">
        <f>(8/48)*MOVD_Jornal[[#This Row],[HORAS]]</f>
        <v>0.75</v>
      </c>
      <c r="F19" s="11">
        <f>SUM(MOVD_Jornal[[#This Row],[HORAS]:[DOMINICAL]])</f>
        <v>5.25</v>
      </c>
      <c r="G19" s="12">
        <v>8.75</v>
      </c>
      <c r="H19" s="13">
        <f>MOVD_Jornal[[#This Row],[TOTAL HORAS]]*MOVD_Jornal[[#This Row],[COSTO HH]]</f>
        <v>45.9375</v>
      </c>
      <c r="K19" s="49" t="s">
        <v>61</v>
      </c>
      <c r="L19" s="50">
        <v>100</v>
      </c>
      <c r="M19" s="51">
        <v>44927</v>
      </c>
      <c r="N19" s="51">
        <v>45291</v>
      </c>
      <c r="O19" s="52">
        <f>MOVD_ControlJornal[[#This Row],[FECHA FIN]]-MOVD_ControlJornal[[#This Row],[FECHA INICIO]]+1</f>
        <v>365</v>
      </c>
      <c r="P19" s="53" t="str">
        <f>IF(MOVD_ControlJornal[[#This Row],[PERIODO]]&gt;=364,"ANUAL", IF(MOVD_ControlJornal[[#This Row],[PERIODO]]&gt;=1,"POR DIAS","PASADO"))</f>
        <v>ANUAL</v>
      </c>
      <c r="Q19" s="13">
        <f>MOVD_ControlJornal[[#This Row],[S/. POR DIA]]/8</f>
        <v>12.5</v>
      </c>
      <c r="R19" s="13" t="str">
        <f>VLOOKUP(MOVD_ControlJornal[[#This Row],[NOMBRE]],BD_MOVD[],9,0)</f>
        <v>NORMAL</v>
      </c>
    </row>
    <row r="20" spans="1:18" x14ac:dyDescent="0.3">
      <c r="A20" s="7">
        <v>45034</v>
      </c>
      <c r="B20" s="9" t="s">
        <v>33</v>
      </c>
      <c r="C20" s="9" t="s">
        <v>125</v>
      </c>
      <c r="D20" s="10">
        <v>1</v>
      </c>
      <c r="E20" s="11">
        <f>(8/48)*MOVD_Jornal[[#This Row],[HORAS]]</f>
        <v>0.16666666666666666</v>
      </c>
      <c r="F20" s="11">
        <f>SUM(MOVD_Jornal[[#This Row],[HORAS]:[DOMINICAL]])</f>
        <v>1.1666666666666667</v>
      </c>
      <c r="G20" s="12">
        <v>8.75</v>
      </c>
      <c r="H20" s="13">
        <f>MOVD_Jornal[[#This Row],[TOTAL HORAS]]*MOVD_Jornal[[#This Row],[COSTO HH]]</f>
        <v>10.208333333333334</v>
      </c>
      <c r="K20" s="49" t="s">
        <v>65</v>
      </c>
      <c r="L20" s="50">
        <v>100</v>
      </c>
      <c r="M20" s="51">
        <v>44927</v>
      </c>
      <c r="N20" s="51">
        <v>45291</v>
      </c>
      <c r="O20" s="52">
        <f>MOVD_ControlJornal[[#This Row],[FECHA FIN]]-MOVD_ControlJornal[[#This Row],[FECHA INICIO]]+1</f>
        <v>365</v>
      </c>
      <c r="P20" s="53" t="str">
        <f>IF(MOVD_ControlJornal[[#This Row],[PERIODO]]&gt;=364,"ANUAL", IF(MOVD_ControlJornal[[#This Row],[PERIODO]]&gt;=1,"POR DIAS","PASADO"))</f>
        <v>ANUAL</v>
      </c>
      <c r="Q20" s="13">
        <f>MOVD_ControlJornal[[#This Row],[S/. POR DIA]]/8</f>
        <v>12.5</v>
      </c>
      <c r="R20" s="13" t="str">
        <f>VLOOKUP(MOVD_ControlJornal[[#This Row],[NOMBRE]],BD_MOVD[],9,0)</f>
        <v>NORMAL</v>
      </c>
    </row>
    <row r="21" spans="1:18" x14ac:dyDescent="0.3">
      <c r="A21" s="7">
        <v>45034</v>
      </c>
      <c r="B21" s="9" t="s">
        <v>33</v>
      </c>
      <c r="C21" s="9" t="s">
        <v>127</v>
      </c>
      <c r="D21" s="10">
        <v>4.5</v>
      </c>
      <c r="E21" s="11">
        <f>(8/48)*MOVD_Jornal[[#This Row],[HORAS]]</f>
        <v>0.75</v>
      </c>
      <c r="F21" s="11">
        <f>SUM(MOVD_Jornal[[#This Row],[HORAS]:[DOMINICAL]])</f>
        <v>5.25</v>
      </c>
      <c r="G21" s="12">
        <v>8.75</v>
      </c>
      <c r="H21" s="13">
        <f>MOVD_Jornal[[#This Row],[TOTAL HORAS]]*MOVD_Jornal[[#This Row],[COSTO HH]]</f>
        <v>45.9375</v>
      </c>
      <c r="K21" s="49" t="s">
        <v>30</v>
      </c>
      <c r="L21" s="50">
        <v>60</v>
      </c>
      <c r="M21" s="51">
        <v>44927</v>
      </c>
      <c r="N21" s="51">
        <v>45291</v>
      </c>
      <c r="O21" s="52">
        <f>MOVD_ControlJornal[[#This Row],[FECHA FIN]]-MOVD_ControlJornal[[#This Row],[FECHA INICIO]]+1</f>
        <v>365</v>
      </c>
      <c r="P21" s="53" t="str">
        <f>IF(MOVD_ControlJornal[[#This Row],[PERIODO]]&gt;=364,"ANUAL", IF(MOVD_ControlJornal[[#This Row],[PERIODO]]&gt;=1,"POR DIAS","PASADO"))</f>
        <v>ANUAL</v>
      </c>
      <c r="Q21" s="13">
        <f>MOVD_ControlJornal[[#This Row],[S/. POR DIA]]/8</f>
        <v>7.5</v>
      </c>
      <c r="R21" s="13" t="str">
        <f>VLOOKUP(MOVD_ControlJornal[[#This Row],[NOMBRE]],BD_MOVD[],9,0)</f>
        <v>NORMAL</v>
      </c>
    </row>
    <row r="22" spans="1:18" x14ac:dyDescent="0.3">
      <c r="A22" s="7">
        <v>45035</v>
      </c>
      <c r="B22" s="9" t="s">
        <v>33</v>
      </c>
      <c r="C22" s="9" t="s">
        <v>120</v>
      </c>
      <c r="D22" s="10">
        <v>1</v>
      </c>
      <c r="E22" s="11">
        <f>(8/48)*MOVD_Jornal[[#This Row],[HORAS]]</f>
        <v>0.16666666666666666</v>
      </c>
      <c r="F22" s="11">
        <f>SUM(MOVD_Jornal[[#This Row],[HORAS]:[DOMINICAL]])</f>
        <v>1.1666666666666667</v>
      </c>
      <c r="G22" s="12">
        <v>8.75</v>
      </c>
      <c r="H22" s="13">
        <f>MOVD_Jornal[[#This Row],[TOTAL HORAS]]*MOVD_Jornal[[#This Row],[COSTO HH]]</f>
        <v>10.208333333333334</v>
      </c>
      <c r="K22" s="49" t="s">
        <v>46</v>
      </c>
      <c r="L22" s="50">
        <v>95</v>
      </c>
      <c r="M22" s="51">
        <v>44927</v>
      </c>
      <c r="N22" s="51">
        <v>45291</v>
      </c>
      <c r="O22" s="52">
        <f>MOVD_ControlJornal[[#This Row],[FECHA FIN]]-MOVD_ControlJornal[[#This Row],[FECHA INICIO]]+1</f>
        <v>365</v>
      </c>
      <c r="P22" s="53" t="str">
        <f>IF(MOVD_ControlJornal[[#This Row],[PERIODO]]&gt;=364,"ANUAL", IF(MOVD_ControlJornal[[#This Row],[PERIODO]]&gt;=1,"POR DIAS","PASADO"))</f>
        <v>ANUAL</v>
      </c>
      <c r="Q22" s="13">
        <f>MOVD_ControlJornal[[#This Row],[S/. POR DIA]]/8</f>
        <v>11.875</v>
      </c>
      <c r="R22" s="13" t="str">
        <f>VLOOKUP(MOVD_ControlJornal[[#This Row],[NOMBRE]],BD_MOVD[],9,0)</f>
        <v>NORMAL</v>
      </c>
    </row>
    <row r="23" spans="1:18" x14ac:dyDescent="0.3">
      <c r="A23" s="7">
        <v>45035</v>
      </c>
      <c r="B23" s="9" t="s">
        <v>33</v>
      </c>
      <c r="C23" s="9" t="s">
        <v>122</v>
      </c>
      <c r="D23" s="10">
        <v>8</v>
      </c>
      <c r="E23" s="11">
        <f>(8/48)*MOVD_Jornal[[#This Row],[HORAS]]</f>
        <v>1.3333333333333333</v>
      </c>
      <c r="F23" s="11">
        <f>SUM(MOVD_Jornal[[#This Row],[HORAS]:[DOMINICAL]])</f>
        <v>9.3333333333333339</v>
      </c>
      <c r="G23" s="12">
        <v>8.75</v>
      </c>
      <c r="H23" s="13">
        <f>MOVD_Jornal[[#This Row],[TOTAL HORAS]]*MOVD_Jornal[[#This Row],[COSTO HH]]</f>
        <v>81.666666666666671</v>
      </c>
      <c r="K23" s="49" t="s">
        <v>53</v>
      </c>
      <c r="L23" s="50">
        <v>100</v>
      </c>
      <c r="M23" s="51">
        <v>44927</v>
      </c>
      <c r="N23" s="51">
        <v>45291</v>
      </c>
      <c r="O23" s="52">
        <f>MOVD_ControlJornal[[#This Row],[FECHA FIN]]-MOVD_ControlJornal[[#This Row],[FECHA INICIO]]+1</f>
        <v>365</v>
      </c>
      <c r="P23" s="53" t="str">
        <f>IF(MOVD_ControlJornal[[#This Row],[PERIODO]]&gt;=364,"ANUAL", IF(MOVD_ControlJornal[[#This Row],[PERIODO]]&gt;=1,"POR DIAS","PASADO"))</f>
        <v>ANUAL</v>
      </c>
      <c r="Q23" s="13">
        <f>MOVD_ControlJornal[[#This Row],[S/. POR DIA]]/8</f>
        <v>12.5</v>
      </c>
      <c r="R23" s="13" t="str">
        <f>VLOOKUP(MOVD_ControlJornal[[#This Row],[NOMBRE]],BD_MOVD[],9,0)</f>
        <v>NORMAL</v>
      </c>
    </row>
    <row r="24" spans="1:18" x14ac:dyDescent="0.3">
      <c r="A24" s="7">
        <v>45035</v>
      </c>
      <c r="B24" s="9" t="s">
        <v>37</v>
      </c>
      <c r="C24" s="9" t="s">
        <v>169</v>
      </c>
      <c r="D24" s="10">
        <v>9</v>
      </c>
      <c r="E24" s="11">
        <f>(8/48)*MOVD_Jornal[[#This Row],[HORAS]]</f>
        <v>1.5</v>
      </c>
      <c r="F24" s="11">
        <f>SUM(MOVD_Jornal[[#This Row],[HORAS]:[DOMINICAL]])</f>
        <v>10.5</v>
      </c>
      <c r="G24" s="12">
        <v>11.25</v>
      </c>
      <c r="H24" s="13">
        <f>MOVD_Jornal[[#This Row],[TOTAL HORAS]]*MOVD_Jornal[[#This Row],[COSTO HH]]</f>
        <v>118.125</v>
      </c>
      <c r="K24" s="49" t="s">
        <v>22</v>
      </c>
      <c r="L24" s="50">
        <v>40</v>
      </c>
      <c r="M24" s="51">
        <v>44927</v>
      </c>
      <c r="N24" s="51">
        <v>45291</v>
      </c>
      <c r="O24" s="52">
        <f>MOVD_ControlJornal[[#This Row],[FECHA FIN]]-MOVD_ControlJornal[[#This Row],[FECHA INICIO]]+1</f>
        <v>365</v>
      </c>
      <c r="P24" s="53" t="str">
        <f>IF(MOVD_ControlJornal[[#This Row],[PERIODO]]&gt;=364,"ANUAL", IF(MOVD_ControlJornal[[#This Row],[PERIODO]]&gt;=1,"POR DIAS","PASADO"))</f>
        <v>ANUAL</v>
      </c>
      <c r="Q24" s="13">
        <f>MOVD_ControlJornal[[#This Row],[S/. POR DIA]]/8</f>
        <v>5</v>
      </c>
      <c r="R24" s="13" t="str">
        <f>VLOOKUP(MOVD_ControlJornal[[#This Row],[NOMBRE]],BD_MOVD[],9,0)</f>
        <v>NORMAL</v>
      </c>
    </row>
    <row r="25" spans="1:18" x14ac:dyDescent="0.3">
      <c r="A25" s="7">
        <v>45033</v>
      </c>
      <c r="B25" s="9" t="s">
        <v>36</v>
      </c>
      <c r="C25" s="9" t="s">
        <v>120</v>
      </c>
      <c r="D25" s="10">
        <v>8</v>
      </c>
      <c r="E25" s="11">
        <f>(8/48)*MOVD_Jornal[[#This Row],[HORAS]]</f>
        <v>1.3333333333333333</v>
      </c>
      <c r="F25" s="11">
        <f>SUM(MOVD_Jornal[[#This Row],[HORAS]:[DOMINICAL]])</f>
        <v>9.3333333333333339</v>
      </c>
      <c r="G25" s="12">
        <v>11.25</v>
      </c>
      <c r="H25" s="13">
        <f>MOVD_Jornal[[#This Row],[TOTAL HORAS]]*MOVD_Jornal[[#This Row],[COSTO HH]]</f>
        <v>105</v>
      </c>
      <c r="K25" s="49" t="s">
        <v>39</v>
      </c>
      <c r="L25" s="50">
        <v>90</v>
      </c>
      <c r="M25" s="51">
        <v>44927</v>
      </c>
      <c r="N25" s="51">
        <v>45291</v>
      </c>
      <c r="O25" s="52">
        <f>MOVD_ControlJornal[[#This Row],[FECHA FIN]]-MOVD_ControlJornal[[#This Row],[FECHA INICIO]]+1</f>
        <v>365</v>
      </c>
      <c r="P25" s="53" t="str">
        <f>IF(MOVD_ControlJornal[[#This Row],[PERIODO]]&gt;=364,"ANUAL", IF(MOVD_ControlJornal[[#This Row],[PERIODO]]&gt;=1,"POR DIAS","PASADO"))</f>
        <v>ANUAL</v>
      </c>
      <c r="Q25" s="13">
        <f>MOVD_ControlJornal[[#This Row],[S/. POR DIA]]/8</f>
        <v>11.25</v>
      </c>
      <c r="R25" s="13" t="str">
        <f>VLOOKUP(MOVD_ControlJornal[[#This Row],[NOMBRE]],BD_MOVD[],9,0)</f>
        <v>NORMAL</v>
      </c>
    </row>
    <row r="26" spans="1:18" x14ac:dyDescent="0.3">
      <c r="A26" s="7">
        <v>45034</v>
      </c>
      <c r="B26" s="9" t="s">
        <v>36</v>
      </c>
      <c r="C26" s="9" t="s">
        <v>122</v>
      </c>
      <c r="D26" s="10">
        <v>5.5</v>
      </c>
      <c r="E26" s="11">
        <f>(8/48)*MOVD_Jornal[[#This Row],[HORAS]]</f>
        <v>0.91666666666666663</v>
      </c>
      <c r="F26" s="11">
        <f>SUM(MOVD_Jornal[[#This Row],[HORAS]:[DOMINICAL]])</f>
        <v>6.416666666666667</v>
      </c>
      <c r="G26" s="12">
        <v>11.25</v>
      </c>
      <c r="H26" s="13">
        <f>MOVD_Jornal[[#This Row],[TOTAL HORAS]]*MOVD_Jornal[[#This Row],[COSTO HH]]</f>
        <v>72.1875</v>
      </c>
      <c r="K26" s="49" t="s">
        <v>45</v>
      </c>
      <c r="L26" s="50">
        <v>95</v>
      </c>
      <c r="M26" s="51">
        <v>44927</v>
      </c>
      <c r="N26" s="51">
        <v>45291</v>
      </c>
      <c r="O26" s="52">
        <f>MOVD_ControlJornal[[#This Row],[FECHA FIN]]-MOVD_ControlJornal[[#This Row],[FECHA INICIO]]+1</f>
        <v>365</v>
      </c>
      <c r="P26" s="53" t="str">
        <f>IF(MOVD_ControlJornal[[#This Row],[PERIODO]]&gt;=364,"ANUAL", IF(MOVD_ControlJornal[[#This Row],[PERIODO]]&gt;=1,"POR DIAS","PASADO"))</f>
        <v>ANUAL</v>
      </c>
      <c r="Q26" s="13">
        <f>MOVD_ControlJornal[[#This Row],[S/. POR DIA]]/8</f>
        <v>11.875</v>
      </c>
      <c r="R26" s="13" t="str">
        <f>VLOOKUP(MOVD_ControlJornal[[#This Row],[NOMBRE]],BD_MOVD[],9,0)</f>
        <v>NORMAL</v>
      </c>
    </row>
    <row r="27" spans="1:18" x14ac:dyDescent="0.3">
      <c r="A27" s="7">
        <v>45035</v>
      </c>
      <c r="B27" s="9" t="s">
        <v>36</v>
      </c>
      <c r="C27" s="9" t="s">
        <v>122</v>
      </c>
      <c r="D27" s="10">
        <v>9</v>
      </c>
      <c r="E27" s="11">
        <f>(8/48)*MOVD_Jornal[[#This Row],[HORAS]]</f>
        <v>1.5</v>
      </c>
      <c r="F27" s="11">
        <f>SUM(MOVD_Jornal[[#This Row],[HORAS]:[DOMINICAL]])</f>
        <v>10.5</v>
      </c>
      <c r="G27" s="12">
        <v>11.25</v>
      </c>
      <c r="H27" s="13">
        <f>MOVD_Jornal[[#This Row],[TOTAL HORAS]]*MOVD_Jornal[[#This Row],[COSTO HH]]</f>
        <v>118.125</v>
      </c>
      <c r="K27" s="49" t="s">
        <v>67</v>
      </c>
      <c r="L27" s="50">
        <v>130</v>
      </c>
      <c r="M27" s="51">
        <v>44927</v>
      </c>
      <c r="N27" s="51">
        <v>45291</v>
      </c>
      <c r="O27" s="52">
        <f>MOVD_ControlJornal[[#This Row],[FECHA FIN]]-MOVD_ControlJornal[[#This Row],[FECHA INICIO]]+1</f>
        <v>365</v>
      </c>
      <c r="P27" s="53" t="str">
        <f>IF(MOVD_ControlJornal[[#This Row],[PERIODO]]&gt;=364,"ANUAL", IF(MOVD_ControlJornal[[#This Row],[PERIODO]]&gt;=1,"POR DIAS","PASADO"))</f>
        <v>ANUAL</v>
      </c>
      <c r="Q27" s="13">
        <f>MOVD_ControlJornal[[#This Row],[S/. POR DIA]]/8</f>
        <v>16.25</v>
      </c>
      <c r="R27" s="13" t="str">
        <f>VLOOKUP(MOVD_ControlJornal[[#This Row],[NOMBRE]],BD_MOVD[],9,0)</f>
        <v>NORMAL</v>
      </c>
    </row>
    <row r="28" spans="1:18" x14ac:dyDescent="0.3">
      <c r="A28" s="7">
        <v>45033</v>
      </c>
      <c r="B28" s="9" t="s">
        <v>15</v>
      </c>
      <c r="C28" s="9" t="s">
        <v>120</v>
      </c>
      <c r="D28" s="10">
        <v>9</v>
      </c>
      <c r="E28" s="11">
        <f>(8/48)*MOVD_Jornal[[#This Row],[HORAS]]</f>
        <v>1.5</v>
      </c>
      <c r="F28" s="11">
        <f>SUM(MOVD_Jornal[[#This Row],[HORAS]:[DOMINICAL]])</f>
        <v>10.5</v>
      </c>
      <c r="G28" s="12">
        <v>11.875</v>
      </c>
      <c r="H28" s="13">
        <f>MOVD_Jornal[[#This Row],[TOTAL HORAS]]*MOVD_Jornal[[#This Row],[COSTO HH]]</f>
        <v>124.6875</v>
      </c>
      <c r="K28" s="49" t="s">
        <v>59</v>
      </c>
      <c r="L28" s="50">
        <v>100</v>
      </c>
      <c r="M28" s="51">
        <v>44927</v>
      </c>
      <c r="N28" s="51">
        <v>45291</v>
      </c>
      <c r="O28" s="52">
        <f>MOVD_ControlJornal[[#This Row],[FECHA FIN]]-MOVD_ControlJornal[[#This Row],[FECHA INICIO]]+1</f>
        <v>365</v>
      </c>
      <c r="P28" s="53" t="str">
        <f>IF(MOVD_ControlJornal[[#This Row],[PERIODO]]&gt;=364,"ANUAL", IF(MOVD_ControlJornal[[#This Row],[PERIODO]]&gt;=1,"POR DIAS","PASADO"))</f>
        <v>ANUAL</v>
      </c>
      <c r="Q28" s="13">
        <f>MOVD_ControlJornal[[#This Row],[S/. POR DIA]]/8</f>
        <v>12.5</v>
      </c>
      <c r="R28" s="13" t="str">
        <f>VLOOKUP(MOVD_ControlJornal[[#This Row],[NOMBRE]],BD_MOVD[],9,0)</f>
        <v>NORMAL</v>
      </c>
    </row>
    <row r="29" spans="1:18" x14ac:dyDescent="0.3">
      <c r="A29" s="7">
        <v>45034</v>
      </c>
      <c r="B29" s="9" t="s">
        <v>15</v>
      </c>
      <c r="C29" s="9" t="s">
        <v>120</v>
      </c>
      <c r="D29" s="10">
        <v>8</v>
      </c>
      <c r="E29" s="11">
        <f>(8/48)*MOVD_Jornal[[#This Row],[HORAS]]</f>
        <v>1.3333333333333333</v>
      </c>
      <c r="F29" s="11">
        <f>SUM(MOVD_Jornal[[#This Row],[HORAS]:[DOMINICAL]])</f>
        <v>9.3333333333333339</v>
      </c>
      <c r="G29" s="12">
        <v>11.875</v>
      </c>
      <c r="H29" s="13">
        <f>MOVD_Jornal[[#This Row],[TOTAL HORAS]]*MOVD_Jornal[[#This Row],[COSTO HH]]</f>
        <v>110.83333333333334</v>
      </c>
      <c r="K29" s="49" t="s">
        <v>63</v>
      </c>
      <c r="L29" s="50">
        <v>100</v>
      </c>
      <c r="M29" s="51">
        <v>44927</v>
      </c>
      <c r="N29" s="51">
        <v>45291</v>
      </c>
      <c r="O29" s="52">
        <f>MOVD_ControlJornal[[#This Row],[FECHA FIN]]-MOVD_ControlJornal[[#This Row],[FECHA INICIO]]+1</f>
        <v>365</v>
      </c>
      <c r="P29" s="53" t="str">
        <f>IF(MOVD_ControlJornal[[#This Row],[PERIODO]]&gt;=364,"ANUAL", IF(MOVD_ControlJornal[[#This Row],[PERIODO]]&gt;=1,"POR DIAS","PASADO"))</f>
        <v>ANUAL</v>
      </c>
      <c r="Q29" s="13">
        <f>MOVD_ControlJornal[[#This Row],[S/. POR DIA]]/8</f>
        <v>12.5</v>
      </c>
      <c r="R29" s="13" t="str">
        <f>VLOOKUP(MOVD_ControlJornal[[#This Row],[NOMBRE]],BD_MOVD[],9,0)</f>
        <v>NORMAL</v>
      </c>
    </row>
    <row r="30" spans="1:18" x14ac:dyDescent="0.3">
      <c r="A30" s="7">
        <v>45034</v>
      </c>
      <c r="B30" s="9" t="s">
        <v>15</v>
      </c>
      <c r="C30" s="9" t="s">
        <v>127</v>
      </c>
      <c r="D30" s="10">
        <v>2</v>
      </c>
      <c r="E30" s="11">
        <f>(8/48)*MOVD_Jornal[[#This Row],[HORAS]]</f>
        <v>0.33333333333333331</v>
      </c>
      <c r="F30" s="11">
        <f>SUM(MOVD_Jornal[[#This Row],[HORAS]:[DOMINICAL]])</f>
        <v>2.3333333333333335</v>
      </c>
      <c r="G30" s="12">
        <v>11.875</v>
      </c>
      <c r="H30" s="13">
        <f>MOVD_Jornal[[#This Row],[TOTAL HORAS]]*MOVD_Jornal[[#This Row],[COSTO HH]]</f>
        <v>27.708333333333336</v>
      </c>
      <c r="K30" s="49" t="s">
        <v>56</v>
      </c>
      <c r="L30" s="50">
        <v>100</v>
      </c>
      <c r="M30" s="51">
        <v>44927</v>
      </c>
      <c r="N30" s="51">
        <v>45291</v>
      </c>
      <c r="O30" s="52">
        <f>MOVD_ControlJornal[[#This Row],[FECHA FIN]]-MOVD_ControlJornal[[#This Row],[FECHA INICIO]]+1</f>
        <v>365</v>
      </c>
      <c r="P30" s="53" t="str">
        <f>IF(MOVD_ControlJornal[[#This Row],[PERIODO]]&gt;=364,"ANUAL", IF(MOVD_ControlJornal[[#This Row],[PERIODO]]&gt;=1,"POR DIAS","PASADO"))</f>
        <v>ANUAL</v>
      </c>
      <c r="Q30" s="13">
        <f>MOVD_ControlJornal[[#This Row],[S/. POR DIA]]/8</f>
        <v>12.5</v>
      </c>
      <c r="R30" s="13" t="str">
        <f>VLOOKUP(MOVD_ControlJornal[[#This Row],[NOMBRE]],BD_MOVD[],9,0)</f>
        <v>NORMAL</v>
      </c>
    </row>
    <row r="31" spans="1:18" x14ac:dyDescent="0.3">
      <c r="A31" s="7">
        <v>45035</v>
      </c>
      <c r="B31" s="9" t="s">
        <v>15</v>
      </c>
      <c r="C31" s="9" t="s">
        <v>120</v>
      </c>
      <c r="D31" s="10">
        <v>4.5</v>
      </c>
      <c r="E31" s="11">
        <f>(8/48)*MOVD_Jornal[[#This Row],[HORAS]]</f>
        <v>0.75</v>
      </c>
      <c r="F31" s="11">
        <f>SUM(MOVD_Jornal[[#This Row],[HORAS]:[DOMINICAL]])</f>
        <v>5.25</v>
      </c>
      <c r="G31" s="12">
        <v>11.875</v>
      </c>
      <c r="H31" s="13">
        <f>MOVD_Jornal[[#This Row],[TOTAL HORAS]]*MOVD_Jornal[[#This Row],[COSTO HH]]</f>
        <v>62.34375</v>
      </c>
      <c r="K31" s="49" t="s">
        <v>26</v>
      </c>
      <c r="L31" s="50">
        <v>50</v>
      </c>
      <c r="M31" s="51">
        <v>44927</v>
      </c>
      <c r="N31" s="51">
        <v>45291</v>
      </c>
      <c r="O31" s="52">
        <f>MOVD_ControlJornal[[#This Row],[FECHA FIN]]-MOVD_ControlJornal[[#This Row],[FECHA INICIO]]+1</f>
        <v>365</v>
      </c>
      <c r="P31" s="53" t="str">
        <f>IF(MOVD_ControlJornal[[#This Row],[PERIODO]]&gt;=364,"ANUAL", IF(MOVD_ControlJornal[[#This Row],[PERIODO]]&gt;=1,"POR DIAS","PASADO"))</f>
        <v>ANUAL</v>
      </c>
      <c r="Q31" s="13">
        <f>MOVD_ControlJornal[[#This Row],[S/. POR DIA]]/8</f>
        <v>6.25</v>
      </c>
      <c r="R31" s="13" t="str">
        <f>VLOOKUP(MOVD_ControlJornal[[#This Row],[NOMBRE]],BD_MOVD[],9,0)</f>
        <v>NORMAL</v>
      </c>
    </row>
    <row r="32" spans="1:18" x14ac:dyDescent="0.3">
      <c r="A32" s="7">
        <v>45035</v>
      </c>
      <c r="B32" s="9" t="s">
        <v>15</v>
      </c>
      <c r="C32" s="9" t="s">
        <v>122</v>
      </c>
      <c r="D32" s="10">
        <v>4.5</v>
      </c>
      <c r="E32" s="11">
        <f>(8/48)*MOVD_Jornal[[#This Row],[HORAS]]</f>
        <v>0.75</v>
      </c>
      <c r="F32" s="11">
        <f>SUM(MOVD_Jornal[[#This Row],[HORAS]:[DOMINICAL]])</f>
        <v>5.25</v>
      </c>
      <c r="G32" s="12">
        <v>11.875</v>
      </c>
      <c r="H32" s="13">
        <f>MOVD_Jornal[[#This Row],[TOTAL HORAS]]*MOVD_Jornal[[#This Row],[COSTO HH]]</f>
        <v>62.34375</v>
      </c>
      <c r="K32" s="49" t="s">
        <v>62</v>
      </c>
      <c r="L32" s="50">
        <v>100</v>
      </c>
      <c r="M32" s="51">
        <v>44927</v>
      </c>
      <c r="N32" s="51">
        <v>45291</v>
      </c>
      <c r="O32" s="52">
        <f>MOVD_ControlJornal[[#This Row],[FECHA FIN]]-MOVD_ControlJornal[[#This Row],[FECHA INICIO]]+1</f>
        <v>365</v>
      </c>
      <c r="P32" s="53" t="str">
        <f>IF(MOVD_ControlJornal[[#This Row],[PERIODO]]&gt;=364,"ANUAL", IF(MOVD_ControlJornal[[#This Row],[PERIODO]]&gt;=1,"POR DIAS","PASADO"))</f>
        <v>ANUAL</v>
      </c>
      <c r="Q32" s="13">
        <f>MOVD_ControlJornal[[#This Row],[S/. POR DIA]]/8</f>
        <v>12.5</v>
      </c>
      <c r="R32" s="13" t="str">
        <f>VLOOKUP(MOVD_ControlJornal[[#This Row],[NOMBRE]],BD_MOVD[],9,0)</f>
        <v>NORMAL</v>
      </c>
    </row>
    <row r="33" spans="11:18" x14ac:dyDescent="0.3">
      <c r="K33" s="49" t="s">
        <v>43</v>
      </c>
      <c r="L33" s="50">
        <v>95</v>
      </c>
      <c r="M33" s="51">
        <v>44927</v>
      </c>
      <c r="N33" s="51">
        <v>45291</v>
      </c>
      <c r="O33" s="52">
        <f>MOVD_ControlJornal[[#This Row],[FECHA FIN]]-MOVD_ControlJornal[[#This Row],[FECHA INICIO]]+1</f>
        <v>365</v>
      </c>
      <c r="P33" s="53" t="str">
        <f>IF(MOVD_ControlJornal[[#This Row],[PERIODO]]&gt;=364,"ANUAL", IF(MOVD_ControlJornal[[#This Row],[PERIODO]]&gt;=1,"POR DIAS","PASADO"))</f>
        <v>ANUAL</v>
      </c>
      <c r="Q33" s="13">
        <f>MOVD_ControlJornal[[#This Row],[S/. POR DIA]]/8</f>
        <v>11.875</v>
      </c>
      <c r="R33" s="13" t="str">
        <f>VLOOKUP(MOVD_ControlJornal[[#This Row],[NOMBRE]],BD_MOVD[],9,0)</f>
        <v>NORMAL</v>
      </c>
    </row>
    <row r="34" spans="11:18" x14ac:dyDescent="0.3">
      <c r="K34" s="49" t="s">
        <v>57</v>
      </c>
      <c r="L34" s="50">
        <v>100</v>
      </c>
      <c r="M34" s="51">
        <v>44927</v>
      </c>
      <c r="N34" s="51">
        <v>45291</v>
      </c>
      <c r="O34" s="52">
        <f>MOVD_ControlJornal[[#This Row],[FECHA FIN]]-MOVD_ControlJornal[[#This Row],[FECHA INICIO]]+1</f>
        <v>365</v>
      </c>
      <c r="P34" s="53" t="str">
        <f>IF(MOVD_ControlJornal[[#This Row],[PERIODO]]&gt;=364,"ANUAL", IF(MOVD_ControlJornal[[#This Row],[PERIODO]]&gt;=1,"POR DIAS","PASADO"))</f>
        <v>ANUAL</v>
      </c>
      <c r="Q34" s="13">
        <f>MOVD_ControlJornal[[#This Row],[S/. POR DIA]]/8</f>
        <v>12.5</v>
      </c>
      <c r="R34" s="13" t="str">
        <f>VLOOKUP(MOVD_ControlJornal[[#This Row],[NOMBRE]],BD_MOVD[],9,0)</f>
        <v>NORMAL</v>
      </c>
    </row>
    <row r="35" spans="11:18" x14ac:dyDescent="0.3">
      <c r="K35" s="49" t="s">
        <v>51</v>
      </c>
      <c r="L35" s="50">
        <v>100</v>
      </c>
      <c r="M35" s="51">
        <v>44927</v>
      </c>
      <c r="N35" s="51">
        <v>45291</v>
      </c>
      <c r="O35" s="52">
        <f>MOVD_ControlJornal[[#This Row],[FECHA FIN]]-MOVD_ControlJornal[[#This Row],[FECHA INICIO]]+1</f>
        <v>365</v>
      </c>
      <c r="P35" s="53" t="str">
        <f>IF(MOVD_ControlJornal[[#This Row],[PERIODO]]&gt;=364,"ANUAL", IF(MOVD_ControlJornal[[#This Row],[PERIODO]]&gt;=1,"POR DIAS","PASADO"))</f>
        <v>ANUAL</v>
      </c>
      <c r="Q35" s="13">
        <f>MOVD_ControlJornal[[#This Row],[S/. POR DIA]]/8</f>
        <v>12.5</v>
      </c>
      <c r="R35" s="13" t="str">
        <f>VLOOKUP(MOVD_ControlJornal[[#This Row],[NOMBRE]],BD_MOVD[],9,0)</f>
        <v>NORMAL</v>
      </c>
    </row>
    <row r="36" spans="11:18" x14ac:dyDescent="0.3">
      <c r="K36" s="49" t="s">
        <v>49</v>
      </c>
      <c r="L36" s="50">
        <v>95</v>
      </c>
      <c r="M36" s="51">
        <v>44927</v>
      </c>
      <c r="N36" s="51">
        <v>45291</v>
      </c>
      <c r="O36" s="52">
        <f>MOVD_ControlJornal[[#This Row],[FECHA FIN]]-MOVD_ControlJornal[[#This Row],[FECHA INICIO]]+1</f>
        <v>365</v>
      </c>
      <c r="P36" s="53" t="str">
        <f>IF(MOVD_ControlJornal[[#This Row],[PERIODO]]&gt;=364,"ANUAL", IF(MOVD_ControlJornal[[#This Row],[PERIODO]]&gt;=1,"POR DIAS","PASADO"))</f>
        <v>ANUAL</v>
      </c>
      <c r="Q36" s="13">
        <f>MOVD_ControlJornal[[#This Row],[S/. POR DIA]]/8</f>
        <v>11.875</v>
      </c>
      <c r="R36" s="13" t="str">
        <f>VLOOKUP(MOVD_ControlJornal[[#This Row],[NOMBRE]],BD_MOVD[],9,0)</f>
        <v>NORMAL</v>
      </c>
    </row>
    <row r="37" spans="11:18" x14ac:dyDescent="0.3">
      <c r="K37" s="49" t="s">
        <v>48</v>
      </c>
      <c r="L37" s="50">
        <v>95</v>
      </c>
      <c r="M37" s="51">
        <v>44927</v>
      </c>
      <c r="N37" s="51">
        <v>45291</v>
      </c>
      <c r="O37" s="52">
        <f>MOVD_ControlJornal[[#This Row],[FECHA FIN]]-MOVD_ControlJornal[[#This Row],[FECHA INICIO]]+1</f>
        <v>365</v>
      </c>
      <c r="P37" s="53" t="str">
        <f>IF(MOVD_ControlJornal[[#This Row],[PERIODO]]&gt;=364,"ANUAL", IF(MOVD_ControlJornal[[#This Row],[PERIODO]]&gt;=1,"POR DIAS","PASADO"))</f>
        <v>ANUAL</v>
      </c>
      <c r="Q37" s="13">
        <f>MOVD_ControlJornal[[#This Row],[S/. POR DIA]]/8</f>
        <v>11.875</v>
      </c>
      <c r="R37" s="13" t="str">
        <f>VLOOKUP(MOVD_ControlJornal[[#This Row],[NOMBRE]],BD_MOVD[],9,0)</f>
        <v>NORMAL</v>
      </c>
    </row>
    <row r="38" spans="11:18" x14ac:dyDescent="0.3">
      <c r="K38" s="49" t="s">
        <v>54</v>
      </c>
      <c r="L38" s="50">
        <v>100</v>
      </c>
      <c r="M38" s="51">
        <v>44927</v>
      </c>
      <c r="N38" s="51">
        <v>45291</v>
      </c>
      <c r="O38" s="52">
        <f>MOVD_ControlJornal[[#This Row],[FECHA FIN]]-MOVD_ControlJornal[[#This Row],[FECHA INICIO]]+1</f>
        <v>365</v>
      </c>
      <c r="P38" s="53" t="str">
        <f>IF(MOVD_ControlJornal[[#This Row],[PERIODO]]&gt;=364,"ANUAL", IF(MOVD_ControlJornal[[#This Row],[PERIODO]]&gt;=1,"POR DIAS","PASADO"))</f>
        <v>ANUAL</v>
      </c>
      <c r="Q38" s="13">
        <f>MOVD_ControlJornal[[#This Row],[S/. POR DIA]]/8</f>
        <v>12.5</v>
      </c>
      <c r="R38" s="13" t="str">
        <f>VLOOKUP(MOVD_ControlJornal[[#This Row],[NOMBRE]],BD_MOVD[],9,0)</f>
        <v>NORMAL</v>
      </c>
    </row>
    <row r="39" spans="11:18" x14ac:dyDescent="0.3">
      <c r="K39" s="49" t="s">
        <v>38</v>
      </c>
      <c r="L39" s="50">
        <v>90</v>
      </c>
      <c r="M39" s="51">
        <v>44927</v>
      </c>
      <c r="N39" s="51">
        <v>45291</v>
      </c>
      <c r="O39" s="52">
        <f>MOVD_ControlJornal[[#This Row],[FECHA FIN]]-MOVD_ControlJornal[[#This Row],[FECHA INICIO]]+1</f>
        <v>365</v>
      </c>
      <c r="P39" s="53" t="str">
        <f>IF(MOVD_ControlJornal[[#This Row],[PERIODO]]&gt;=364,"ANUAL", IF(MOVD_ControlJornal[[#This Row],[PERIODO]]&gt;=1,"POR DIAS","PASADO"))</f>
        <v>ANUAL</v>
      </c>
      <c r="Q39" s="13">
        <f>MOVD_ControlJornal[[#This Row],[S/. POR DIA]]/8</f>
        <v>11.25</v>
      </c>
      <c r="R39" s="13" t="str">
        <f>VLOOKUP(MOVD_ControlJornal[[#This Row],[NOMBRE]],BD_MOVD[],9,0)</f>
        <v>NORMAL</v>
      </c>
    </row>
    <row r="40" spans="11:18" x14ac:dyDescent="0.3">
      <c r="K40" s="49" t="s">
        <v>66</v>
      </c>
      <c r="L40" s="50">
        <v>120</v>
      </c>
      <c r="M40" s="51">
        <v>44927</v>
      </c>
      <c r="N40" s="51">
        <v>45291</v>
      </c>
      <c r="O40" s="52">
        <f>MOVD_ControlJornal[[#This Row],[FECHA FIN]]-MOVD_ControlJornal[[#This Row],[FECHA INICIO]]+1</f>
        <v>365</v>
      </c>
      <c r="P40" s="53" t="str">
        <f>IF(MOVD_ControlJornal[[#This Row],[PERIODO]]&gt;=364,"ANUAL", IF(MOVD_ControlJornal[[#This Row],[PERIODO]]&gt;=1,"POR DIAS","PASADO"))</f>
        <v>ANUAL</v>
      </c>
      <c r="Q40" s="13">
        <f>MOVD_ControlJornal[[#This Row],[S/. POR DIA]]/8</f>
        <v>15</v>
      </c>
      <c r="R40" s="13" t="str">
        <f>VLOOKUP(MOVD_ControlJornal[[#This Row],[NOMBRE]],BD_MOVD[],9,0)</f>
        <v>NORMAL</v>
      </c>
    </row>
  </sheetData>
  <conditionalFormatting sqref="G2:G32">
    <cfRule type="containsText" dxfId="42" priority="15" operator="containsText" text="0">
      <formula>NOT(ISERROR(SEARCH("0",G2)))</formula>
    </cfRule>
  </conditionalFormatting>
  <conditionalFormatting sqref="H2:H32">
    <cfRule type="cellIs" dxfId="41" priority="14" operator="equal">
      <formula>0</formula>
    </cfRule>
  </conditionalFormatting>
  <conditionalFormatting sqref="L3:N8">
    <cfRule type="expression" dxfId="40" priority="19">
      <formula>$X2="POR DIAS"</formula>
    </cfRule>
  </conditionalFormatting>
  <conditionalFormatting sqref="P3:P40">
    <cfRule type="containsText" dxfId="39" priority="5" operator="containsText" text="PASADO">
      <formula>NOT(ISERROR(SEARCH("PASADO",P3)))</formula>
    </cfRule>
    <cfRule type="containsText" dxfId="38" priority="8" operator="containsText" text="POR DIAS">
      <formula>NOT(ISERROR(SEARCH("POR DIAS",P3)))</formula>
    </cfRule>
    <cfRule type="containsText" dxfId="37" priority="9" operator="containsText" text="ANUAL">
      <formula>NOT(ISERROR(SEARCH("ANUAL",P3)))</formula>
    </cfRule>
  </conditionalFormatting>
  <conditionalFormatting sqref="R3:R40">
    <cfRule type="containsText" dxfId="36" priority="7" operator="containsText" text="COMPRA HORAS">
      <formula>NOT(ISERROR(SEARCH("COMPRA HORAS",R3)))</formula>
    </cfRule>
  </conditionalFormatting>
  <conditionalFormatting sqref="Y2:Y8">
    <cfRule type="cellIs" dxfId="35" priority="3" operator="lessThan">
      <formula>0</formula>
    </cfRule>
    <cfRule type="cellIs" dxfId="34" priority="4" operator="greaterThan">
      <formula>0</formula>
    </cfRule>
  </conditionalFormatting>
  <conditionalFormatting sqref="L9:N40">
    <cfRule type="expression" dxfId="33" priority="21">
      <formula>#REF!="POR DIAS"</formula>
    </cfRule>
  </conditionalFormatting>
  <pageMargins left="0.7" right="0.7" top="0.75" bottom="0.75" header="0.3" footer="0.3"/>
  <tableParts count="3">
    <tablePart r:id="rId1"/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2B65C-818B-4640-B95E-2DEFAB78DD61}">
  <sheetPr codeName="Hoja5">
    <tabColor rgb="FFFFFF00"/>
  </sheetPr>
  <dimension ref="A1:AG9"/>
  <sheetViews>
    <sheetView tabSelected="1" topLeftCell="T1" workbookViewId="0">
      <selection activeCell="AG3" sqref="AG3:AG8"/>
    </sheetView>
  </sheetViews>
  <sheetFormatPr baseColWidth="10" defaultRowHeight="14.4" x14ac:dyDescent="0.3"/>
  <cols>
    <col min="1" max="1" width="10.5546875" bestFit="1" customWidth="1"/>
    <col min="2" max="2" width="22.21875" bestFit="1" customWidth="1"/>
    <col min="3" max="3" width="11.109375" bestFit="1" customWidth="1"/>
    <col min="4" max="4" width="9.109375" bestFit="1" customWidth="1"/>
    <col min="5" max="5" width="13.21875" bestFit="1" customWidth="1"/>
    <col min="6" max="6" width="15" bestFit="1" customWidth="1"/>
    <col min="7" max="7" width="11.88671875" bestFit="1" customWidth="1"/>
    <col min="8" max="8" width="18.33203125" bestFit="1" customWidth="1"/>
    <col min="9" max="9" width="11.88671875" bestFit="1" customWidth="1"/>
    <col min="10" max="10" width="10.77734375" bestFit="1" customWidth="1"/>
    <col min="11" max="11" width="35.21875" customWidth="1"/>
    <col min="12" max="12" width="16.44140625" bestFit="1" customWidth="1"/>
    <col min="13" max="13" width="18" bestFit="1" customWidth="1"/>
    <col min="14" max="14" width="15.109375" bestFit="1" customWidth="1"/>
    <col min="15" max="15" width="14.109375" bestFit="1" customWidth="1"/>
    <col min="16" max="16" width="14.44140625" bestFit="1" customWidth="1"/>
    <col min="17" max="17" width="15.33203125" bestFit="1" customWidth="1"/>
    <col min="18" max="18" width="16" bestFit="1" customWidth="1"/>
    <col min="21" max="21" width="11.33203125" bestFit="1" customWidth="1"/>
    <col min="22" max="22" width="10.5546875" bestFit="1" customWidth="1"/>
    <col min="23" max="23" width="32.33203125" bestFit="1" customWidth="1"/>
    <col min="24" max="24" width="25.21875" bestFit="1" customWidth="1"/>
    <col min="25" max="25" width="9.109375" bestFit="1" customWidth="1"/>
    <col min="26" max="26" width="13.5546875" bestFit="1" customWidth="1"/>
    <col min="27" max="27" width="12.44140625" bestFit="1" customWidth="1"/>
    <col min="28" max="28" width="11.88671875" bestFit="1" customWidth="1"/>
    <col min="29" max="29" width="10.77734375" bestFit="1" customWidth="1"/>
    <col min="30" max="30" width="18.33203125" bestFit="1" customWidth="1"/>
  </cols>
  <sheetData>
    <row r="1" spans="1:33" ht="18" x14ac:dyDescent="0.3">
      <c r="A1" s="8" t="s">
        <v>0</v>
      </c>
      <c r="B1" t="s">
        <v>1</v>
      </c>
      <c r="C1" t="s">
        <v>3</v>
      </c>
      <c r="D1" t="s">
        <v>4</v>
      </c>
      <c r="E1" t="s">
        <v>13</v>
      </c>
      <c r="F1" t="s">
        <v>14</v>
      </c>
      <c r="G1" t="s">
        <v>7</v>
      </c>
      <c r="H1" t="s">
        <v>9</v>
      </c>
      <c r="K1" s="58" t="s">
        <v>119</v>
      </c>
      <c r="L1" s="58"/>
      <c r="M1" s="58"/>
      <c r="N1" s="58"/>
      <c r="O1" s="58"/>
      <c r="P1" s="58"/>
      <c r="Q1" s="58"/>
      <c r="R1" s="58"/>
      <c r="U1" t="s">
        <v>2</v>
      </c>
      <c r="V1" s="1" t="s">
        <v>0</v>
      </c>
      <c r="W1" s="1" t="s">
        <v>1</v>
      </c>
      <c r="X1" t="s">
        <v>3</v>
      </c>
      <c r="Y1" t="s">
        <v>4</v>
      </c>
      <c r="Z1" t="s">
        <v>5</v>
      </c>
      <c r="AA1" s="2" t="s">
        <v>6</v>
      </c>
      <c r="AB1" t="s">
        <v>7</v>
      </c>
      <c r="AC1" s="2" t="s">
        <v>8</v>
      </c>
      <c r="AD1" t="s">
        <v>9</v>
      </c>
    </row>
    <row r="2" spans="1:33" ht="15.6" x14ac:dyDescent="0.3">
      <c r="A2" s="7">
        <v>45017</v>
      </c>
      <c r="B2" s="9" t="s">
        <v>15</v>
      </c>
      <c r="C2" s="9" t="s">
        <v>11</v>
      </c>
      <c r="D2" s="10">
        <v>10</v>
      </c>
      <c r="E2" s="11">
        <f>(8/48)*MOVI_Jornal[[#This Row],[HORAS]]</f>
        <v>1.6666666666666665</v>
      </c>
      <c r="F2" s="11">
        <f>SUM(MOVI_Jornal[[#This Row],[HORAS]:[DOMINICAL]])</f>
        <v>11.666666666666666</v>
      </c>
      <c r="G2" s="12"/>
      <c r="H2" s="13">
        <f>MOVI_Jornal[[#This Row],[TOTAL HORAS]]*MOVI_Jornal[[#This Row],[COSTO HH]]</f>
        <v>0</v>
      </c>
      <c r="K2" s="46" t="s">
        <v>1</v>
      </c>
      <c r="L2" s="47" t="s">
        <v>113</v>
      </c>
      <c r="M2" s="47" t="s">
        <v>114</v>
      </c>
      <c r="N2" s="47" t="s">
        <v>115</v>
      </c>
      <c r="O2" s="47" t="s">
        <v>116</v>
      </c>
      <c r="P2" s="47" t="s">
        <v>117</v>
      </c>
      <c r="Q2" s="48" t="s">
        <v>7</v>
      </c>
      <c r="R2" s="47" t="s">
        <v>21</v>
      </c>
      <c r="U2" s="3">
        <f>VLOOKUP(MOVD_Sueldo21[[#This Row],[FECHA]]&amp;MOVD_Sueldo21[[#This Row],[NOMBRE]],BD_ControlRegimen[],5,0)</f>
        <v>0</v>
      </c>
      <c r="V2" s="7">
        <v>45032</v>
      </c>
      <c r="W2" s="3" t="s">
        <v>84</v>
      </c>
      <c r="X2" s="3" t="s">
        <v>120</v>
      </c>
      <c r="Y2" s="3">
        <v>11</v>
      </c>
      <c r="Z2" s="4">
        <f>IFERROR(IF(AND(WEEKDAY(V2,2)&lt;&gt; 7,U2="Trabajo"),-((10-SUMIFS(MOVD_Sueldo21[HORAS],MOVD_Sueldo21[NOMBRE],MOVD_Sueldo21[[#This Row],[NOMBRE]],MOVD_Sueldo21[FECHA],MOVD_Sueldo21[[#This Row],[FECHA]]))*MOVD_Sueldo21[[#This Row],[HORAS]]/SUMIFS(MOVD_Sueldo21[HORAS],MOVD_Sueldo21[NOMBRE],MOVD_Sueldo21[[#This Row],[NOMBRE]],MOVD_Sueldo21[FECHA],MOVD_Sueldo21[[#This Row],[FECHA]])),IF(WEEKDAY(V2,2)= 7,0,0)),-10)</f>
        <v>0</v>
      </c>
      <c r="AA2" s="4">
        <f>VLOOKUP(MOVD_Sueldo21[[#This Row],[NOMBRE]],BD_MOVI[],6,0)/COUNTIFS(MOVD_Sueldo21[FECHA],MOVD_Sueldo21[[#This Row],[FECHA]],MOVD_Sueldo21[NOMBRE],MOVD_Sueldo21[[#This Row],[NOMBRE]])</f>
        <v>120</v>
      </c>
      <c r="AB2" s="4">
        <f>(MOVD_Sueldo21[[#This Row],[COSTO DIA]]*30)/240*COUNTIFS(MOVD_Sueldo21[FECHA],MOVD_Sueldo21[[#This Row],[FECHA]],MOVD_Sueldo21[NOMBRE],MOVD_Sueldo21[[#This Row],[NOMBRE]])</f>
        <v>15</v>
      </c>
      <c r="AC2" s="5">
        <f>(MOVD_Sueldo21[[#This Row],[COSTO DIA]]*30)/DAY(EOMONTH(V2,0))</f>
        <v>120</v>
      </c>
      <c r="AD2" s="6">
        <f>IF(U2&lt;&gt; "descanso forzado",AC2+Z2*AB2,AC2)</f>
        <v>120</v>
      </c>
    </row>
    <row r="3" spans="1:33" x14ac:dyDescent="0.3">
      <c r="A3" s="7">
        <v>45018</v>
      </c>
      <c r="B3" s="9" t="s">
        <v>15</v>
      </c>
      <c r="C3" s="9" t="s">
        <v>12</v>
      </c>
      <c r="D3" s="10">
        <v>0</v>
      </c>
      <c r="E3" s="11">
        <f>(8/48)*MOVI_Jornal[[#This Row],[HORAS]]</f>
        <v>0</v>
      </c>
      <c r="F3" s="11">
        <f>SUM(MOVI_Jornal[[#This Row],[HORAS]:[DOMINICAL]])</f>
        <v>0</v>
      </c>
      <c r="G3" s="12"/>
      <c r="H3" s="13">
        <f>MOVI_Jornal[[#This Row],[TOTAL HORAS]]*MOVI_Jornal[[#This Row],[COSTO HH]]</f>
        <v>0</v>
      </c>
      <c r="K3" s="49" t="s">
        <v>76</v>
      </c>
      <c r="L3" s="50">
        <v>100</v>
      </c>
      <c r="M3" s="51">
        <v>44927</v>
      </c>
      <c r="N3" s="51">
        <v>45291</v>
      </c>
      <c r="O3" s="52">
        <f>MOVI_ControlJornal[[#This Row],[FECHA FIN]]-MOVI_ControlJornal[[#This Row],[FECHA INICIO]]+1</f>
        <v>365</v>
      </c>
      <c r="P3" s="53" t="str">
        <f>IF(MOVI_ControlJornal[[#This Row],[PERIODO]]&gt;=364,"ANUAL", IF(MOVI_ControlJornal[[#This Row],[PERIODO]]&gt;=1,"POR DIAS","PASADO"))</f>
        <v>ANUAL</v>
      </c>
      <c r="Q3" s="13">
        <f>MOVI_ControlJornal[[#This Row],[S/. POR DIA]]/8</f>
        <v>12.5</v>
      </c>
      <c r="R3" s="13" t="str">
        <f>VLOOKUP(MOVI_ControlJornal[[#This Row],[NOMBRE]],BD_MOVI[],9,0)</f>
        <v>NORMAL</v>
      </c>
      <c r="U3" s="3" t="str">
        <f>VLOOKUP(MOVD_Sueldo21[[#This Row],[FECHA]]&amp;MOVD_Sueldo21[[#This Row],[NOMBRE]],BD_ControlRegimen[],5,0)</f>
        <v>Trabajo</v>
      </c>
      <c r="V3" s="7">
        <v>45033</v>
      </c>
      <c r="W3" s="3" t="s">
        <v>84</v>
      </c>
      <c r="X3" s="3" t="s">
        <v>122</v>
      </c>
      <c r="Y3" s="3">
        <v>11</v>
      </c>
      <c r="Z3" s="4">
        <f>IFERROR(IF(AND(WEEKDAY(V3,2)&lt;&gt; 7,U3="Trabajo"),-((10-SUMIFS(MOVD_Sueldo21[HORAS],MOVD_Sueldo21[NOMBRE],MOVD_Sueldo21[[#This Row],[NOMBRE]],MOVD_Sueldo21[FECHA],MOVD_Sueldo21[[#This Row],[FECHA]]))*MOVD_Sueldo21[[#This Row],[HORAS]]/SUMIFS(MOVD_Sueldo21[HORAS],MOVD_Sueldo21[NOMBRE],MOVD_Sueldo21[[#This Row],[NOMBRE]],MOVD_Sueldo21[FECHA],MOVD_Sueldo21[[#This Row],[FECHA]])),IF(WEEKDAY(V3,2)= 7,0,0)),-10)</f>
        <v>1</v>
      </c>
      <c r="AA3" s="4">
        <f>VLOOKUP(MOVD_Sueldo21[[#This Row],[NOMBRE]],BD_MOVI[],6,0)/COUNTIFS(MOVD_Sueldo21[FECHA],MOVD_Sueldo21[[#This Row],[FECHA]],MOVD_Sueldo21[NOMBRE],MOVD_Sueldo21[[#This Row],[NOMBRE]])</f>
        <v>120</v>
      </c>
      <c r="AB3" s="4">
        <f>(MOVD_Sueldo21[[#This Row],[COSTO DIA]]*30)/240*COUNTIFS(MOVD_Sueldo21[FECHA],MOVD_Sueldo21[[#This Row],[FECHA]],MOVD_Sueldo21[NOMBRE],MOVD_Sueldo21[[#This Row],[NOMBRE]])</f>
        <v>15</v>
      </c>
      <c r="AC3" s="5">
        <f>(MOVD_Sueldo21[[#This Row],[COSTO DIA]]*30)/DAY(EOMONTH(V3,0))</f>
        <v>120</v>
      </c>
      <c r="AD3" s="6">
        <f>IF(U3&lt;&gt; "descanso forzado",AC3+Z3*AB3,AC3)</f>
        <v>135</v>
      </c>
      <c r="AF3">
        <v>120</v>
      </c>
      <c r="AG3">
        <v>135</v>
      </c>
    </row>
    <row r="4" spans="1:33" x14ac:dyDescent="0.3">
      <c r="A4" s="7">
        <v>45019</v>
      </c>
      <c r="B4" s="9" t="s">
        <v>15</v>
      </c>
      <c r="C4" s="9" t="s">
        <v>12</v>
      </c>
      <c r="D4" s="10">
        <v>10</v>
      </c>
      <c r="E4" s="11">
        <f>(8/48)*MOVI_Jornal[[#This Row],[HORAS]]</f>
        <v>1.6666666666666665</v>
      </c>
      <c r="F4" s="11">
        <f>SUM(MOVI_Jornal[[#This Row],[HORAS]:[DOMINICAL]])</f>
        <v>11.666666666666666</v>
      </c>
      <c r="G4" s="12"/>
      <c r="H4" s="13">
        <f>MOVI_Jornal[[#This Row],[TOTAL HORAS]]*MOVI_Jornal[[#This Row],[COSTO HH]]</f>
        <v>0</v>
      </c>
      <c r="K4" s="49" t="s">
        <v>78</v>
      </c>
      <c r="L4" s="50">
        <v>90</v>
      </c>
      <c r="M4" s="51">
        <v>44927</v>
      </c>
      <c r="N4" s="51">
        <v>45291</v>
      </c>
      <c r="O4" s="52">
        <f>MOVI_ControlJornal[[#This Row],[FECHA FIN]]-MOVI_ControlJornal[[#This Row],[FECHA INICIO]]+1</f>
        <v>365</v>
      </c>
      <c r="P4" s="53" t="str">
        <f>IF(MOVI_ControlJornal[[#This Row],[PERIODO]]&gt;=364,"ANUAL", IF(MOVI_ControlJornal[[#This Row],[PERIODO]]&gt;=1,"POR DIAS","PASADO"))</f>
        <v>ANUAL</v>
      </c>
      <c r="Q4" s="13">
        <f>MOVI_ControlJornal[[#This Row],[S/. POR DIA]]/8</f>
        <v>11.25</v>
      </c>
      <c r="R4" s="13" t="str">
        <f>VLOOKUP(MOVI_ControlJornal[[#This Row],[NOMBRE]],BD_MOVI[],9,0)</f>
        <v>NORMAL</v>
      </c>
      <c r="U4" s="3" t="str">
        <f>VLOOKUP(MOVD_Sueldo21[[#This Row],[FECHA]]&amp;MOVD_Sueldo21[[#This Row],[NOMBRE]],BD_ControlRegimen[],5,0)</f>
        <v>Trabajo</v>
      </c>
      <c r="V4" s="7">
        <v>45034</v>
      </c>
      <c r="W4" s="3" t="s">
        <v>84</v>
      </c>
      <c r="X4" s="3" t="s">
        <v>120</v>
      </c>
      <c r="Y4" s="3">
        <v>11</v>
      </c>
      <c r="Z4" s="4">
        <f>IFERROR(IF(AND(WEEKDAY(V4,2)&lt;&gt; 7,U4="Trabajo"),-((10-SUMIFS(MOVD_Sueldo21[HORAS],MOVD_Sueldo21[NOMBRE],MOVD_Sueldo21[[#This Row],[NOMBRE]],MOVD_Sueldo21[FECHA],MOVD_Sueldo21[[#This Row],[FECHA]]))*MOVD_Sueldo21[[#This Row],[HORAS]]/SUMIFS(MOVD_Sueldo21[HORAS],MOVD_Sueldo21[NOMBRE],MOVD_Sueldo21[[#This Row],[NOMBRE]],MOVD_Sueldo21[FECHA],MOVD_Sueldo21[[#This Row],[FECHA]])),IF(WEEKDAY(V4,2)= 7,0,0)),-10)</f>
        <v>1</v>
      </c>
      <c r="AA4" s="4">
        <f>VLOOKUP(MOVD_Sueldo21[[#This Row],[NOMBRE]],BD_MOVI[],6,0)/COUNTIFS(MOVD_Sueldo21[FECHA],MOVD_Sueldo21[[#This Row],[FECHA]],MOVD_Sueldo21[NOMBRE],MOVD_Sueldo21[[#This Row],[NOMBRE]])</f>
        <v>120</v>
      </c>
      <c r="AB4" s="4">
        <f>(MOVD_Sueldo21[[#This Row],[COSTO DIA]]*30)/240*COUNTIFS(MOVD_Sueldo21[FECHA],MOVD_Sueldo21[[#This Row],[FECHA]],MOVD_Sueldo21[NOMBRE],MOVD_Sueldo21[[#This Row],[NOMBRE]])</f>
        <v>15</v>
      </c>
      <c r="AC4" s="5">
        <f>(MOVD_Sueldo21[[#This Row],[COSTO DIA]]*30)/DAY(EOMONTH(V4,0))</f>
        <v>120</v>
      </c>
      <c r="AD4" s="6">
        <f>IF(U4&lt;&gt; "descanso forzado",AC4+Z4*AB4,AC4)</f>
        <v>135</v>
      </c>
      <c r="AF4">
        <v>120</v>
      </c>
      <c r="AG4">
        <v>135</v>
      </c>
    </row>
    <row r="5" spans="1:33" x14ac:dyDescent="0.3">
      <c r="K5" s="49" t="s">
        <v>79</v>
      </c>
      <c r="L5" s="50">
        <v>95</v>
      </c>
      <c r="M5" s="51">
        <v>44927</v>
      </c>
      <c r="N5" s="51">
        <v>45291</v>
      </c>
      <c r="O5" s="52">
        <f>MOVI_ControlJornal[[#This Row],[FECHA FIN]]-MOVI_ControlJornal[[#This Row],[FECHA INICIO]]+1</f>
        <v>365</v>
      </c>
      <c r="P5" s="53" t="str">
        <f>IF(MOVI_ControlJornal[[#This Row],[PERIODO]]&gt;=364,"ANUAL", IF(MOVI_ControlJornal[[#This Row],[PERIODO]]&gt;=1,"POR DIAS","PASADO"))</f>
        <v>ANUAL</v>
      </c>
      <c r="Q5" s="13">
        <f>MOVI_ControlJornal[[#This Row],[S/. POR DIA]]/8</f>
        <v>11.875</v>
      </c>
      <c r="R5" s="13" t="str">
        <f>VLOOKUP(MOVI_ControlJornal[[#This Row],[NOMBRE]],BD_MOVI[],9,0)</f>
        <v>NORMAL</v>
      </c>
      <c r="U5" s="3" t="str">
        <f>VLOOKUP(MOVD_Sueldo21[[#This Row],[FECHA]]&amp;MOVD_Sueldo21[[#This Row],[NOMBRE]],BD_ControlRegimen[],5,0)</f>
        <v>Trabajo</v>
      </c>
      <c r="V5" s="7">
        <v>45035</v>
      </c>
      <c r="W5" s="3" t="s">
        <v>84</v>
      </c>
      <c r="X5" s="3" t="s">
        <v>122</v>
      </c>
      <c r="Y5" s="3">
        <v>11</v>
      </c>
      <c r="Z5" s="4">
        <f>IFERROR(IF(AND(WEEKDAY(V5,2)&lt;&gt; 7,U5="Trabajo"),-((10-SUMIFS(MOVD_Sueldo21[HORAS],MOVD_Sueldo21[NOMBRE],MOVD_Sueldo21[[#This Row],[NOMBRE]],MOVD_Sueldo21[FECHA],MOVD_Sueldo21[[#This Row],[FECHA]]))*MOVD_Sueldo21[[#This Row],[HORAS]]/SUMIFS(MOVD_Sueldo21[HORAS],MOVD_Sueldo21[NOMBRE],MOVD_Sueldo21[[#This Row],[NOMBRE]],MOVD_Sueldo21[FECHA],MOVD_Sueldo21[[#This Row],[FECHA]])),IF(WEEKDAY(V5,2)= 7,0,0)),-10)</f>
        <v>1</v>
      </c>
      <c r="AA5" s="4">
        <f>VLOOKUP(MOVD_Sueldo21[[#This Row],[NOMBRE]],BD_MOVI[],6,0)/COUNTIFS(MOVD_Sueldo21[FECHA],MOVD_Sueldo21[[#This Row],[FECHA]],MOVD_Sueldo21[NOMBRE],MOVD_Sueldo21[[#This Row],[NOMBRE]])</f>
        <v>120</v>
      </c>
      <c r="AB5" s="4">
        <f>(MOVD_Sueldo21[[#This Row],[COSTO DIA]]*30)/240*COUNTIFS(MOVD_Sueldo21[FECHA],MOVD_Sueldo21[[#This Row],[FECHA]],MOVD_Sueldo21[NOMBRE],MOVD_Sueldo21[[#This Row],[NOMBRE]])</f>
        <v>15</v>
      </c>
      <c r="AC5" s="5">
        <f>(MOVD_Sueldo21[[#This Row],[COSTO DIA]]*30)/DAY(EOMONTH(V5,0))</f>
        <v>120</v>
      </c>
      <c r="AD5" s="6">
        <f>IF(U5&lt;&gt; "descanso forzado",AC5+Z5*AB5,AC5)</f>
        <v>135</v>
      </c>
      <c r="AF5">
        <v>120</v>
      </c>
      <c r="AG5">
        <v>135</v>
      </c>
    </row>
    <row r="6" spans="1:33" x14ac:dyDescent="0.3">
      <c r="K6" s="49" t="s">
        <v>80</v>
      </c>
      <c r="L6" s="50">
        <v>95</v>
      </c>
      <c r="M6" s="51">
        <v>44927</v>
      </c>
      <c r="N6" s="51">
        <v>45291</v>
      </c>
      <c r="O6" s="52">
        <f>MOVI_ControlJornal[[#This Row],[FECHA FIN]]-MOVI_ControlJornal[[#This Row],[FECHA INICIO]]+1</f>
        <v>365</v>
      </c>
      <c r="P6" s="53" t="str">
        <f>IF(MOVI_ControlJornal[[#This Row],[PERIODO]]&gt;=364,"ANUAL", IF(MOVI_ControlJornal[[#This Row],[PERIODO]]&gt;=1,"POR DIAS","PASADO"))</f>
        <v>ANUAL</v>
      </c>
      <c r="Q6" s="13">
        <f>MOVI_ControlJornal[[#This Row],[S/. POR DIA]]/8</f>
        <v>11.875</v>
      </c>
      <c r="R6" s="13" t="str">
        <f>VLOOKUP(MOVI_ControlJornal[[#This Row],[NOMBRE]],BD_MOVI[],9,0)</f>
        <v>NORMAL</v>
      </c>
      <c r="U6" s="3" t="str">
        <f>VLOOKUP(MOVD_Sueldo21[[#This Row],[FECHA]]&amp;MOVD_Sueldo21[[#This Row],[NOMBRE]],BD_ControlRegimen[],5,0)</f>
        <v>Trabajo</v>
      </c>
      <c r="V6" s="7">
        <v>45036</v>
      </c>
      <c r="W6" s="3" t="s">
        <v>84</v>
      </c>
      <c r="X6" s="3" t="s">
        <v>126</v>
      </c>
      <c r="Y6" s="3">
        <v>11</v>
      </c>
      <c r="Z6" s="4">
        <f>IFERROR(IF(AND(WEEKDAY(V6,2)&lt;&gt; 7,U6="Trabajo"),-((10-SUMIFS(MOVD_Sueldo21[HORAS],MOVD_Sueldo21[NOMBRE],MOVD_Sueldo21[[#This Row],[NOMBRE]],MOVD_Sueldo21[FECHA],MOVD_Sueldo21[[#This Row],[FECHA]]))*MOVD_Sueldo21[[#This Row],[HORAS]]/SUMIFS(MOVD_Sueldo21[HORAS],MOVD_Sueldo21[NOMBRE],MOVD_Sueldo21[[#This Row],[NOMBRE]],MOVD_Sueldo21[FECHA],MOVD_Sueldo21[[#This Row],[FECHA]])),IF(WEEKDAY(V6,2)= 7,0,0)),-10)</f>
        <v>1</v>
      </c>
      <c r="AA6" s="4">
        <f>VLOOKUP(MOVD_Sueldo21[[#This Row],[NOMBRE]],BD_MOVI[],6,0)/COUNTIFS(MOVD_Sueldo21[FECHA],MOVD_Sueldo21[[#This Row],[FECHA]],MOVD_Sueldo21[NOMBRE],MOVD_Sueldo21[[#This Row],[NOMBRE]])</f>
        <v>120</v>
      </c>
      <c r="AB6" s="4">
        <f>(MOVD_Sueldo21[[#This Row],[COSTO DIA]]*30)/240*COUNTIFS(MOVD_Sueldo21[FECHA],MOVD_Sueldo21[[#This Row],[FECHA]],MOVD_Sueldo21[NOMBRE],MOVD_Sueldo21[[#This Row],[NOMBRE]])</f>
        <v>15</v>
      </c>
      <c r="AC6" s="5">
        <f>(MOVD_Sueldo21[[#This Row],[COSTO DIA]]*30)/DAY(EOMONTH(V6,0))</f>
        <v>120</v>
      </c>
      <c r="AD6" s="6">
        <f>IF(U6&lt;&gt; "descanso forzado",AC6+Z6*AB6,AC6)</f>
        <v>135</v>
      </c>
      <c r="AF6">
        <v>120</v>
      </c>
      <c r="AG6">
        <v>135</v>
      </c>
    </row>
    <row r="7" spans="1:33" x14ac:dyDescent="0.3">
      <c r="K7" s="49" t="s">
        <v>81</v>
      </c>
      <c r="L7" s="50">
        <v>95</v>
      </c>
      <c r="M7" s="51">
        <v>44927</v>
      </c>
      <c r="N7" s="51">
        <v>45291</v>
      </c>
      <c r="O7" s="52">
        <f>MOVI_ControlJornal[[#This Row],[FECHA FIN]]-MOVI_ControlJornal[[#This Row],[FECHA INICIO]]+1</f>
        <v>365</v>
      </c>
      <c r="P7" s="53" t="str">
        <f>IF(MOVI_ControlJornal[[#This Row],[PERIODO]]&gt;=364,"ANUAL", IF(MOVI_ControlJornal[[#This Row],[PERIODO]]&gt;=1,"POR DIAS","PASADO"))</f>
        <v>ANUAL</v>
      </c>
      <c r="Q7" s="13">
        <f>MOVI_ControlJornal[[#This Row],[S/. POR DIA]]/8</f>
        <v>11.875</v>
      </c>
      <c r="R7" s="13" t="str">
        <f>VLOOKUP(MOVI_ControlJornal[[#This Row],[NOMBRE]],BD_MOVI[],9,0)</f>
        <v>NORMAL</v>
      </c>
      <c r="U7" s="3" t="str">
        <f>VLOOKUP(MOVD_Sueldo21[[#This Row],[FECHA]]&amp;MOVD_Sueldo21[[#This Row],[NOMBRE]],BD_ControlRegimen[],5,0)</f>
        <v>Trabajo</v>
      </c>
      <c r="V7" s="7">
        <v>45037</v>
      </c>
      <c r="W7" s="3" t="s">
        <v>84</v>
      </c>
      <c r="X7" s="3" t="s">
        <v>127</v>
      </c>
      <c r="Y7" s="3">
        <v>11</v>
      </c>
      <c r="Z7" s="4">
        <f>IFERROR(IF(AND(WEEKDAY(V7,2)&lt;&gt; 7,U7="Trabajo"),-((10-SUMIFS(MOVD_Sueldo21[HORAS],MOVD_Sueldo21[NOMBRE],MOVD_Sueldo21[[#This Row],[NOMBRE]],MOVD_Sueldo21[FECHA],MOVD_Sueldo21[[#This Row],[FECHA]]))*MOVD_Sueldo21[[#This Row],[HORAS]]/SUMIFS(MOVD_Sueldo21[HORAS],MOVD_Sueldo21[NOMBRE],MOVD_Sueldo21[[#This Row],[NOMBRE]],MOVD_Sueldo21[FECHA],MOVD_Sueldo21[[#This Row],[FECHA]])),IF(WEEKDAY(V7,2)= 7,0,0)),-10)</f>
        <v>1</v>
      </c>
      <c r="AA7" s="4">
        <f>VLOOKUP(MOVD_Sueldo21[[#This Row],[NOMBRE]],BD_MOVI[],6,0)/COUNTIFS(MOVD_Sueldo21[FECHA],MOVD_Sueldo21[[#This Row],[FECHA]],MOVD_Sueldo21[NOMBRE],MOVD_Sueldo21[[#This Row],[NOMBRE]])</f>
        <v>120</v>
      </c>
      <c r="AB7" s="4">
        <f>(MOVD_Sueldo21[[#This Row],[COSTO DIA]]*30)/240*COUNTIFS(MOVD_Sueldo21[FECHA],MOVD_Sueldo21[[#This Row],[FECHA]],MOVD_Sueldo21[NOMBRE],MOVD_Sueldo21[[#This Row],[NOMBRE]])</f>
        <v>15</v>
      </c>
      <c r="AC7" s="5">
        <f>(MOVD_Sueldo21[[#This Row],[COSTO DIA]]*30)/DAY(EOMONTH(V7,0))</f>
        <v>120</v>
      </c>
      <c r="AD7" s="6">
        <f>IF(U7&lt;&gt; "descanso forzado",AC7+Z7*AB7,AC7)</f>
        <v>135</v>
      </c>
      <c r="AF7">
        <v>120</v>
      </c>
      <c r="AG7">
        <v>135</v>
      </c>
    </row>
    <row r="8" spans="1:33" x14ac:dyDescent="0.3">
      <c r="K8" s="49" t="s">
        <v>82</v>
      </c>
      <c r="L8" s="50">
        <v>95</v>
      </c>
      <c r="M8" s="51">
        <v>44927</v>
      </c>
      <c r="N8" s="51">
        <v>45291</v>
      </c>
      <c r="O8" s="52">
        <f>MOVI_ControlJornal[[#This Row],[FECHA FIN]]-MOVI_ControlJornal[[#This Row],[FECHA INICIO]]+1</f>
        <v>365</v>
      </c>
      <c r="P8" s="53" t="str">
        <f>IF(MOVI_ControlJornal[[#This Row],[PERIODO]]&gt;=364,"ANUAL", IF(MOVI_ControlJornal[[#This Row],[PERIODO]]&gt;=1,"POR DIAS","PASADO"))</f>
        <v>ANUAL</v>
      </c>
      <c r="Q8" s="13">
        <f>MOVI_ControlJornal[[#This Row],[S/. POR DIA]]/8</f>
        <v>11.875</v>
      </c>
      <c r="R8" s="13" t="str">
        <f>VLOOKUP(MOVI_ControlJornal[[#This Row],[NOMBRE]],BD_MOVI[],9,0)</f>
        <v>NORMAL</v>
      </c>
      <c r="U8" s="3" t="str">
        <f>VLOOKUP(MOVD_Sueldo21[[#This Row],[FECHA]]&amp;MOVD_Sueldo21[[#This Row],[NOMBRE]],BD_ControlRegimen[],5,0)</f>
        <v>Trabajo</v>
      </c>
      <c r="V8" s="7">
        <v>45038</v>
      </c>
      <c r="W8" s="3" t="s">
        <v>84</v>
      </c>
      <c r="X8" s="3" t="s">
        <v>126</v>
      </c>
      <c r="Y8" s="3">
        <v>5</v>
      </c>
      <c r="Z8" s="4">
        <f>IFERROR(IF(AND(WEEKDAY(V8,2)&lt;&gt; 7,U8="Trabajo"),-((10-SUMIFS(MOVD_Sueldo21[HORAS],MOVD_Sueldo21[NOMBRE],MOVD_Sueldo21[[#This Row],[NOMBRE]],MOVD_Sueldo21[FECHA],MOVD_Sueldo21[[#This Row],[FECHA]]))*MOVD_Sueldo21[[#This Row],[HORAS]]/SUMIFS(MOVD_Sueldo21[HORAS],MOVD_Sueldo21[NOMBRE],MOVD_Sueldo21[[#This Row],[NOMBRE]],MOVD_Sueldo21[FECHA],MOVD_Sueldo21[[#This Row],[FECHA]])),IF(WEEKDAY(V8,2)= 7,0,0)),-10)</f>
        <v>-5</v>
      </c>
      <c r="AA8" s="4">
        <f>VLOOKUP(MOVD_Sueldo21[[#This Row],[NOMBRE]],BD_MOVI[],6,0)/COUNTIFS(MOVD_Sueldo21[FECHA],MOVD_Sueldo21[[#This Row],[FECHA]],MOVD_Sueldo21[NOMBRE],MOVD_Sueldo21[[#This Row],[NOMBRE]])</f>
        <v>120</v>
      </c>
      <c r="AB8" s="4">
        <f>(MOVD_Sueldo21[[#This Row],[COSTO DIA]]*30)/240*COUNTIFS(MOVD_Sueldo21[FECHA],MOVD_Sueldo21[[#This Row],[FECHA]],MOVD_Sueldo21[NOMBRE],MOVD_Sueldo21[[#This Row],[NOMBRE]])</f>
        <v>15</v>
      </c>
      <c r="AC8" s="5">
        <f>(MOVD_Sueldo21[[#This Row],[COSTO DIA]]*30)/DAY(EOMONTH(V8,0))</f>
        <v>120</v>
      </c>
      <c r="AD8" s="6">
        <f>IF(U8&lt;&gt; "descanso forzado",AC8+Z8*AB8,AC8)</f>
        <v>45</v>
      </c>
      <c r="AF8">
        <v>120</v>
      </c>
      <c r="AG8">
        <v>45</v>
      </c>
    </row>
    <row r="9" spans="1:33" x14ac:dyDescent="0.3">
      <c r="K9" s="49" t="s">
        <v>83</v>
      </c>
      <c r="L9" s="50">
        <v>100</v>
      </c>
      <c r="M9" s="51">
        <v>44927</v>
      </c>
      <c r="N9" s="51">
        <v>45291</v>
      </c>
      <c r="O9" s="52">
        <f>MOVI_ControlJornal[[#This Row],[FECHA FIN]]-MOVI_ControlJornal[[#This Row],[FECHA INICIO]]+1</f>
        <v>365</v>
      </c>
      <c r="P9" s="53" t="str">
        <f>IF(MOVI_ControlJornal[[#This Row],[PERIODO]]&gt;=364,"ANUAL", IF(MOVI_ControlJornal[[#This Row],[PERIODO]]&gt;=1,"POR DIAS","PASADO"))</f>
        <v>ANUAL</v>
      </c>
      <c r="Q9" s="13">
        <f>MOVI_ControlJornal[[#This Row],[S/. POR DIA]]/8</f>
        <v>12.5</v>
      </c>
      <c r="R9" s="13" t="str">
        <f>VLOOKUP(MOVI_ControlJornal[[#This Row],[NOMBRE]],BD_MOVI[],9,0)</f>
        <v>NORMAL</v>
      </c>
    </row>
  </sheetData>
  <conditionalFormatting sqref="G2:G4">
    <cfRule type="containsText" dxfId="32" priority="14" operator="containsText" text="0">
      <formula>NOT(ISERROR(SEARCH("0",G2)))</formula>
    </cfRule>
  </conditionalFormatting>
  <conditionalFormatting sqref="H2:H4">
    <cfRule type="cellIs" dxfId="31" priority="13" operator="equal">
      <formula>0</formula>
    </cfRule>
  </conditionalFormatting>
  <conditionalFormatting sqref="P3:P9">
    <cfRule type="containsText" dxfId="30" priority="5" operator="containsText" text="PASADO">
      <formula>NOT(ISERROR(SEARCH("PASADO",P3)))</formula>
    </cfRule>
    <cfRule type="containsText" dxfId="29" priority="7" operator="containsText" text="POR DIAS">
      <formula>NOT(ISERROR(SEARCH("POR DIAS",P3)))</formula>
    </cfRule>
    <cfRule type="containsText" dxfId="28" priority="8" operator="containsText" text="ANUAL">
      <formula>NOT(ISERROR(SEARCH("ANUAL",P3)))</formula>
    </cfRule>
  </conditionalFormatting>
  <conditionalFormatting sqref="R3:R9">
    <cfRule type="containsText" dxfId="27" priority="6" operator="containsText" text="COMPRA HORAS">
      <formula>NOT(ISERROR(SEARCH("COMPRA HORAS",R3)))</formula>
    </cfRule>
  </conditionalFormatting>
  <conditionalFormatting sqref="L3:N9">
    <cfRule type="expression" dxfId="26" priority="24">
      <formula>#REF!="POR DIAS"</formula>
    </cfRule>
  </conditionalFormatting>
  <conditionalFormatting sqref="Z2:Z8">
    <cfRule type="cellIs" dxfId="11" priority="1" operator="lessThan">
      <formula>0</formula>
    </cfRule>
    <cfRule type="cellIs" dxfId="10" priority="2" operator="greaterThan">
      <formula>0</formula>
    </cfRule>
  </conditionalFormatting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308FE-F819-4400-8D41-90D37B08331E}">
  <sheetPr codeName="Hoja6">
    <tabColor theme="5" tint="0.39997558519241921"/>
  </sheetPr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D5FD7-D635-4BFC-9F7E-2672C35FC594}">
  <sheetPr>
    <tabColor rgb="FF7030A0"/>
  </sheetPr>
  <dimension ref="A1:F3297"/>
  <sheetViews>
    <sheetView workbookViewId="0">
      <selection activeCell="B87" sqref="B87"/>
    </sheetView>
  </sheetViews>
  <sheetFormatPr baseColWidth="10" defaultRowHeight="14.4" x14ac:dyDescent="0.3"/>
  <cols>
    <col min="1" max="1" width="37.6640625" bestFit="1" customWidth="1"/>
    <col min="2" max="2" width="25.88671875" bestFit="1" customWidth="1"/>
    <col min="3" max="3" width="27.44140625" bestFit="1" customWidth="1"/>
    <col min="4" max="4" width="32.5546875" bestFit="1" customWidth="1"/>
    <col min="5" max="5" width="12.21875" bestFit="1" customWidth="1"/>
    <col min="6" max="6" width="20.33203125" bestFit="1" customWidth="1"/>
  </cols>
  <sheetData>
    <row r="1" spans="1:6" x14ac:dyDescent="0.3">
      <c r="A1" s="113" t="s">
        <v>164</v>
      </c>
      <c r="B1" s="113" t="s">
        <v>165</v>
      </c>
      <c r="C1" s="113" t="s">
        <v>166</v>
      </c>
    </row>
    <row r="2" spans="1:6" x14ac:dyDescent="0.3">
      <c r="A2" s="3" t="s">
        <v>74</v>
      </c>
      <c r="B2" s="98">
        <f>IF((COUNTIFS(BD_ControlRegimen[ESTADO],"Trabajo",BD_ControlRegimen[NOMBRE],PendienteRegimen[[#This Row],[NOMBRES]])/3-COUNTIFS(BD_ControlRegimen[ESTADO],"Descanso",BD_ControlRegimen[NOMBRE],PendienteRegimen[[#This Row],[NOMBRES]]))*3&gt;0,0,-(COUNTIFS(BD_ControlRegimen[ESTADO],"Trabajo",BD_ControlRegimen[NOMBRE],PendienteRegimen[[#This Row],[NOMBRES]])/3-COUNTIFS(BD_ControlRegimen[ESTADO],"Descanso",BD_ControlRegimen[NOMBRE],PendienteRegimen[[#This Row],[NOMBRES]]))*3)</f>
        <v>0</v>
      </c>
      <c r="C2" s="98">
        <f>IF(COUNTIFS(BD_ControlRegimen[ESTADO],"Trabajo",BD_ControlRegimen[NOMBRE],PendienteRegimen[[#This Row],[NOMBRES]])/3-COUNTIFS(BD_ControlRegimen[ESTADO],"Descanso",BD_ControlRegimen[NOMBRE],PendienteRegimen[[#This Row],[NOMBRES]])&lt;0,0,COUNTIFS(BD_ControlRegimen[ESTADO],"Trabajo",BD_ControlRegimen[NOMBRE],PendienteRegimen[[#This Row],[NOMBRES]])/3-COUNTIFS(BD_ControlRegimen[ESTADO],"Descanso",BD_ControlRegimen[NOMBRE],PendienteRegimen[[#This Row],[NOMBRES]]))</f>
        <v>0</v>
      </c>
    </row>
    <row r="3" spans="1:6" x14ac:dyDescent="0.3">
      <c r="A3" s="3" t="s">
        <v>71</v>
      </c>
      <c r="B3" s="98">
        <f>IF((COUNTIFS(BD_ControlRegimen[ESTADO],"Trabajo",BD_ControlRegimen[NOMBRE],PendienteRegimen[[#This Row],[NOMBRES]])/3-COUNTIFS(BD_ControlRegimen[ESTADO],"Descanso",BD_ControlRegimen[NOMBRE],PendienteRegimen[[#This Row],[NOMBRES]]))*3&gt;0,0,-(COUNTIFS(BD_ControlRegimen[ESTADO],"Trabajo",BD_ControlRegimen[NOMBRE],PendienteRegimen[[#This Row],[NOMBRES]])/3-COUNTIFS(BD_ControlRegimen[ESTADO],"Descanso",BD_ControlRegimen[NOMBRE],PendienteRegimen[[#This Row],[NOMBRES]]))*3)</f>
        <v>0</v>
      </c>
      <c r="C3" s="98">
        <f>IF(COUNTIFS(BD_ControlRegimen[ESTADO],"Trabajo",BD_ControlRegimen[NOMBRE],PendienteRegimen[[#This Row],[NOMBRES]])/3-COUNTIFS(BD_ControlRegimen[ESTADO],"Descanso",BD_ControlRegimen[NOMBRE],PendienteRegimen[[#This Row],[NOMBRES]])&lt;0,0,COUNTIFS(BD_ControlRegimen[ESTADO],"Trabajo",BD_ControlRegimen[NOMBRE],PendienteRegimen[[#This Row],[NOMBRES]])/3-COUNTIFS(BD_ControlRegimen[ESTADO],"Descanso",BD_ControlRegimen[NOMBRE],PendienteRegimen[[#This Row],[NOMBRES]]))</f>
        <v>0</v>
      </c>
    </row>
    <row r="4" spans="1:6" x14ac:dyDescent="0.3">
      <c r="A4" s="3" t="s">
        <v>70</v>
      </c>
      <c r="B4" s="98">
        <f>IF((COUNTIFS(BD_ControlRegimen[ESTADO],"Trabajo",BD_ControlRegimen[NOMBRE],PendienteRegimen[[#This Row],[NOMBRES]])/3-COUNTIFS(BD_ControlRegimen[ESTADO],"Descanso",BD_ControlRegimen[NOMBRE],PendienteRegimen[[#This Row],[NOMBRES]]))*3&gt;0,0,-(COUNTIFS(BD_ControlRegimen[ESTADO],"Trabajo",BD_ControlRegimen[NOMBRE],PendienteRegimen[[#This Row],[NOMBRES]])/3-COUNTIFS(BD_ControlRegimen[ESTADO],"Descanso",BD_ControlRegimen[NOMBRE],PendienteRegimen[[#This Row],[NOMBRES]]))*3)</f>
        <v>0</v>
      </c>
      <c r="C4" s="98">
        <f>IF(COUNTIFS(BD_ControlRegimen[ESTADO],"Trabajo",BD_ControlRegimen[NOMBRE],PendienteRegimen[[#This Row],[NOMBRES]])/3-COUNTIFS(BD_ControlRegimen[ESTADO],"Descanso",BD_ControlRegimen[NOMBRE],PendienteRegimen[[#This Row],[NOMBRES]])&lt;0,0,COUNTIFS(BD_ControlRegimen[ESTADO],"Trabajo",BD_ControlRegimen[NOMBRE],PendienteRegimen[[#This Row],[NOMBRES]])/3-COUNTIFS(BD_ControlRegimen[ESTADO],"Descanso",BD_ControlRegimen[NOMBRE],PendienteRegimen[[#This Row],[NOMBRES]]))</f>
        <v>0</v>
      </c>
    </row>
    <row r="5" spans="1:6" x14ac:dyDescent="0.3">
      <c r="A5" s="3" t="s">
        <v>10</v>
      </c>
      <c r="B5" s="98">
        <f>IF((COUNTIFS(BD_ControlRegimen[ESTADO],"Trabajo",BD_ControlRegimen[NOMBRE],PendienteRegimen[[#This Row],[NOMBRES]])/3-COUNTIFS(BD_ControlRegimen[ESTADO],"Descanso",BD_ControlRegimen[NOMBRE],PendienteRegimen[[#This Row],[NOMBRES]]))*3&gt;0,0,-(COUNTIFS(BD_ControlRegimen[ESTADO],"Trabajo",BD_ControlRegimen[NOMBRE],PendienteRegimen[[#This Row],[NOMBRES]])/3-COUNTIFS(BD_ControlRegimen[ESTADO],"Descanso",BD_ControlRegimen[NOMBRE],PendienteRegimen[[#This Row],[NOMBRES]]))*3)</f>
        <v>0</v>
      </c>
      <c r="C5" s="98">
        <f>IF(COUNTIFS(BD_ControlRegimen[ESTADO],"Trabajo",BD_ControlRegimen[NOMBRE],PendienteRegimen[[#This Row],[NOMBRES]])/3-COUNTIFS(BD_ControlRegimen[ESTADO],"Descanso",BD_ControlRegimen[NOMBRE],PendienteRegimen[[#This Row],[NOMBRES]])&lt;0,0,COUNTIFS(BD_ControlRegimen[ESTADO],"Trabajo",BD_ControlRegimen[NOMBRE],PendienteRegimen[[#This Row],[NOMBRES]])/3-COUNTIFS(BD_ControlRegimen[ESTADO],"Descanso",BD_ControlRegimen[NOMBRE],PendienteRegimen[[#This Row],[NOMBRES]]))</f>
        <v>0</v>
      </c>
    </row>
    <row r="6" spans="1:6" x14ac:dyDescent="0.3">
      <c r="A6" s="3" t="s">
        <v>84</v>
      </c>
      <c r="B6" s="98">
        <f>IF((COUNTIFS(BD_ControlRegimen[ESTADO],"Trabajo",BD_ControlRegimen[NOMBRE],PendienteRegimen[[#This Row],[NOMBRES]])/3-COUNTIFS(BD_ControlRegimen[ESTADO],"Descanso",BD_ControlRegimen[NOMBRE],PendienteRegimen[[#This Row],[NOMBRES]]))*3&gt;0,0,-(COUNTIFS(BD_ControlRegimen[ESTADO],"Trabajo",BD_ControlRegimen[NOMBRE],PendienteRegimen[[#This Row],[NOMBRES]])/3-COUNTIFS(BD_ControlRegimen[ESTADO],"Descanso",BD_ControlRegimen[NOMBRE],PendienteRegimen[[#This Row],[NOMBRES]]))*3)</f>
        <v>0</v>
      </c>
      <c r="C6" s="98">
        <f>IF(COUNTIFS(BD_ControlRegimen[ESTADO],"Trabajo",BD_ControlRegimen[NOMBRE],PendienteRegimen[[#This Row],[NOMBRES]])/3-COUNTIFS(BD_ControlRegimen[ESTADO],"Descanso",BD_ControlRegimen[NOMBRE],PendienteRegimen[[#This Row],[NOMBRES]])&lt;0,0,COUNTIFS(BD_ControlRegimen[ESTADO],"Trabajo",BD_ControlRegimen[NOMBRE],PendienteRegimen[[#This Row],[NOMBRES]])/3-COUNTIFS(BD_ControlRegimen[ESTADO],"Descanso",BD_ControlRegimen[NOMBRE],PendienteRegimen[[#This Row],[NOMBRES]]))</f>
        <v>0</v>
      </c>
    </row>
    <row r="7" spans="1:6" x14ac:dyDescent="0.3">
      <c r="A7" s="3" t="s">
        <v>72</v>
      </c>
      <c r="B7" s="98">
        <f>IF((COUNTIFS(BD_ControlRegimen[ESTADO],"Trabajo",BD_ControlRegimen[NOMBRE],PendienteRegimen[[#This Row],[NOMBRES]])/3-COUNTIFS(BD_ControlRegimen[ESTADO],"Descanso",BD_ControlRegimen[NOMBRE],PendienteRegimen[[#This Row],[NOMBRES]]))*3&gt;0,0,-(COUNTIFS(BD_ControlRegimen[ESTADO],"Trabajo",BD_ControlRegimen[NOMBRE],PendienteRegimen[[#This Row],[NOMBRES]])/3-COUNTIFS(BD_ControlRegimen[ESTADO],"Descanso",BD_ControlRegimen[NOMBRE],PendienteRegimen[[#This Row],[NOMBRES]]))*3)</f>
        <v>21</v>
      </c>
      <c r="C7" s="98">
        <f>IF(COUNTIFS(BD_ControlRegimen[ESTADO],"Trabajo",BD_ControlRegimen[NOMBRE],PendienteRegimen[[#This Row],[NOMBRES]])/3-COUNTIFS(BD_ControlRegimen[ESTADO],"Descanso",BD_ControlRegimen[NOMBRE],PendienteRegimen[[#This Row],[NOMBRES]])&lt;0,0,COUNTIFS(BD_ControlRegimen[ESTADO],"Trabajo",BD_ControlRegimen[NOMBRE],PendienteRegimen[[#This Row],[NOMBRES]])/3-COUNTIFS(BD_ControlRegimen[ESTADO],"Descanso",BD_ControlRegimen[NOMBRE],PendienteRegimen[[#This Row],[NOMBRES]]))</f>
        <v>0</v>
      </c>
    </row>
    <row r="8" spans="1:6" x14ac:dyDescent="0.3">
      <c r="A8" s="3" t="s">
        <v>75</v>
      </c>
      <c r="B8" s="98">
        <f>IF((COUNTIFS(BD_ControlRegimen[ESTADO],"Trabajo",BD_ControlRegimen[NOMBRE],PendienteRegimen[[#This Row],[NOMBRES]])/3-COUNTIFS(BD_ControlRegimen[ESTADO],"Descanso",BD_ControlRegimen[NOMBRE],PendienteRegimen[[#This Row],[NOMBRES]]))*3&gt;0,0,-(COUNTIFS(BD_ControlRegimen[ESTADO],"Trabajo",BD_ControlRegimen[NOMBRE],PendienteRegimen[[#This Row],[NOMBRES]])/3-COUNTIFS(BD_ControlRegimen[ESTADO],"Descanso",BD_ControlRegimen[NOMBRE],PendienteRegimen[[#This Row],[NOMBRES]]))*3)</f>
        <v>0</v>
      </c>
      <c r="C8" s="98">
        <f>IF(COUNTIFS(BD_ControlRegimen[ESTADO],"Trabajo",BD_ControlRegimen[NOMBRE],PendienteRegimen[[#This Row],[NOMBRES]])/3-COUNTIFS(BD_ControlRegimen[ESTADO],"Descanso",BD_ControlRegimen[NOMBRE],PendienteRegimen[[#This Row],[NOMBRES]])&lt;0,0,COUNTIFS(BD_ControlRegimen[ESTADO],"Trabajo",BD_ControlRegimen[NOMBRE],PendienteRegimen[[#This Row],[NOMBRES]])/3-COUNTIFS(BD_ControlRegimen[ESTADO],"Descanso",BD_ControlRegimen[NOMBRE],PendienteRegimen[[#This Row],[NOMBRES]]))</f>
        <v>0</v>
      </c>
    </row>
    <row r="9" spans="1:6" x14ac:dyDescent="0.3">
      <c r="A9" s="3" t="s">
        <v>68</v>
      </c>
      <c r="B9" s="98">
        <f>IF((COUNTIFS(BD_ControlRegimen[ESTADO],"Trabajo",BD_ControlRegimen[NOMBRE],PendienteRegimen[[#This Row],[NOMBRES]])/3-COUNTIFS(BD_ControlRegimen[ESTADO],"Descanso",BD_ControlRegimen[NOMBRE],PendienteRegimen[[#This Row],[NOMBRES]]))*3&gt;0,0,-(COUNTIFS(BD_ControlRegimen[ESTADO],"Trabajo",BD_ControlRegimen[NOMBRE],PendienteRegimen[[#This Row],[NOMBRES]])/3-COUNTIFS(BD_ControlRegimen[ESTADO],"Descanso",BD_ControlRegimen[NOMBRE],PendienteRegimen[[#This Row],[NOMBRES]]))*3)</f>
        <v>0</v>
      </c>
      <c r="C9" s="98">
        <f>IF(COUNTIFS(BD_ControlRegimen[ESTADO],"Trabajo",BD_ControlRegimen[NOMBRE],PendienteRegimen[[#This Row],[NOMBRES]])/3-COUNTIFS(BD_ControlRegimen[ESTADO],"Descanso",BD_ControlRegimen[NOMBRE],PendienteRegimen[[#This Row],[NOMBRES]])&lt;0,0,COUNTIFS(BD_ControlRegimen[ESTADO],"Trabajo",BD_ControlRegimen[NOMBRE],PendienteRegimen[[#This Row],[NOMBRES]])/3-COUNTIFS(BD_ControlRegimen[ESTADO],"Descanso",BD_ControlRegimen[NOMBRE],PendienteRegimen[[#This Row],[NOMBRES]]))</f>
        <v>0</v>
      </c>
    </row>
    <row r="10" spans="1:6" x14ac:dyDescent="0.3">
      <c r="A10" s="3" t="s">
        <v>73</v>
      </c>
      <c r="B10" s="98">
        <f>IF((COUNTIFS(BD_ControlRegimen[ESTADO],"Trabajo",BD_ControlRegimen[NOMBRE],PendienteRegimen[[#This Row],[NOMBRES]])/3-COUNTIFS(BD_ControlRegimen[ESTADO],"Descanso",BD_ControlRegimen[NOMBRE],PendienteRegimen[[#This Row],[NOMBRES]]))*3&gt;0,0,-(COUNTIFS(BD_ControlRegimen[ESTADO],"Trabajo",BD_ControlRegimen[NOMBRE],PendienteRegimen[[#This Row],[NOMBRES]])/3-COUNTIFS(BD_ControlRegimen[ESTADO],"Descanso",BD_ControlRegimen[NOMBRE],PendienteRegimen[[#This Row],[NOMBRES]]))*3)</f>
        <v>0</v>
      </c>
      <c r="C10" s="98">
        <f>IF(COUNTIFS(BD_ControlRegimen[ESTADO],"Trabajo",BD_ControlRegimen[NOMBRE],PendienteRegimen[[#This Row],[NOMBRES]])/3-COUNTIFS(BD_ControlRegimen[ESTADO],"Descanso",BD_ControlRegimen[NOMBRE],PendienteRegimen[[#This Row],[NOMBRES]])&lt;0,0,COUNTIFS(BD_ControlRegimen[ESTADO],"Trabajo",BD_ControlRegimen[NOMBRE],PendienteRegimen[[#This Row],[NOMBRES]])/3-COUNTIFS(BD_ControlRegimen[ESTADO],"Descanso",BD_ControlRegimen[NOMBRE],PendienteRegimen[[#This Row],[NOMBRES]]))</f>
        <v>0</v>
      </c>
    </row>
    <row r="12" spans="1:6" x14ac:dyDescent="0.3">
      <c r="A12" s="84" t="s">
        <v>167</v>
      </c>
      <c r="B12" s="84" t="s">
        <v>158</v>
      </c>
      <c r="C12" s="84" t="s">
        <v>0</v>
      </c>
      <c r="D12" s="84" t="s">
        <v>1</v>
      </c>
      <c r="E12" s="84" t="s">
        <v>156</v>
      </c>
      <c r="F12" s="84" t="s">
        <v>159</v>
      </c>
    </row>
    <row r="13" spans="1:6" hidden="1" x14ac:dyDescent="0.3">
      <c r="A13" s="99" t="str">
        <f>BD_ControlRegimen[[#This Row],[FECHA]]&amp;BD_ControlRegimen[[#This Row],[NOMBRE]]</f>
        <v>44927AGUILAR VASQUEZ GIAN CARLO</v>
      </c>
      <c r="B13" s="100">
        <f>WEEKNUM(BD_ControlRegimen[[#This Row],[FECHA]],2)</f>
        <v>1</v>
      </c>
      <c r="C13" s="99">
        <v>44927</v>
      </c>
      <c r="D13" s="3" t="s">
        <v>74</v>
      </c>
      <c r="E13" s="101"/>
      <c r="F13" s="101"/>
    </row>
    <row r="14" spans="1:6" hidden="1" x14ac:dyDescent="0.3">
      <c r="A14" s="99" t="str">
        <f>BD_ControlRegimen[[#This Row],[FECHA]]&amp;BD_ControlRegimen[[#This Row],[NOMBRE]]</f>
        <v>44928AGUILAR VASQUEZ GIAN CARLO</v>
      </c>
      <c r="B14" s="100">
        <f>WEEKNUM(BD_ControlRegimen[[#This Row],[FECHA]],2)</f>
        <v>2</v>
      </c>
      <c r="C14" s="99">
        <v>44928</v>
      </c>
      <c r="D14" s="3" t="s">
        <v>74</v>
      </c>
      <c r="E14" s="101"/>
      <c r="F14" s="101"/>
    </row>
    <row r="15" spans="1:6" hidden="1" x14ac:dyDescent="0.3">
      <c r="A15" s="99" t="str">
        <f>BD_ControlRegimen[[#This Row],[FECHA]]&amp;BD_ControlRegimen[[#This Row],[NOMBRE]]</f>
        <v>44929AGUILAR VASQUEZ GIAN CARLO</v>
      </c>
      <c r="B15" s="100">
        <f>WEEKNUM(BD_ControlRegimen[[#This Row],[FECHA]],2)</f>
        <v>2</v>
      </c>
      <c r="C15" s="99">
        <v>44929</v>
      </c>
      <c r="D15" s="3" t="s">
        <v>74</v>
      </c>
      <c r="E15" s="101"/>
      <c r="F15" s="101"/>
    </row>
    <row r="16" spans="1:6" hidden="1" x14ac:dyDescent="0.3">
      <c r="A16" s="99" t="str">
        <f>BD_ControlRegimen[[#This Row],[FECHA]]&amp;BD_ControlRegimen[[#This Row],[NOMBRE]]</f>
        <v>44930AGUILAR VASQUEZ GIAN CARLO</v>
      </c>
      <c r="B16" s="100">
        <f>WEEKNUM(BD_ControlRegimen[[#This Row],[FECHA]],2)</f>
        <v>2</v>
      </c>
      <c r="C16" s="99">
        <v>44930</v>
      </c>
      <c r="D16" s="3" t="s">
        <v>74</v>
      </c>
      <c r="E16" s="101"/>
      <c r="F16" s="101"/>
    </row>
    <row r="17" spans="1:6" hidden="1" x14ac:dyDescent="0.3">
      <c r="A17" s="99" t="str">
        <f>BD_ControlRegimen[[#This Row],[FECHA]]&amp;BD_ControlRegimen[[#This Row],[NOMBRE]]</f>
        <v>44931AGUILAR VASQUEZ GIAN CARLO</v>
      </c>
      <c r="B17" s="100">
        <f>WEEKNUM(BD_ControlRegimen[[#This Row],[FECHA]],2)</f>
        <v>2</v>
      </c>
      <c r="C17" s="99">
        <v>44931</v>
      </c>
      <c r="D17" s="3" t="s">
        <v>74</v>
      </c>
      <c r="E17" s="101"/>
      <c r="F17" s="101"/>
    </row>
    <row r="18" spans="1:6" hidden="1" x14ac:dyDescent="0.3">
      <c r="A18" s="99" t="str">
        <f>BD_ControlRegimen[[#This Row],[FECHA]]&amp;BD_ControlRegimen[[#This Row],[NOMBRE]]</f>
        <v>44932AGUILAR VASQUEZ GIAN CARLO</v>
      </c>
      <c r="B18" s="100">
        <f>WEEKNUM(BD_ControlRegimen[[#This Row],[FECHA]],2)</f>
        <v>2</v>
      </c>
      <c r="C18" s="99">
        <v>44932</v>
      </c>
      <c r="D18" s="3" t="s">
        <v>74</v>
      </c>
      <c r="E18" s="101"/>
      <c r="F18" s="101"/>
    </row>
    <row r="19" spans="1:6" hidden="1" x14ac:dyDescent="0.3">
      <c r="A19" s="99" t="str">
        <f>BD_ControlRegimen[[#This Row],[FECHA]]&amp;BD_ControlRegimen[[#This Row],[NOMBRE]]</f>
        <v>44933AGUILAR VASQUEZ GIAN CARLO</v>
      </c>
      <c r="B19" s="100">
        <f>WEEKNUM(BD_ControlRegimen[[#This Row],[FECHA]],2)</f>
        <v>2</v>
      </c>
      <c r="C19" s="99">
        <v>44933</v>
      </c>
      <c r="D19" s="3" t="s">
        <v>74</v>
      </c>
      <c r="E19" s="101"/>
      <c r="F19" s="101"/>
    </row>
    <row r="20" spans="1:6" hidden="1" x14ac:dyDescent="0.3">
      <c r="A20" s="99" t="str">
        <f>BD_ControlRegimen[[#This Row],[FECHA]]&amp;BD_ControlRegimen[[#This Row],[NOMBRE]]</f>
        <v>44934AGUILAR VASQUEZ GIAN CARLO</v>
      </c>
      <c r="B20" s="100">
        <f>WEEKNUM(BD_ControlRegimen[[#This Row],[FECHA]],2)</f>
        <v>2</v>
      </c>
      <c r="C20" s="99">
        <v>44934</v>
      </c>
      <c r="D20" s="3" t="s">
        <v>74</v>
      </c>
      <c r="E20" s="101"/>
      <c r="F20" s="101"/>
    </row>
    <row r="21" spans="1:6" hidden="1" x14ac:dyDescent="0.3">
      <c r="A21" s="99" t="str">
        <f>BD_ControlRegimen[[#This Row],[FECHA]]&amp;BD_ControlRegimen[[#This Row],[NOMBRE]]</f>
        <v>44935AGUILAR VASQUEZ GIAN CARLO</v>
      </c>
      <c r="B21" s="100">
        <f>WEEKNUM(BD_ControlRegimen[[#This Row],[FECHA]],2)</f>
        <v>3</v>
      </c>
      <c r="C21" s="99">
        <v>44935</v>
      </c>
      <c r="D21" s="3" t="s">
        <v>74</v>
      </c>
      <c r="E21" s="101"/>
      <c r="F21" s="101"/>
    </row>
    <row r="22" spans="1:6" hidden="1" x14ac:dyDescent="0.3">
      <c r="A22" s="99" t="str">
        <f>BD_ControlRegimen[[#This Row],[FECHA]]&amp;BD_ControlRegimen[[#This Row],[NOMBRE]]</f>
        <v>44936AGUILAR VASQUEZ GIAN CARLO</v>
      </c>
      <c r="B22" s="100">
        <f>WEEKNUM(BD_ControlRegimen[[#This Row],[FECHA]],2)</f>
        <v>3</v>
      </c>
      <c r="C22" s="99">
        <v>44936</v>
      </c>
      <c r="D22" s="3" t="s">
        <v>74</v>
      </c>
      <c r="E22" s="101"/>
      <c r="F22" s="101"/>
    </row>
    <row r="23" spans="1:6" hidden="1" x14ac:dyDescent="0.3">
      <c r="A23" s="99" t="str">
        <f>BD_ControlRegimen[[#This Row],[FECHA]]&amp;BD_ControlRegimen[[#This Row],[NOMBRE]]</f>
        <v>44937AGUILAR VASQUEZ GIAN CARLO</v>
      </c>
      <c r="B23" s="100">
        <f>WEEKNUM(BD_ControlRegimen[[#This Row],[FECHA]],2)</f>
        <v>3</v>
      </c>
      <c r="C23" s="99">
        <v>44937</v>
      </c>
      <c r="D23" s="3" t="s">
        <v>74</v>
      </c>
      <c r="E23" s="101"/>
      <c r="F23" s="101"/>
    </row>
    <row r="24" spans="1:6" hidden="1" x14ac:dyDescent="0.3">
      <c r="A24" s="99" t="str">
        <f>BD_ControlRegimen[[#This Row],[FECHA]]&amp;BD_ControlRegimen[[#This Row],[NOMBRE]]</f>
        <v>44938AGUILAR VASQUEZ GIAN CARLO</v>
      </c>
      <c r="B24" s="100">
        <f>WEEKNUM(BD_ControlRegimen[[#This Row],[FECHA]],2)</f>
        <v>3</v>
      </c>
      <c r="C24" s="99">
        <v>44938</v>
      </c>
      <c r="D24" s="3" t="s">
        <v>74</v>
      </c>
      <c r="E24" s="101"/>
      <c r="F24" s="101"/>
    </row>
    <row r="25" spans="1:6" hidden="1" x14ac:dyDescent="0.3">
      <c r="A25" s="99" t="str">
        <f>BD_ControlRegimen[[#This Row],[FECHA]]&amp;BD_ControlRegimen[[#This Row],[NOMBRE]]</f>
        <v>44939AGUILAR VASQUEZ GIAN CARLO</v>
      </c>
      <c r="B25" s="100">
        <f>WEEKNUM(BD_ControlRegimen[[#This Row],[FECHA]],2)</f>
        <v>3</v>
      </c>
      <c r="C25" s="99">
        <v>44939</v>
      </c>
      <c r="D25" s="3" t="s">
        <v>74</v>
      </c>
      <c r="E25" s="101"/>
      <c r="F25" s="101"/>
    </row>
    <row r="26" spans="1:6" hidden="1" x14ac:dyDescent="0.3">
      <c r="A26" s="99" t="str">
        <f>BD_ControlRegimen[[#This Row],[FECHA]]&amp;BD_ControlRegimen[[#This Row],[NOMBRE]]</f>
        <v>44940AGUILAR VASQUEZ GIAN CARLO</v>
      </c>
      <c r="B26" s="100">
        <f>WEEKNUM(BD_ControlRegimen[[#This Row],[FECHA]],2)</f>
        <v>3</v>
      </c>
      <c r="C26" s="99">
        <v>44940</v>
      </c>
      <c r="D26" s="3" t="s">
        <v>74</v>
      </c>
      <c r="E26" s="101"/>
      <c r="F26" s="101"/>
    </row>
    <row r="27" spans="1:6" hidden="1" x14ac:dyDescent="0.3">
      <c r="A27" s="99" t="str">
        <f>BD_ControlRegimen[[#This Row],[FECHA]]&amp;BD_ControlRegimen[[#This Row],[NOMBRE]]</f>
        <v>44941AGUILAR VASQUEZ GIAN CARLO</v>
      </c>
      <c r="B27" s="100">
        <f>WEEKNUM(BD_ControlRegimen[[#This Row],[FECHA]],2)</f>
        <v>3</v>
      </c>
      <c r="C27" s="99">
        <v>44941</v>
      </c>
      <c r="D27" s="3" t="s">
        <v>74</v>
      </c>
      <c r="E27" s="101"/>
      <c r="F27" s="101"/>
    </row>
    <row r="28" spans="1:6" hidden="1" x14ac:dyDescent="0.3">
      <c r="A28" s="99" t="str">
        <f>BD_ControlRegimen[[#This Row],[FECHA]]&amp;BD_ControlRegimen[[#This Row],[NOMBRE]]</f>
        <v>44942AGUILAR VASQUEZ GIAN CARLO</v>
      </c>
      <c r="B28" s="100">
        <f>WEEKNUM(BD_ControlRegimen[[#This Row],[FECHA]],2)</f>
        <v>4</v>
      </c>
      <c r="C28" s="99">
        <v>44942</v>
      </c>
      <c r="D28" s="3" t="s">
        <v>74</v>
      </c>
      <c r="E28" s="101"/>
      <c r="F28" s="101"/>
    </row>
    <row r="29" spans="1:6" hidden="1" x14ac:dyDescent="0.3">
      <c r="A29" s="99" t="str">
        <f>BD_ControlRegimen[[#This Row],[FECHA]]&amp;BD_ControlRegimen[[#This Row],[NOMBRE]]</f>
        <v>44943AGUILAR VASQUEZ GIAN CARLO</v>
      </c>
      <c r="B29" s="100">
        <f>WEEKNUM(BD_ControlRegimen[[#This Row],[FECHA]],2)</f>
        <v>4</v>
      </c>
      <c r="C29" s="99">
        <v>44943</v>
      </c>
      <c r="D29" s="3" t="s">
        <v>74</v>
      </c>
      <c r="E29" s="101"/>
      <c r="F29" s="101"/>
    </row>
    <row r="30" spans="1:6" hidden="1" x14ac:dyDescent="0.3">
      <c r="A30" s="99" t="str">
        <f>BD_ControlRegimen[[#This Row],[FECHA]]&amp;BD_ControlRegimen[[#This Row],[NOMBRE]]</f>
        <v>44944AGUILAR VASQUEZ GIAN CARLO</v>
      </c>
      <c r="B30" s="100">
        <f>WEEKNUM(BD_ControlRegimen[[#This Row],[FECHA]],2)</f>
        <v>4</v>
      </c>
      <c r="C30" s="99">
        <v>44944</v>
      </c>
      <c r="D30" s="3" t="s">
        <v>74</v>
      </c>
      <c r="E30" s="101"/>
      <c r="F30" s="101"/>
    </row>
    <row r="31" spans="1:6" hidden="1" x14ac:dyDescent="0.3">
      <c r="A31" s="99" t="str">
        <f>BD_ControlRegimen[[#This Row],[FECHA]]&amp;BD_ControlRegimen[[#This Row],[NOMBRE]]</f>
        <v>44945AGUILAR VASQUEZ GIAN CARLO</v>
      </c>
      <c r="B31" s="100">
        <f>WEEKNUM(BD_ControlRegimen[[#This Row],[FECHA]],2)</f>
        <v>4</v>
      </c>
      <c r="C31" s="99">
        <v>44945</v>
      </c>
      <c r="D31" s="3" t="s">
        <v>74</v>
      </c>
      <c r="E31" s="101"/>
      <c r="F31" s="101"/>
    </row>
    <row r="32" spans="1:6" hidden="1" x14ac:dyDescent="0.3">
      <c r="A32" s="99" t="str">
        <f>BD_ControlRegimen[[#This Row],[FECHA]]&amp;BD_ControlRegimen[[#This Row],[NOMBRE]]</f>
        <v>44946AGUILAR VASQUEZ GIAN CARLO</v>
      </c>
      <c r="B32" s="100">
        <f>WEEKNUM(BD_ControlRegimen[[#This Row],[FECHA]],2)</f>
        <v>4</v>
      </c>
      <c r="C32" s="99">
        <v>44946</v>
      </c>
      <c r="D32" s="3" t="s">
        <v>74</v>
      </c>
      <c r="E32" s="101"/>
      <c r="F32" s="101"/>
    </row>
    <row r="33" spans="1:6" hidden="1" x14ac:dyDescent="0.3">
      <c r="A33" s="99" t="str">
        <f>BD_ControlRegimen[[#This Row],[FECHA]]&amp;BD_ControlRegimen[[#This Row],[NOMBRE]]</f>
        <v>44947AGUILAR VASQUEZ GIAN CARLO</v>
      </c>
      <c r="B33" s="100">
        <f>WEEKNUM(BD_ControlRegimen[[#This Row],[FECHA]],2)</f>
        <v>4</v>
      </c>
      <c r="C33" s="99">
        <v>44947</v>
      </c>
      <c r="D33" s="3" t="s">
        <v>74</v>
      </c>
      <c r="E33" s="101"/>
      <c r="F33" s="101"/>
    </row>
    <row r="34" spans="1:6" hidden="1" x14ac:dyDescent="0.3">
      <c r="A34" s="99" t="str">
        <f>BD_ControlRegimen[[#This Row],[FECHA]]&amp;BD_ControlRegimen[[#This Row],[NOMBRE]]</f>
        <v>44948AGUILAR VASQUEZ GIAN CARLO</v>
      </c>
      <c r="B34" s="100">
        <f>WEEKNUM(BD_ControlRegimen[[#This Row],[FECHA]],2)</f>
        <v>4</v>
      </c>
      <c r="C34" s="99">
        <v>44948</v>
      </c>
      <c r="D34" s="3" t="s">
        <v>74</v>
      </c>
      <c r="E34" s="101"/>
      <c r="F34" s="101"/>
    </row>
    <row r="35" spans="1:6" hidden="1" x14ac:dyDescent="0.3">
      <c r="A35" s="99" t="str">
        <f>BD_ControlRegimen[[#This Row],[FECHA]]&amp;BD_ControlRegimen[[#This Row],[NOMBRE]]</f>
        <v>44949AGUILAR VASQUEZ GIAN CARLO</v>
      </c>
      <c r="B35" s="100">
        <f>WEEKNUM(BD_ControlRegimen[[#This Row],[FECHA]],2)</f>
        <v>5</v>
      </c>
      <c r="C35" s="99">
        <v>44949</v>
      </c>
      <c r="D35" s="3" t="s">
        <v>74</v>
      </c>
      <c r="E35" s="101"/>
      <c r="F35" s="101"/>
    </row>
    <row r="36" spans="1:6" hidden="1" x14ac:dyDescent="0.3">
      <c r="A36" s="99" t="str">
        <f>BD_ControlRegimen[[#This Row],[FECHA]]&amp;BD_ControlRegimen[[#This Row],[NOMBRE]]</f>
        <v>44950AGUILAR VASQUEZ GIAN CARLO</v>
      </c>
      <c r="B36" s="100">
        <f>WEEKNUM(BD_ControlRegimen[[#This Row],[FECHA]],2)</f>
        <v>5</v>
      </c>
      <c r="C36" s="99">
        <v>44950</v>
      </c>
      <c r="D36" s="3" t="s">
        <v>74</v>
      </c>
      <c r="E36" s="101"/>
      <c r="F36" s="101"/>
    </row>
    <row r="37" spans="1:6" hidden="1" x14ac:dyDescent="0.3">
      <c r="A37" s="99" t="str">
        <f>BD_ControlRegimen[[#This Row],[FECHA]]&amp;BD_ControlRegimen[[#This Row],[NOMBRE]]</f>
        <v>44951AGUILAR VASQUEZ GIAN CARLO</v>
      </c>
      <c r="B37" s="100">
        <f>WEEKNUM(BD_ControlRegimen[[#This Row],[FECHA]],2)</f>
        <v>5</v>
      </c>
      <c r="C37" s="99">
        <v>44951</v>
      </c>
      <c r="D37" s="3" t="s">
        <v>74</v>
      </c>
      <c r="E37" s="101"/>
      <c r="F37" s="101"/>
    </row>
    <row r="38" spans="1:6" hidden="1" x14ac:dyDescent="0.3">
      <c r="A38" s="99" t="str">
        <f>BD_ControlRegimen[[#This Row],[FECHA]]&amp;BD_ControlRegimen[[#This Row],[NOMBRE]]</f>
        <v>44952AGUILAR VASQUEZ GIAN CARLO</v>
      </c>
      <c r="B38" s="100">
        <f>WEEKNUM(BD_ControlRegimen[[#This Row],[FECHA]],2)</f>
        <v>5</v>
      </c>
      <c r="C38" s="99">
        <v>44952</v>
      </c>
      <c r="D38" s="3" t="s">
        <v>74</v>
      </c>
      <c r="E38" s="101"/>
      <c r="F38" s="101"/>
    </row>
    <row r="39" spans="1:6" hidden="1" x14ac:dyDescent="0.3">
      <c r="A39" s="99" t="str">
        <f>BD_ControlRegimen[[#This Row],[FECHA]]&amp;BD_ControlRegimen[[#This Row],[NOMBRE]]</f>
        <v>44953AGUILAR VASQUEZ GIAN CARLO</v>
      </c>
      <c r="B39" s="100">
        <f>WEEKNUM(BD_ControlRegimen[[#This Row],[FECHA]],2)</f>
        <v>5</v>
      </c>
      <c r="C39" s="99">
        <v>44953</v>
      </c>
      <c r="D39" s="3" t="s">
        <v>74</v>
      </c>
      <c r="E39" s="101"/>
      <c r="F39" s="101"/>
    </row>
    <row r="40" spans="1:6" hidden="1" x14ac:dyDescent="0.3">
      <c r="A40" s="99" t="str">
        <f>BD_ControlRegimen[[#This Row],[FECHA]]&amp;BD_ControlRegimen[[#This Row],[NOMBRE]]</f>
        <v>44954AGUILAR VASQUEZ GIAN CARLO</v>
      </c>
      <c r="B40" s="100">
        <f>WEEKNUM(BD_ControlRegimen[[#This Row],[FECHA]],2)</f>
        <v>5</v>
      </c>
      <c r="C40" s="99">
        <v>44954</v>
      </c>
      <c r="D40" s="3" t="s">
        <v>74</v>
      </c>
      <c r="E40" s="101"/>
      <c r="F40" s="101"/>
    </row>
    <row r="41" spans="1:6" hidden="1" x14ac:dyDescent="0.3">
      <c r="A41" s="99" t="str">
        <f>BD_ControlRegimen[[#This Row],[FECHA]]&amp;BD_ControlRegimen[[#This Row],[NOMBRE]]</f>
        <v>44955AGUILAR VASQUEZ GIAN CARLO</v>
      </c>
      <c r="B41" s="100">
        <f>WEEKNUM(BD_ControlRegimen[[#This Row],[FECHA]],2)</f>
        <v>5</v>
      </c>
      <c r="C41" s="99">
        <v>44955</v>
      </c>
      <c r="D41" s="3" t="s">
        <v>74</v>
      </c>
      <c r="E41" s="101"/>
      <c r="F41" s="101"/>
    </row>
    <row r="42" spans="1:6" hidden="1" x14ac:dyDescent="0.3">
      <c r="A42" s="99" t="str">
        <f>BD_ControlRegimen[[#This Row],[FECHA]]&amp;BD_ControlRegimen[[#This Row],[NOMBRE]]</f>
        <v>44956AGUILAR VASQUEZ GIAN CARLO</v>
      </c>
      <c r="B42" s="100">
        <f>WEEKNUM(BD_ControlRegimen[[#This Row],[FECHA]],2)</f>
        <v>6</v>
      </c>
      <c r="C42" s="99">
        <v>44956</v>
      </c>
      <c r="D42" s="3" t="s">
        <v>74</v>
      </c>
      <c r="E42" s="101"/>
      <c r="F42" s="101"/>
    </row>
    <row r="43" spans="1:6" hidden="1" x14ac:dyDescent="0.3">
      <c r="A43" s="99" t="str">
        <f>BD_ControlRegimen[[#This Row],[FECHA]]&amp;BD_ControlRegimen[[#This Row],[NOMBRE]]</f>
        <v>44957AGUILAR VASQUEZ GIAN CARLO</v>
      </c>
      <c r="B43" s="100">
        <f>WEEKNUM(BD_ControlRegimen[[#This Row],[FECHA]],2)</f>
        <v>6</v>
      </c>
      <c r="C43" s="99">
        <v>44957</v>
      </c>
      <c r="D43" s="3" t="s">
        <v>74</v>
      </c>
      <c r="E43" s="101"/>
      <c r="F43" s="101"/>
    </row>
    <row r="44" spans="1:6" hidden="1" x14ac:dyDescent="0.3">
      <c r="A44" s="99" t="str">
        <f>BD_ControlRegimen[[#This Row],[FECHA]]&amp;BD_ControlRegimen[[#This Row],[NOMBRE]]</f>
        <v>44958AGUILAR VASQUEZ GIAN CARLO</v>
      </c>
      <c r="B44" s="100">
        <f>WEEKNUM(BD_ControlRegimen[[#This Row],[FECHA]],2)</f>
        <v>6</v>
      </c>
      <c r="C44" s="99">
        <v>44958</v>
      </c>
      <c r="D44" s="3" t="s">
        <v>74</v>
      </c>
      <c r="E44" s="101"/>
      <c r="F44" s="101"/>
    </row>
    <row r="45" spans="1:6" hidden="1" x14ac:dyDescent="0.3">
      <c r="A45" s="99" t="str">
        <f>BD_ControlRegimen[[#This Row],[FECHA]]&amp;BD_ControlRegimen[[#This Row],[NOMBRE]]</f>
        <v>44959AGUILAR VASQUEZ GIAN CARLO</v>
      </c>
      <c r="B45" s="100">
        <f>WEEKNUM(BD_ControlRegimen[[#This Row],[FECHA]],2)</f>
        <v>6</v>
      </c>
      <c r="C45" s="99">
        <v>44959</v>
      </c>
      <c r="D45" s="3" t="s">
        <v>74</v>
      </c>
      <c r="E45" s="101"/>
      <c r="F45" s="101"/>
    </row>
    <row r="46" spans="1:6" hidden="1" x14ac:dyDescent="0.3">
      <c r="A46" s="99" t="str">
        <f>BD_ControlRegimen[[#This Row],[FECHA]]&amp;BD_ControlRegimen[[#This Row],[NOMBRE]]</f>
        <v>44960AGUILAR VASQUEZ GIAN CARLO</v>
      </c>
      <c r="B46" s="100">
        <f>WEEKNUM(BD_ControlRegimen[[#This Row],[FECHA]],2)</f>
        <v>6</v>
      </c>
      <c r="C46" s="99">
        <v>44960</v>
      </c>
      <c r="D46" s="3" t="s">
        <v>74</v>
      </c>
      <c r="E46" s="101"/>
      <c r="F46" s="101"/>
    </row>
    <row r="47" spans="1:6" hidden="1" x14ac:dyDescent="0.3">
      <c r="A47" s="99" t="str">
        <f>BD_ControlRegimen[[#This Row],[FECHA]]&amp;BD_ControlRegimen[[#This Row],[NOMBRE]]</f>
        <v>44961AGUILAR VASQUEZ GIAN CARLO</v>
      </c>
      <c r="B47" s="100">
        <f>WEEKNUM(BD_ControlRegimen[[#This Row],[FECHA]],2)</f>
        <v>6</v>
      </c>
      <c r="C47" s="99">
        <v>44961</v>
      </c>
      <c r="D47" s="3" t="s">
        <v>74</v>
      </c>
      <c r="E47" s="101"/>
      <c r="F47" s="101"/>
    </row>
    <row r="48" spans="1:6" hidden="1" x14ac:dyDescent="0.3">
      <c r="A48" s="99" t="str">
        <f>BD_ControlRegimen[[#This Row],[FECHA]]&amp;BD_ControlRegimen[[#This Row],[NOMBRE]]</f>
        <v>44962AGUILAR VASQUEZ GIAN CARLO</v>
      </c>
      <c r="B48" s="100">
        <f>WEEKNUM(BD_ControlRegimen[[#This Row],[FECHA]],2)</f>
        <v>6</v>
      </c>
      <c r="C48" s="99">
        <v>44962</v>
      </c>
      <c r="D48" s="3" t="s">
        <v>74</v>
      </c>
      <c r="E48" s="101"/>
      <c r="F48" s="101"/>
    </row>
    <row r="49" spans="1:6" hidden="1" x14ac:dyDescent="0.3">
      <c r="A49" s="99" t="str">
        <f>BD_ControlRegimen[[#This Row],[FECHA]]&amp;BD_ControlRegimen[[#This Row],[NOMBRE]]</f>
        <v>44963AGUILAR VASQUEZ GIAN CARLO</v>
      </c>
      <c r="B49" s="100">
        <f>WEEKNUM(BD_ControlRegimen[[#This Row],[FECHA]],2)</f>
        <v>7</v>
      </c>
      <c r="C49" s="99">
        <v>44963</v>
      </c>
      <c r="D49" s="3" t="s">
        <v>74</v>
      </c>
      <c r="E49" s="101"/>
      <c r="F49" s="101"/>
    </row>
    <row r="50" spans="1:6" hidden="1" x14ac:dyDescent="0.3">
      <c r="A50" s="99" t="str">
        <f>BD_ControlRegimen[[#This Row],[FECHA]]&amp;BD_ControlRegimen[[#This Row],[NOMBRE]]</f>
        <v>44964AGUILAR VASQUEZ GIAN CARLO</v>
      </c>
      <c r="B50" s="100">
        <f>WEEKNUM(BD_ControlRegimen[[#This Row],[FECHA]],2)</f>
        <v>7</v>
      </c>
      <c r="C50" s="99">
        <v>44964</v>
      </c>
      <c r="D50" s="3" t="s">
        <v>74</v>
      </c>
      <c r="E50" s="101"/>
      <c r="F50" s="101"/>
    </row>
    <row r="51" spans="1:6" hidden="1" x14ac:dyDescent="0.3">
      <c r="A51" s="99" t="str">
        <f>BD_ControlRegimen[[#This Row],[FECHA]]&amp;BD_ControlRegimen[[#This Row],[NOMBRE]]</f>
        <v>44965AGUILAR VASQUEZ GIAN CARLO</v>
      </c>
      <c r="B51" s="100">
        <f>WEEKNUM(BD_ControlRegimen[[#This Row],[FECHA]],2)</f>
        <v>7</v>
      </c>
      <c r="C51" s="99">
        <v>44965</v>
      </c>
      <c r="D51" s="3" t="s">
        <v>74</v>
      </c>
      <c r="E51" s="101"/>
      <c r="F51" s="101"/>
    </row>
    <row r="52" spans="1:6" hidden="1" x14ac:dyDescent="0.3">
      <c r="A52" s="99" t="str">
        <f>BD_ControlRegimen[[#This Row],[FECHA]]&amp;BD_ControlRegimen[[#This Row],[NOMBRE]]</f>
        <v>44966AGUILAR VASQUEZ GIAN CARLO</v>
      </c>
      <c r="B52" s="100">
        <f>WEEKNUM(BD_ControlRegimen[[#This Row],[FECHA]],2)</f>
        <v>7</v>
      </c>
      <c r="C52" s="99">
        <v>44966</v>
      </c>
      <c r="D52" s="3" t="s">
        <v>74</v>
      </c>
      <c r="E52" s="101"/>
      <c r="F52" s="101"/>
    </row>
    <row r="53" spans="1:6" hidden="1" x14ac:dyDescent="0.3">
      <c r="A53" s="99" t="str">
        <f>BD_ControlRegimen[[#This Row],[FECHA]]&amp;BD_ControlRegimen[[#This Row],[NOMBRE]]</f>
        <v>44967AGUILAR VASQUEZ GIAN CARLO</v>
      </c>
      <c r="B53" s="100">
        <f>WEEKNUM(BD_ControlRegimen[[#This Row],[FECHA]],2)</f>
        <v>7</v>
      </c>
      <c r="C53" s="99">
        <v>44967</v>
      </c>
      <c r="D53" s="3" t="s">
        <v>74</v>
      </c>
      <c r="E53" s="101"/>
      <c r="F53" s="101"/>
    </row>
    <row r="54" spans="1:6" hidden="1" x14ac:dyDescent="0.3">
      <c r="A54" s="99" t="str">
        <f>BD_ControlRegimen[[#This Row],[FECHA]]&amp;BD_ControlRegimen[[#This Row],[NOMBRE]]</f>
        <v>44968AGUILAR VASQUEZ GIAN CARLO</v>
      </c>
      <c r="B54" s="100">
        <f>WEEKNUM(BD_ControlRegimen[[#This Row],[FECHA]],2)</f>
        <v>7</v>
      </c>
      <c r="C54" s="99">
        <v>44968</v>
      </c>
      <c r="D54" s="3" t="s">
        <v>74</v>
      </c>
      <c r="E54" s="101"/>
      <c r="F54" s="101"/>
    </row>
    <row r="55" spans="1:6" hidden="1" x14ac:dyDescent="0.3">
      <c r="A55" s="99" t="str">
        <f>BD_ControlRegimen[[#This Row],[FECHA]]&amp;BD_ControlRegimen[[#This Row],[NOMBRE]]</f>
        <v>44969AGUILAR VASQUEZ GIAN CARLO</v>
      </c>
      <c r="B55" s="100">
        <f>WEEKNUM(BD_ControlRegimen[[#This Row],[FECHA]],2)</f>
        <v>7</v>
      </c>
      <c r="C55" s="99">
        <v>44969</v>
      </c>
      <c r="D55" s="3" t="s">
        <v>74</v>
      </c>
      <c r="E55" s="101"/>
      <c r="F55" s="101"/>
    </row>
    <row r="56" spans="1:6" hidden="1" x14ac:dyDescent="0.3">
      <c r="A56" s="99" t="str">
        <f>BD_ControlRegimen[[#This Row],[FECHA]]&amp;BD_ControlRegimen[[#This Row],[NOMBRE]]</f>
        <v>44970AGUILAR VASQUEZ GIAN CARLO</v>
      </c>
      <c r="B56" s="100">
        <f>WEEKNUM(BD_ControlRegimen[[#This Row],[FECHA]],2)</f>
        <v>8</v>
      </c>
      <c r="C56" s="99">
        <v>44970</v>
      </c>
      <c r="D56" s="3" t="s">
        <v>74</v>
      </c>
      <c r="E56" s="101"/>
      <c r="F56" s="101"/>
    </row>
    <row r="57" spans="1:6" hidden="1" x14ac:dyDescent="0.3">
      <c r="A57" s="99" t="str">
        <f>BD_ControlRegimen[[#This Row],[FECHA]]&amp;BD_ControlRegimen[[#This Row],[NOMBRE]]</f>
        <v>44971AGUILAR VASQUEZ GIAN CARLO</v>
      </c>
      <c r="B57" s="100">
        <f>WEEKNUM(BD_ControlRegimen[[#This Row],[FECHA]],2)</f>
        <v>8</v>
      </c>
      <c r="C57" s="99">
        <v>44971</v>
      </c>
      <c r="D57" s="3" t="s">
        <v>74</v>
      </c>
      <c r="E57" s="101"/>
      <c r="F57" s="101"/>
    </row>
    <row r="58" spans="1:6" hidden="1" x14ac:dyDescent="0.3">
      <c r="A58" s="99" t="str">
        <f>BD_ControlRegimen[[#This Row],[FECHA]]&amp;BD_ControlRegimen[[#This Row],[NOMBRE]]</f>
        <v>44972AGUILAR VASQUEZ GIAN CARLO</v>
      </c>
      <c r="B58" s="100">
        <f>WEEKNUM(BD_ControlRegimen[[#This Row],[FECHA]],2)</f>
        <v>8</v>
      </c>
      <c r="C58" s="99">
        <v>44972</v>
      </c>
      <c r="D58" s="3" t="s">
        <v>74</v>
      </c>
      <c r="E58" s="101"/>
      <c r="F58" s="101"/>
    </row>
    <row r="59" spans="1:6" hidden="1" x14ac:dyDescent="0.3">
      <c r="A59" s="99" t="str">
        <f>BD_ControlRegimen[[#This Row],[FECHA]]&amp;BD_ControlRegimen[[#This Row],[NOMBRE]]</f>
        <v>44973AGUILAR VASQUEZ GIAN CARLO</v>
      </c>
      <c r="B59" s="100">
        <f>WEEKNUM(BD_ControlRegimen[[#This Row],[FECHA]],2)</f>
        <v>8</v>
      </c>
      <c r="C59" s="99">
        <v>44973</v>
      </c>
      <c r="D59" s="3" t="s">
        <v>74</v>
      </c>
      <c r="E59" s="101"/>
      <c r="F59" s="101"/>
    </row>
    <row r="60" spans="1:6" hidden="1" x14ac:dyDescent="0.3">
      <c r="A60" s="99" t="str">
        <f>BD_ControlRegimen[[#This Row],[FECHA]]&amp;BD_ControlRegimen[[#This Row],[NOMBRE]]</f>
        <v>44974AGUILAR VASQUEZ GIAN CARLO</v>
      </c>
      <c r="B60" s="100">
        <f>WEEKNUM(BD_ControlRegimen[[#This Row],[FECHA]],2)</f>
        <v>8</v>
      </c>
      <c r="C60" s="99">
        <v>44974</v>
      </c>
      <c r="D60" s="3" t="s">
        <v>74</v>
      </c>
      <c r="E60" s="101"/>
      <c r="F60" s="101"/>
    </row>
    <row r="61" spans="1:6" hidden="1" x14ac:dyDescent="0.3">
      <c r="A61" s="99" t="str">
        <f>BD_ControlRegimen[[#This Row],[FECHA]]&amp;BD_ControlRegimen[[#This Row],[NOMBRE]]</f>
        <v>44975AGUILAR VASQUEZ GIAN CARLO</v>
      </c>
      <c r="B61" s="100">
        <f>WEEKNUM(BD_ControlRegimen[[#This Row],[FECHA]],2)</f>
        <v>8</v>
      </c>
      <c r="C61" s="99">
        <v>44975</v>
      </c>
      <c r="D61" s="3" t="s">
        <v>74</v>
      </c>
      <c r="E61" s="101"/>
      <c r="F61" s="101"/>
    </row>
    <row r="62" spans="1:6" hidden="1" x14ac:dyDescent="0.3">
      <c r="A62" s="99" t="str">
        <f>BD_ControlRegimen[[#This Row],[FECHA]]&amp;BD_ControlRegimen[[#This Row],[NOMBRE]]</f>
        <v>44976AGUILAR VASQUEZ GIAN CARLO</v>
      </c>
      <c r="B62" s="100">
        <f>WEEKNUM(BD_ControlRegimen[[#This Row],[FECHA]],2)</f>
        <v>8</v>
      </c>
      <c r="C62" s="99">
        <v>44976</v>
      </c>
      <c r="D62" s="3" t="s">
        <v>74</v>
      </c>
      <c r="E62" s="101"/>
      <c r="F62" s="101"/>
    </row>
    <row r="63" spans="1:6" hidden="1" x14ac:dyDescent="0.3">
      <c r="A63" s="99" t="str">
        <f>BD_ControlRegimen[[#This Row],[FECHA]]&amp;BD_ControlRegimen[[#This Row],[NOMBRE]]</f>
        <v>44977AGUILAR VASQUEZ GIAN CARLO</v>
      </c>
      <c r="B63" s="100">
        <f>WEEKNUM(BD_ControlRegimen[[#This Row],[FECHA]],2)</f>
        <v>9</v>
      </c>
      <c r="C63" s="99">
        <v>44977</v>
      </c>
      <c r="D63" s="3" t="s">
        <v>74</v>
      </c>
      <c r="E63" s="101"/>
      <c r="F63" s="101"/>
    </row>
    <row r="64" spans="1:6" hidden="1" x14ac:dyDescent="0.3">
      <c r="A64" s="99" t="str">
        <f>BD_ControlRegimen[[#This Row],[FECHA]]&amp;BD_ControlRegimen[[#This Row],[NOMBRE]]</f>
        <v>44978AGUILAR VASQUEZ GIAN CARLO</v>
      </c>
      <c r="B64" s="100">
        <f>WEEKNUM(BD_ControlRegimen[[#This Row],[FECHA]],2)</f>
        <v>9</v>
      </c>
      <c r="C64" s="99">
        <v>44978</v>
      </c>
      <c r="D64" s="3" t="s">
        <v>74</v>
      </c>
      <c r="E64" s="101"/>
      <c r="F64" s="101"/>
    </row>
    <row r="65" spans="1:6" hidden="1" x14ac:dyDescent="0.3">
      <c r="A65" s="99" t="str">
        <f>BD_ControlRegimen[[#This Row],[FECHA]]&amp;BD_ControlRegimen[[#This Row],[NOMBRE]]</f>
        <v>44979AGUILAR VASQUEZ GIAN CARLO</v>
      </c>
      <c r="B65" s="100">
        <f>WEEKNUM(BD_ControlRegimen[[#This Row],[FECHA]],2)</f>
        <v>9</v>
      </c>
      <c r="C65" s="99">
        <v>44979</v>
      </c>
      <c r="D65" s="3" t="s">
        <v>74</v>
      </c>
      <c r="E65" s="101"/>
      <c r="F65" s="101"/>
    </row>
    <row r="66" spans="1:6" hidden="1" x14ac:dyDescent="0.3">
      <c r="A66" s="99" t="str">
        <f>BD_ControlRegimen[[#This Row],[FECHA]]&amp;BD_ControlRegimen[[#This Row],[NOMBRE]]</f>
        <v>44980AGUILAR VASQUEZ GIAN CARLO</v>
      </c>
      <c r="B66" s="100">
        <f>WEEKNUM(BD_ControlRegimen[[#This Row],[FECHA]],2)</f>
        <v>9</v>
      </c>
      <c r="C66" s="99">
        <v>44980</v>
      </c>
      <c r="D66" s="3" t="s">
        <v>74</v>
      </c>
      <c r="E66" s="101"/>
      <c r="F66" s="101"/>
    </row>
    <row r="67" spans="1:6" hidden="1" x14ac:dyDescent="0.3">
      <c r="A67" s="99" t="str">
        <f>BD_ControlRegimen[[#This Row],[FECHA]]&amp;BD_ControlRegimen[[#This Row],[NOMBRE]]</f>
        <v>44981AGUILAR VASQUEZ GIAN CARLO</v>
      </c>
      <c r="B67" s="100">
        <f>WEEKNUM(BD_ControlRegimen[[#This Row],[FECHA]],2)</f>
        <v>9</v>
      </c>
      <c r="C67" s="99">
        <v>44981</v>
      </c>
      <c r="D67" s="3" t="s">
        <v>74</v>
      </c>
      <c r="E67" s="101"/>
      <c r="F67" s="101"/>
    </row>
    <row r="68" spans="1:6" hidden="1" x14ac:dyDescent="0.3">
      <c r="A68" s="99" t="str">
        <f>BD_ControlRegimen[[#This Row],[FECHA]]&amp;BD_ControlRegimen[[#This Row],[NOMBRE]]</f>
        <v>44982AGUILAR VASQUEZ GIAN CARLO</v>
      </c>
      <c r="B68" s="100">
        <f>WEEKNUM(BD_ControlRegimen[[#This Row],[FECHA]],2)</f>
        <v>9</v>
      </c>
      <c r="C68" s="99">
        <v>44982</v>
      </c>
      <c r="D68" s="3" t="s">
        <v>74</v>
      </c>
      <c r="E68" s="101"/>
      <c r="F68" s="101"/>
    </row>
    <row r="69" spans="1:6" hidden="1" x14ac:dyDescent="0.3">
      <c r="A69" s="99" t="str">
        <f>BD_ControlRegimen[[#This Row],[FECHA]]&amp;BD_ControlRegimen[[#This Row],[NOMBRE]]</f>
        <v>44983AGUILAR VASQUEZ GIAN CARLO</v>
      </c>
      <c r="B69" s="100">
        <f>WEEKNUM(BD_ControlRegimen[[#This Row],[FECHA]],2)</f>
        <v>9</v>
      </c>
      <c r="C69" s="99">
        <v>44983</v>
      </c>
      <c r="D69" s="3" t="s">
        <v>74</v>
      </c>
      <c r="E69" s="101"/>
      <c r="F69" s="101"/>
    </row>
    <row r="70" spans="1:6" hidden="1" x14ac:dyDescent="0.3">
      <c r="A70" s="99" t="str">
        <f>BD_ControlRegimen[[#This Row],[FECHA]]&amp;BD_ControlRegimen[[#This Row],[NOMBRE]]</f>
        <v>44984AGUILAR VASQUEZ GIAN CARLO</v>
      </c>
      <c r="B70" s="100">
        <f>WEEKNUM(BD_ControlRegimen[[#This Row],[FECHA]],2)</f>
        <v>10</v>
      </c>
      <c r="C70" s="99">
        <v>44984</v>
      </c>
      <c r="D70" s="3" t="s">
        <v>74</v>
      </c>
      <c r="E70" s="101"/>
      <c r="F70" s="101"/>
    </row>
    <row r="71" spans="1:6" hidden="1" x14ac:dyDescent="0.3">
      <c r="A71" s="99" t="str">
        <f>BD_ControlRegimen[[#This Row],[FECHA]]&amp;BD_ControlRegimen[[#This Row],[NOMBRE]]</f>
        <v>44985AGUILAR VASQUEZ GIAN CARLO</v>
      </c>
      <c r="B71" s="100">
        <f>WEEKNUM(BD_ControlRegimen[[#This Row],[FECHA]],2)</f>
        <v>10</v>
      </c>
      <c r="C71" s="99">
        <v>44985</v>
      </c>
      <c r="D71" s="3" t="s">
        <v>74</v>
      </c>
      <c r="E71" s="101"/>
      <c r="F71" s="101"/>
    </row>
    <row r="72" spans="1:6" hidden="1" x14ac:dyDescent="0.3">
      <c r="A72" s="99" t="str">
        <f>BD_ControlRegimen[[#This Row],[FECHA]]&amp;BD_ControlRegimen[[#This Row],[NOMBRE]]</f>
        <v>44986AGUILAR VASQUEZ GIAN CARLO</v>
      </c>
      <c r="B72" s="100">
        <f>WEEKNUM(BD_ControlRegimen[[#This Row],[FECHA]],2)</f>
        <v>10</v>
      </c>
      <c r="C72" s="99">
        <v>44986</v>
      </c>
      <c r="D72" s="3" t="s">
        <v>74</v>
      </c>
      <c r="E72" s="101"/>
      <c r="F72" s="101"/>
    </row>
    <row r="73" spans="1:6" hidden="1" x14ac:dyDescent="0.3">
      <c r="A73" s="99" t="str">
        <f>BD_ControlRegimen[[#This Row],[FECHA]]&amp;BD_ControlRegimen[[#This Row],[NOMBRE]]</f>
        <v>44987AGUILAR VASQUEZ GIAN CARLO</v>
      </c>
      <c r="B73" s="100">
        <f>WEEKNUM(BD_ControlRegimen[[#This Row],[FECHA]],2)</f>
        <v>10</v>
      </c>
      <c r="C73" s="99">
        <v>44987</v>
      </c>
      <c r="D73" s="3" t="s">
        <v>74</v>
      </c>
      <c r="E73" s="101"/>
      <c r="F73" s="101"/>
    </row>
    <row r="74" spans="1:6" hidden="1" x14ac:dyDescent="0.3">
      <c r="A74" s="99" t="str">
        <f>BD_ControlRegimen[[#This Row],[FECHA]]&amp;BD_ControlRegimen[[#This Row],[NOMBRE]]</f>
        <v>44988AGUILAR VASQUEZ GIAN CARLO</v>
      </c>
      <c r="B74" s="100">
        <f>WEEKNUM(BD_ControlRegimen[[#This Row],[FECHA]],2)</f>
        <v>10</v>
      </c>
      <c r="C74" s="99">
        <v>44988</v>
      </c>
      <c r="D74" s="3" t="s">
        <v>74</v>
      </c>
      <c r="E74" s="101"/>
      <c r="F74" s="101"/>
    </row>
    <row r="75" spans="1:6" hidden="1" x14ac:dyDescent="0.3">
      <c r="A75" s="99" t="str">
        <f>BD_ControlRegimen[[#This Row],[FECHA]]&amp;BD_ControlRegimen[[#This Row],[NOMBRE]]</f>
        <v>44989AGUILAR VASQUEZ GIAN CARLO</v>
      </c>
      <c r="B75" s="100">
        <f>WEEKNUM(BD_ControlRegimen[[#This Row],[FECHA]],2)</f>
        <v>10</v>
      </c>
      <c r="C75" s="99">
        <v>44989</v>
      </c>
      <c r="D75" s="3" t="s">
        <v>74</v>
      </c>
      <c r="E75" s="101"/>
      <c r="F75" s="101"/>
    </row>
    <row r="76" spans="1:6" hidden="1" x14ac:dyDescent="0.3">
      <c r="A76" s="99" t="str">
        <f>BD_ControlRegimen[[#This Row],[FECHA]]&amp;BD_ControlRegimen[[#This Row],[NOMBRE]]</f>
        <v>44990AGUILAR VASQUEZ GIAN CARLO</v>
      </c>
      <c r="B76" s="100">
        <f>WEEKNUM(BD_ControlRegimen[[#This Row],[FECHA]],2)</f>
        <v>10</v>
      </c>
      <c r="C76" s="99">
        <v>44990</v>
      </c>
      <c r="D76" s="3" t="s">
        <v>74</v>
      </c>
      <c r="E76" s="101"/>
      <c r="F76" s="101"/>
    </row>
    <row r="77" spans="1:6" hidden="1" x14ac:dyDescent="0.3">
      <c r="A77" s="99" t="str">
        <f>BD_ControlRegimen[[#This Row],[FECHA]]&amp;BD_ControlRegimen[[#This Row],[NOMBRE]]</f>
        <v>44991AGUILAR VASQUEZ GIAN CARLO</v>
      </c>
      <c r="B77" s="100">
        <f>WEEKNUM(BD_ControlRegimen[[#This Row],[FECHA]],2)</f>
        <v>11</v>
      </c>
      <c r="C77" s="99">
        <v>44991</v>
      </c>
      <c r="D77" s="3" t="s">
        <v>74</v>
      </c>
      <c r="E77" s="101"/>
      <c r="F77" s="101"/>
    </row>
    <row r="78" spans="1:6" hidden="1" x14ac:dyDescent="0.3">
      <c r="A78" s="99" t="str">
        <f>BD_ControlRegimen[[#This Row],[FECHA]]&amp;BD_ControlRegimen[[#This Row],[NOMBRE]]</f>
        <v>44992AGUILAR VASQUEZ GIAN CARLO</v>
      </c>
      <c r="B78" s="100">
        <f>WEEKNUM(BD_ControlRegimen[[#This Row],[FECHA]],2)</f>
        <v>11</v>
      </c>
      <c r="C78" s="99">
        <v>44992</v>
      </c>
      <c r="D78" s="3" t="s">
        <v>74</v>
      </c>
      <c r="E78" s="101"/>
      <c r="F78" s="101"/>
    </row>
    <row r="79" spans="1:6" hidden="1" x14ac:dyDescent="0.3">
      <c r="A79" s="99" t="str">
        <f>BD_ControlRegimen[[#This Row],[FECHA]]&amp;BD_ControlRegimen[[#This Row],[NOMBRE]]</f>
        <v>44993AGUILAR VASQUEZ GIAN CARLO</v>
      </c>
      <c r="B79" s="100">
        <f>WEEKNUM(BD_ControlRegimen[[#This Row],[FECHA]],2)</f>
        <v>11</v>
      </c>
      <c r="C79" s="99">
        <v>44993</v>
      </c>
      <c r="D79" s="3" t="s">
        <v>74</v>
      </c>
      <c r="E79" s="101"/>
      <c r="F79" s="101"/>
    </row>
    <row r="80" spans="1:6" hidden="1" x14ac:dyDescent="0.3">
      <c r="A80" s="99" t="str">
        <f>BD_ControlRegimen[[#This Row],[FECHA]]&amp;BD_ControlRegimen[[#This Row],[NOMBRE]]</f>
        <v>44994AGUILAR VASQUEZ GIAN CARLO</v>
      </c>
      <c r="B80" s="100">
        <f>WEEKNUM(BD_ControlRegimen[[#This Row],[FECHA]],2)</f>
        <v>11</v>
      </c>
      <c r="C80" s="99">
        <v>44994</v>
      </c>
      <c r="D80" s="3" t="s">
        <v>74</v>
      </c>
      <c r="E80" s="101"/>
      <c r="F80" s="101"/>
    </row>
    <row r="81" spans="1:6" hidden="1" x14ac:dyDescent="0.3">
      <c r="A81" s="99" t="str">
        <f>BD_ControlRegimen[[#This Row],[FECHA]]&amp;BD_ControlRegimen[[#This Row],[NOMBRE]]</f>
        <v>44995AGUILAR VASQUEZ GIAN CARLO</v>
      </c>
      <c r="B81" s="100">
        <f>WEEKNUM(BD_ControlRegimen[[#This Row],[FECHA]],2)</f>
        <v>11</v>
      </c>
      <c r="C81" s="99">
        <v>44995</v>
      </c>
      <c r="D81" s="3" t="s">
        <v>74</v>
      </c>
      <c r="E81" s="101"/>
      <c r="F81" s="101"/>
    </row>
    <row r="82" spans="1:6" hidden="1" x14ac:dyDescent="0.3">
      <c r="A82" s="99" t="str">
        <f>BD_ControlRegimen[[#This Row],[FECHA]]&amp;BD_ControlRegimen[[#This Row],[NOMBRE]]</f>
        <v>44996AGUILAR VASQUEZ GIAN CARLO</v>
      </c>
      <c r="B82" s="100">
        <f>WEEKNUM(BD_ControlRegimen[[#This Row],[FECHA]],2)</f>
        <v>11</v>
      </c>
      <c r="C82" s="99">
        <v>44996</v>
      </c>
      <c r="D82" s="3" t="s">
        <v>74</v>
      </c>
      <c r="E82" s="101"/>
      <c r="F82" s="101"/>
    </row>
    <row r="83" spans="1:6" hidden="1" x14ac:dyDescent="0.3">
      <c r="A83" s="99" t="str">
        <f>BD_ControlRegimen[[#This Row],[FECHA]]&amp;BD_ControlRegimen[[#This Row],[NOMBRE]]</f>
        <v>44997AGUILAR VASQUEZ GIAN CARLO</v>
      </c>
      <c r="B83" s="100">
        <f>WEEKNUM(BD_ControlRegimen[[#This Row],[FECHA]],2)</f>
        <v>11</v>
      </c>
      <c r="C83" s="99">
        <v>44997</v>
      </c>
      <c r="D83" s="3" t="s">
        <v>74</v>
      </c>
      <c r="E83" s="101"/>
      <c r="F83" s="101"/>
    </row>
    <row r="84" spans="1:6" x14ac:dyDescent="0.3">
      <c r="A84" s="99" t="str">
        <f>BD_ControlRegimen[[#This Row],[FECHA]]&amp;BD_ControlRegimen[[#This Row],[NOMBRE]]</f>
        <v>44998AGUILAR VASQUEZ GIAN CARLO</v>
      </c>
      <c r="B84" s="100">
        <f>WEEKNUM(BD_ControlRegimen[[#This Row],[FECHA]],2)</f>
        <v>12</v>
      </c>
      <c r="C84" s="99">
        <v>44998</v>
      </c>
      <c r="D84" s="3" t="s">
        <v>74</v>
      </c>
      <c r="E84" s="3" t="s">
        <v>154</v>
      </c>
      <c r="F84" s="101"/>
    </row>
    <row r="85" spans="1:6" x14ac:dyDescent="0.3">
      <c r="A85" s="99" t="str">
        <f>BD_ControlRegimen[[#This Row],[FECHA]]&amp;BD_ControlRegimen[[#This Row],[NOMBRE]]</f>
        <v>44999AGUILAR VASQUEZ GIAN CARLO</v>
      </c>
      <c r="B85" s="100">
        <f>WEEKNUM(BD_ControlRegimen[[#This Row],[FECHA]],2)</f>
        <v>12</v>
      </c>
      <c r="C85" s="99">
        <v>44999</v>
      </c>
      <c r="D85" s="3" t="s">
        <v>74</v>
      </c>
      <c r="E85" s="3" t="s">
        <v>154</v>
      </c>
      <c r="F85" s="101"/>
    </row>
    <row r="86" spans="1:6" x14ac:dyDescent="0.3">
      <c r="A86" s="99" t="str">
        <f>BD_ControlRegimen[[#This Row],[FECHA]]&amp;BD_ControlRegimen[[#This Row],[NOMBRE]]</f>
        <v>45000AGUILAR VASQUEZ GIAN CARLO</v>
      </c>
      <c r="B86" s="100">
        <f>WEEKNUM(BD_ControlRegimen[[#This Row],[FECHA]],2)</f>
        <v>12</v>
      </c>
      <c r="C86" s="99">
        <v>45000</v>
      </c>
      <c r="D86" s="3" t="s">
        <v>74</v>
      </c>
      <c r="E86" s="3" t="s">
        <v>154</v>
      </c>
      <c r="F86" s="101"/>
    </row>
    <row r="87" spans="1:6" x14ac:dyDescent="0.3">
      <c r="A87" s="99" t="str">
        <f>BD_ControlRegimen[[#This Row],[FECHA]]&amp;BD_ControlRegimen[[#This Row],[NOMBRE]]</f>
        <v>45001AGUILAR VASQUEZ GIAN CARLO</v>
      </c>
      <c r="B87" s="100">
        <f>WEEKNUM(BD_ControlRegimen[[#This Row],[FECHA]],2)</f>
        <v>12</v>
      </c>
      <c r="C87" s="99">
        <v>45001</v>
      </c>
      <c r="D87" s="3" t="s">
        <v>74</v>
      </c>
      <c r="E87" s="3" t="s">
        <v>154</v>
      </c>
      <c r="F87" s="101"/>
    </row>
    <row r="88" spans="1:6" x14ac:dyDescent="0.3">
      <c r="A88" s="99" t="str">
        <f>BD_ControlRegimen[[#This Row],[FECHA]]&amp;BD_ControlRegimen[[#This Row],[NOMBRE]]</f>
        <v>45002AGUILAR VASQUEZ GIAN CARLO</v>
      </c>
      <c r="B88" s="100">
        <f>WEEKNUM(BD_ControlRegimen[[#This Row],[FECHA]],2)</f>
        <v>12</v>
      </c>
      <c r="C88" s="99">
        <v>45002</v>
      </c>
      <c r="D88" s="3" t="s">
        <v>74</v>
      </c>
      <c r="E88" s="3" t="s">
        <v>154</v>
      </c>
      <c r="F88" s="101"/>
    </row>
    <row r="89" spans="1:6" x14ac:dyDescent="0.3">
      <c r="A89" s="99" t="str">
        <f>BD_ControlRegimen[[#This Row],[FECHA]]&amp;BD_ControlRegimen[[#This Row],[NOMBRE]]</f>
        <v>45003AGUILAR VASQUEZ GIAN CARLO</v>
      </c>
      <c r="B89" s="100">
        <f>WEEKNUM(BD_ControlRegimen[[#This Row],[FECHA]],2)</f>
        <v>12</v>
      </c>
      <c r="C89" s="99">
        <v>45003</v>
      </c>
      <c r="D89" s="3" t="s">
        <v>74</v>
      </c>
      <c r="E89" s="3" t="s">
        <v>154</v>
      </c>
      <c r="F89" s="101"/>
    </row>
    <row r="90" spans="1:6" x14ac:dyDescent="0.3">
      <c r="A90" s="99" t="str">
        <f>BD_ControlRegimen[[#This Row],[FECHA]]&amp;BD_ControlRegimen[[#This Row],[NOMBRE]]</f>
        <v>45004AGUILAR VASQUEZ GIAN CARLO</v>
      </c>
      <c r="B90" s="100">
        <f>WEEKNUM(BD_ControlRegimen[[#This Row],[FECHA]],2)</f>
        <v>12</v>
      </c>
      <c r="C90" s="99">
        <v>45004</v>
      </c>
      <c r="D90" s="3" t="s">
        <v>74</v>
      </c>
      <c r="E90" s="3" t="s">
        <v>154</v>
      </c>
      <c r="F90" s="101"/>
    </row>
    <row r="91" spans="1:6" x14ac:dyDescent="0.3">
      <c r="A91" s="99" t="str">
        <f>BD_ControlRegimen[[#This Row],[FECHA]]&amp;BD_ControlRegimen[[#This Row],[NOMBRE]]</f>
        <v>45005AGUILAR VASQUEZ GIAN CARLO</v>
      </c>
      <c r="B91" s="100">
        <f>WEEKNUM(BD_ControlRegimen[[#This Row],[FECHA]],2)</f>
        <v>13</v>
      </c>
      <c r="C91" s="99">
        <v>45005</v>
      </c>
      <c r="D91" s="3" t="s">
        <v>74</v>
      </c>
      <c r="E91" s="3" t="s">
        <v>154</v>
      </c>
      <c r="F91" s="101"/>
    </row>
    <row r="92" spans="1:6" x14ac:dyDescent="0.3">
      <c r="A92" s="99" t="str">
        <f>BD_ControlRegimen[[#This Row],[FECHA]]&amp;BD_ControlRegimen[[#This Row],[NOMBRE]]</f>
        <v>45006AGUILAR VASQUEZ GIAN CARLO</v>
      </c>
      <c r="B92" s="100">
        <f>WEEKNUM(BD_ControlRegimen[[#This Row],[FECHA]],2)</f>
        <v>13</v>
      </c>
      <c r="C92" s="99">
        <v>45006</v>
      </c>
      <c r="D92" s="3" t="s">
        <v>74</v>
      </c>
      <c r="E92" s="3" t="s">
        <v>154</v>
      </c>
      <c r="F92" s="101"/>
    </row>
    <row r="93" spans="1:6" x14ac:dyDescent="0.3">
      <c r="A93" s="99" t="str">
        <f>BD_ControlRegimen[[#This Row],[FECHA]]&amp;BD_ControlRegimen[[#This Row],[NOMBRE]]</f>
        <v>45007AGUILAR VASQUEZ GIAN CARLO</v>
      </c>
      <c r="B93" s="100">
        <f>WEEKNUM(BD_ControlRegimen[[#This Row],[FECHA]],2)</f>
        <v>13</v>
      </c>
      <c r="C93" s="99">
        <v>45007</v>
      </c>
      <c r="D93" s="3" t="s">
        <v>74</v>
      </c>
      <c r="E93" s="3" t="s">
        <v>154</v>
      </c>
      <c r="F93" s="101"/>
    </row>
    <row r="94" spans="1:6" x14ac:dyDescent="0.3">
      <c r="A94" s="99" t="str">
        <f>BD_ControlRegimen[[#This Row],[FECHA]]&amp;BD_ControlRegimen[[#This Row],[NOMBRE]]</f>
        <v>45008AGUILAR VASQUEZ GIAN CARLO</v>
      </c>
      <c r="B94" s="100">
        <f>WEEKNUM(BD_ControlRegimen[[#This Row],[FECHA]],2)</f>
        <v>13</v>
      </c>
      <c r="C94" s="99">
        <v>45008</v>
      </c>
      <c r="D94" s="3" t="s">
        <v>74</v>
      </c>
      <c r="E94" s="3" t="s">
        <v>154</v>
      </c>
      <c r="F94" s="101"/>
    </row>
    <row r="95" spans="1:6" x14ac:dyDescent="0.3">
      <c r="A95" s="99" t="str">
        <f>BD_ControlRegimen[[#This Row],[FECHA]]&amp;BD_ControlRegimen[[#This Row],[NOMBRE]]</f>
        <v>45009AGUILAR VASQUEZ GIAN CARLO</v>
      </c>
      <c r="B95" s="100">
        <f>WEEKNUM(BD_ControlRegimen[[#This Row],[FECHA]],2)</f>
        <v>13</v>
      </c>
      <c r="C95" s="99">
        <v>45009</v>
      </c>
      <c r="D95" s="3" t="s">
        <v>74</v>
      </c>
      <c r="E95" s="3" t="s">
        <v>154</v>
      </c>
      <c r="F95" s="101"/>
    </row>
    <row r="96" spans="1:6" x14ac:dyDescent="0.3">
      <c r="A96" s="99" t="str">
        <f>BD_ControlRegimen[[#This Row],[FECHA]]&amp;BD_ControlRegimen[[#This Row],[NOMBRE]]</f>
        <v>45010AGUILAR VASQUEZ GIAN CARLO</v>
      </c>
      <c r="B96" s="100">
        <f>WEEKNUM(BD_ControlRegimen[[#This Row],[FECHA]],2)</f>
        <v>13</v>
      </c>
      <c r="C96" s="99">
        <v>45010</v>
      </c>
      <c r="D96" s="3" t="s">
        <v>74</v>
      </c>
      <c r="E96" s="3" t="s">
        <v>154</v>
      </c>
      <c r="F96" s="101"/>
    </row>
    <row r="97" spans="1:6" x14ac:dyDescent="0.3">
      <c r="A97" s="99" t="str">
        <f>BD_ControlRegimen[[#This Row],[FECHA]]&amp;BD_ControlRegimen[[#This Row],[NOMBRE]]</f>
        <v>45011AGUILAR VASQUEZ GIAN CARLO</v>
      </c>
      <c r="B97" s="100">
        <f>WEEKNUM(BD_ControlRegimen[[#This Row],[FECHA]],2)</f>
        <v>13</v>
      </c>
      <c r="C97" s="99">
        <v>45011</v>
      </c>
      <c r="D97" s="3" t="s">
        <v>74</v>
      </c>
      <c r="E97" s="3" t="s">
        <v>154</v>
      </c>
      <c r="F97" s="101"/>
    </row>
    <row r="98" spans="1:6" x14ac:dyDescent="0.3">
      <c r="A98" s="7" t="str">
        <f>BD_ControlRegimen[[#This Row],[FECHA]]&amp;BD_ControlRegimen[[#This Row],[NOMBRE]]</f>
        <v>45012AGUILAR VASQUEZ GIAN CARLO</v>
      </c>
      <c r="B98" s="83">
        <f>WEEKNUM(BD_ControlRegimen[[#This Row],[FECHA]],2)</f>
        <v>14</v>
      </c>
      <c r="C98" s="7">
        <v>45012</v>
      </c>
      <c r="D98" s="3" t="s">
        <v>74</v>
      </c>
      <c r="E98" s="3" t="s">
        <v>154</v>
      </c>
      <c r="F98" s="3"/>
    </row>
    <row r="99" spans="1:6" x14ac:dyDescent="0.3">
      <c r="A99" s="7" t="str">
        <f>BD_ControlRegimen[[#This Row],[FECHA]]&amp;BD_ControlRegimen[[#This Row],[NOMBRE]]</f>
        <v>45013AGUILAR VASQUEZ GIAN CARLO</v>
      </c>
      <c r="B99" s="83">
        <f>WEEKNUM(BD_ControlRegimen[[#This Row],[FECHA]],2)</f>
        <v>14</v>
      </c>
      <c r="C99" s="7">
        <v>45013</v>
      </c>
      <c r="D99" s="3" t="s">
        <v>74</v>
      </c>
      <c r="E99" s="3" t="s">
        <v>154</v>
      </c>
      <c r="F99" s="3"/>
    </row>
    <row r="100" spans="1:6" x14ac:dyDescent="0.3">
      <c r="A100" s="7" t="str">
        <f>BD_ControlRegimen[[#This Row],[FECHA]]&amp;BD_ControlRegimen[[#This Row],[NOMBRE]]</f>
        <v>45014AGUILAR VASQUEZ GIAN CARLO</v>
      </c>
      <c r="B100" s="83">
        <f>WEEKNUM(BD_ControlRegimen[[#This Row],[FECHA]],2)</f>
        <v>14</v>
      </c>
      <c r="C100" s="7">
        <v>45014</v>
      </c>
      <c r="D100" s="3" t="s">
        <v>74</v>
      </c>
      <c r="E100" s="3" t="s">
        <v>154</v>
      </c>
      <c r="F100" s="3"/>
    </row>
    <row r="101" spans="1:6" x14ac:dyDescent="0.3">
      <c r="A101" s="7" t="str">
        <f>BD_ControlRegimen[[#This Row],[FECHA]]&amp;BD_ControlRegimen[[#This Row],[NOMBRE]]</f>
        <v>45015AGUILAR VASQUEZ GIAN CARLO</v>
      </c>
      <c r="B101" s="83">
        <f>WEEKNUM(BD_ControlRegimen[[#This Row],[FECHA]],2)</f>
        <v>14</v>
      </c>
      <c r="C101" s="7">
        <v>45015</v>
      </c>
      <c r="D101" s="3" t="s">
        <v>74</v>
      </c>
      <c r="E101" s="3" t="s">
        <v>154</v>
      </c>
      <c r="F101" s="3"/>
    </row>
    <row r="102" spans="1:6" x14ac:dyDescent="0.3">
      <c r="A102" s="7" t="str">
        <f>BD_ControlRegimen[[#This Row],[FECHA]]&amp;BD_ControlRegimen[[#This Row],[NOMBRE]]</f>
        <v>45016AGUILAR VASQUEZ GIAN CARLO</v>
      </c>
      <c r="B102" s="83">
        <f>WEEKNUM(BD_ControlRegimen[[#This Row],[FECHA]],2)</f>
        <v>14</v>
      </c>
      <c r="C102" s="7">
        <v>45016</v>
      </c>
      <c r="D102" s="3" t="s">
        <v>74</v>
      </c>
      <c r="E102" s="3" t="s">
        <v>154</v>
      </c>
      <c r="F102" s="3"/>
    </row>
    <row r="103" spans="1:6" x14ac:dyDescent="0.3">
      <c r="A103" s="7" t="str">
        <f>BD_ControlRegimen[[#This Row],[FECHA]]&amp;BD_ControlRegimen[[#This Row],[NOMBRE]]</f>
        <v>45017AGUILAR VASQUEZ GIAN CARLO</v>
      </c>
      <c r="B103" s="83">
        <f>WEEKNUM(BD_ControlRegimen[[#This Row],[FECHA]],2)</f>
        <v>14</v>
      </c>
      <c r="C103" s="7">
        <v>45017</v>
      </c>
      <c r="D103" s="3" t="s">
        <v>74</v>
      </c>
      <c r="E103" s="3" t="s">
        <v>154</v>
      </c>
      <c r="F103" s="3"/>
    </row>
    <row r="104" spans="1:6" x14ac:dyDescent="0.3">
      <c r="A104" s="7" t="str">
        <f>BD_ControlRegimen[[#This Row],[FECHA]]&amp;BD_ControlRegimen[[#This Row],[NOMBRE]]</f>
        <v>45018AGUILAR VASQUEZ GIAN CARLO</v>
      </c>
      <c r="B104" s="83">
        <f>WEEKNUM(BD_ControlRegimen[[#This Row],[FECHA]],2)</f>
        <v>14</v>
      </c>
      <c r="C104" s="7">
        <v>45018</v>
      </c>
      <c r="D104" s="3" t="s">
        <v>74</v>
      </c>
      <c r="E104" s="3" t="s">
        <v>154</v>
      </c>
      <c r="F104" s="3"/>
    </row>
    <row r="105" spans="1:6" x14ac:dyDescent="0.3">
      <c r="A105" s="7" t="str">
        <f>BD_ControlRegimen[[#This Row],[FECHA]]&amp;BD_ControlRegimen[[#This Row],[NOMBRE]]</f>
        <v>45019AGUILAR VASQUEZ GIAN CARLO</v>
      </c>
      <c r="B105" s="83">
        <f>WEEKNUM(BD_ControlRegimen[[#This Row],[FECHA]],2)</f>
        <v>15</v>
      </c>
      <c r="C105" s="7">
        <v>45019</v>
      </c>
      <c r="D105" s="3" t="s">
        <v>74</v>
      </c>
      <c r="E105" s="3" t="s">
        <v>154</v>
      </c>
      <c r="F105" s="3"/>
    </row>
    <row r="106" spans="1:6" x14ac:dyDescent="0.3">
      <c r="A106" s="7" t="str">
        <f>BD_ControlRegimen[[#This Row],[FECHA]]&amp;BD_ControlRegimen[[#This Row],[NOMBRE]]</f>
        <v>45020AGUILAR VASQUEZ GIAN CARLO</v>
      </c>
      <c r="B106" s="83">
        <f>WEEKNUM(BD_ControlRegimen[[#This Row],[FECHA]],2)</f>
        <v>15</v>
      </c>
      <c r="C106" s="7">
        <v>45020</v>
      </c>
      <c r="D106" s="3" t="s">
        <v>74</v>
      </c>
      <c r="E106" s="3" t="s">
        <v>154</v>
      </c>
      <c r="F106" s="3"/>
    </row>
    <row r="107" spans="1:6" x14ac:dyDescent="0.3">
      <c r="A107" s="7" t="str">
        <f>BD_ControlRegimen[[#This Row],[FECHA]]&amp;BD_ControlRegimen[[#This Row],[NOMBRE]]</f>
        <v>45021AGUILAR VASQUEZ GIAN CARLO</v>
      </c>
      <c r="B107" s="83">
        <f>WEEKNUM(BD_ControlRegimen[[#This Row],[FECHA]],2)</f>
        <v>15</v>
      </c>
      <c r="C107" s="7">
        <v>45021</v>
      </c>
      <c r="D107" s="3" t="s">
        <v>74</v>
      </c>
      <c r="E107" s="3" t="s">
        <v>154</v>
      </c>
      <c r="F107" s="3"/>
    </row>
    <row r="108" spans="1:6" x14ac:dyDescent="0.3">
      <c r="A108" s="7" t="str">
        <f>BD_ControlRegimen[[#This Row],[FECHA]]&amp;BD_ControlRegimen[[#This Row],[NOMBRE]]</f>
        <v>45022AGUILAR VASQUEZ GIAN CARLO</v>
      </c>
      <c r="B108" s="83">
        <f>WEEKNUM(BD_ControlRegimen[[#This Row],[FECHA]],2)</f>
        <v>15</v>
      </c>
      <c r="C108" s="7">
        <v>45022</v>
      </c>
      <c r="D108" s="3" t="s">
        <v>74</v>
      </c>
      <c r="E108" s="3" t="s">
        <v>154</v>
      </c>
      <c r="F108" s="3"/>
    </row>
    <row r="109" spans="1:6" x14ac:dyDescent="0.3">
      <c r="A109" s="7" t="str">
        <f>BD_ControlRegimen[[#This Row],[FECHA]]&amp;BD_ControlRegimen[[#This Row],[NOMBRE]]</f>
        <v>45023AGUILAR VASQUEZ GIAN CARLO</v>
      </c>
      <c r="B109" s="83">
        <f>WEEKNUM(BD_ControlRegimen[[#This Row],[FECHA]],2)</f>
        <v>15</v>
      </c>
      <c r="C109" s="7">
        <v>45023</v>
      </c>
      <c r="D109" s="3" t="s">
        <v>74</v>
      </c>
      <c r="E109" s="3" t="s">
        <v>154</v>
      </c>
      <c r="F109" s="3"/>
    </row>
    <row r="110" spans="1:6" x14ac:dyDescent="0.3">
      <c r="A110" s="7" t="str">
        <f>BD_ControlRegimen[[#This Row],[FECHA]]&amp;BD_ControlRegimen[[#This Row],[NOMBRE]]</f>
        <v>45024AGUILAR VASQUEZ GIAN CARLO</v>
      </c>
      <c r="B110" s="83">
        <f>WEEKNUM(BD_ControlRegimen[[#This Row],[FECHA]],2)</f>
        <v>15</v>
      </c>
      <c r="C110" s="7">
        <v>45024</v>
      </c>
      <c r="D110" s="3" t="s">
        <v>74</v>
      </c>
      <c r="E110" s="3" t="s">
        <v>154</v>
      </c>
      <c r="F110" s="3"/>
    </row>
    <row r="111" spans="1:6" x14ac:dyDescent="0.3">
      <c r="A111" s="7" t="str">
        <f>BD_ControlRegimen[[#This Row],[FECHA]]&amp;BD_ControlRegimen[[#This Row],[NOMBRE]]</f>
        <v>45025AGUILAR VASQUEZ GIAN CARLO</v>
      </c>
      <c r="B111" s="83">
        <f>WEEKNUM(BD_ControlRegimen[[#This Row],[FECHA]],2)</f>
        <v>15</v>
      </c>
      <c r="C111" s="7">
        <v>45025</v>
      </c>
      <c r="D111" s="3" t="s">
        <v>74</v>
      </c>
      <c r="E111" s="3" t="s">
        <v>154</v>
      </c>
      <c r="F111" s="3"/>
    </row>
    <row r="112" spans="1:6" x14ac:dyDescent="0.3">
      <c r="A112" s="7" t="str">
        <f>BD_ControlRegimen[[#This Row],[FECHA]]&amp;BD_ControlRegimen[[#This Row],[NOMBRE]]</f>
        <v>45026AGUILAR VASQUEZ GIAN CARLO</v>
      </c>
      <c r="B112" s="83">
        <f>WEEKNUM(BD_ControlRegimen[[#This Row],[FECHA]],2)</f>
        <v>16</v>
      </c>
      <c r="C112" s="7">
        <v>45026</v>
      </c>
      <c r="D112" s="3" t="s">
        <v>74</v>
      </c>
      <c r="E112" s="3" t="s">
        <v>155</v>
      </c>
      <c r="F112" s="3"/>
    </row>
    <row r="113" spans="1:6" x14ac:dyDescent="0.3">
      <c r="A113" s="7" t="str">
        <f>BD_ControlRegimen[[#This Row],[FECHA]]&amp;BD_ControlRegimen[[#This Row],[NOMBRE]]</f>
        <v>45027AGUILAR VASQUEZ GIAN CARLO</v>
      </c>
      <c r="B113" s="83">
        <f>WEEKNUM(BD_ControlRegimen[[#This Row],[FECHA]],2)</f>
        <v>16</v>
      </c>
      <c r="C113" s="7">
        <v>45027</v>
      </c>
      <c r="D113" s="3" t="s">
        <v>74</v>
      </c>
      <c r="E113" s="3" t="s">
        <v>155</v>
      </c>
      <c r="F113" s="3"/>
    </row>
    <row r="114" spans="1:6" x14ac:dyDescent="0.3">
      <c r="A114" s="7" t="str">
        <f>BD_ControlRegimen[[#This Row],[FECHA]]&amp;BD_ControlRegimen[[#This Row],[NOMBRE]]</f>
        <v>45028AGUILAR VASQUEZ GIAN CARLO</v>
      </c>
      <c r="B114" s="83">
        <f>WEEKNUM(BD_ControlRegimen[[#This Row],[FECHA]],2)</f>
        <v>16</v>
      </c>
      <c r="C114" s="7">
        <v>45028</v>
      </c>
      <c r="D114" s="3" t="s">
        <v>74</v>
      </c>
      <c r="E114" s="3" t="s">
        <v>155</v>
      </c>
      <c r="F114" s="3"/>
    </row>
    <row r="115" spans="1:6" x14ac:dyDescent="0.3">
      <c r="A115" s="7" t="str">
        <f>BD_ControlRegimen[[#This Row],[FECHA]]&amp;BD_ControlRegimen[[#This Row],[NOMBRE]]</f>
        <v>45029AGUILAR VASQUEZ GIAN CARLO</v>
      </c>
      <c r="B115" s="83">
        <f>WEEKNUM(BD_ControlRegimen[[#This Row],[FECHA]],2)</f>
        <v>16</v>
      </c>
      <c r="C115" s="7">
        <v>45029</v>
      </c>
      <c r="D115" s="3" t="s">
        <v>74</v>
      </c>
      <c r="E115" s="3" t="s">
        <v>155</v>
      </c>
      <c r="F115" s="3"/>
    </row>
    <row r="116" spans="1:6" x14ac:dyDescent="0.3">
      <c r="A116" s="7" t="str">
        <f>BD_ControlRegimen[[#This Row],[FECHA]]&amp;BD_ControlRegimen[[#This Row],[NOMBRE]]</f>
        <v>45030AGUILAR VASQUEZ GIAN CARLO</v>
      </c>
      <c r="B116" s="83">
        <f>WEEKNUM(BD_ControlRegimen[[#This Row],[FECHA]],2)</f>
        <v>16</v>
      </c>
      <c r="C116" s="7">
        <v>45030</v>
      </c>
      <c r="D116" s="3" t="s">
        <v>74</v>
      </c>
      <c r="E116" s="3" t="s">
        <v>155</v>
      </c>
      <c r="F116" s="3"/>
    </row>
    <row r="117" spans="1:6" x14ac:dyDescent="0.3">
      <c r="A117" s="7" t="str">
        <f>BD_ControlRegimen[[#This Row],[FECHA]]&amp;BD_ControlRegimen[[#This Row],[NOMBRE]]</f>
        <v>45031AGUILAR VASQUEZ GIAN CARLO</v>
      </c>
      <c r="B117" s="83">
        <f>WEEKNUM(BD_ControlRegimen[[#This Row],[FECHA]],2)</f>
        <v>16</v>
      </c>
      <c r="C117" s="7">
        <v>45031</v>
      </c>
      <c r="D117" s="3" t="s">
        <v>74</v>
      </c>
      <c r="E117" s="3" t="s">
        <v>155</v>
      </c>
      <c r="F117" s="3"/>
    </row>
    <row r="118" spans="1:6" x14ac:dyDescent="0.3">
      <c r="A118" s="7" t="str">
        <f>BD_ControlRegimen[[#This Row],[FECHA]]&amp;BD_ControlRegimen[[#This Row],[NOMBRE]]</f>
        <v>45032AGUILAR VASQUEZ GIAN CARLO</v>
      </c>
      <c r="B118" s="83">
        <f>WEEKNUM(BD_ControlRegimen[[#This Row],[FECHA]],2)</f>
        <v>16</v>
      </c>
      <c r="C118" s="7">
        <v>45032</v>
      </c>
      <c r="D118" s="3" t="s">
        <v>74</v>
      </c>
      <c r="E118" s="3" t="s">
        <v>155</v>
      </c>
      <c r="F118" s="3"/>
    </row>
    <row r="119" spans="1:6" x14ac:dyDescent="0.3">
      <c r="A119" s="7" t="str">
        <f>BD_ControlRegimen[[#This Row],[FECHA]]&amp;BD_ControlRegimen[[#This Row],[NOMBRE]]</f>
        <v>45033AGUILAR VASQUEZ GIAN CARLO</v>
      </c>
      <c r="B119" s="83">
        <f>WEEKNUM(BD_ControlRegimen[[#This Row],[FECHA]],2)</f>
        <v>17</v>
      </c>
      <c r="C119" s="7">
        <v>45033</v>
      </c>
      <c r="D119" s="3" t="s">
        <v>74</v>
      </c>
      <c r="E119" s="3" t="s">
        <v>154</v>
      </c>
      <c r="F119" s="3"/>
    </row>
    <row r="120" spans="1:6" x14ac:dyDescent="0.3">
      <c r="A120" s="7" t="str">
        <f>BD_ControlRegimen[[#This Row],[FECHA]]&amp;BD_ControlRegimen[[#This Row],[NOMBRE]]</f>
        <v>45034AGUILAR VASQUEZ GIAN CARLO</v>
      </c>
      <c r="B120" s="83">
        <f>WEEKNUM(BD_ControlRegimen[[#This Row],[FECHA]],2)</f>
        <v>17</v>
      </c>
      <c r="C120" s="7">
        <v>45034</v>
      </c>
      <c r="D120" s="3" t="s">
        <v>74</v>
      </c>
      <c r="E120" s="3" t="s">
        <v>154</v>
      </c>
      <c r="F120" s="3"/>
    </row>
    <row r="121" spans="1:6" x14ac:dyDescent="0.3">
      <c r="A121" s="7" t="str">
        <f>BD_ControlRegimen[[#This Row],[FECHA]]&amp;BD_ControlRegimen[[#This Row],[NOMBRE]]</f>
        <v>45035AGUILAR VASQUEZ GIAN CARLO</v>
      </c>
      <c r="B121" s="83">
        <f>WEEKNUM(BD_ControlRegimen[[#This Row],[FECHA]],2)</f>
        <v>17</v>
      </c>
      <c r="C121" s="7">
        <v>45035</v>
      </c>
      <c r="D121" s="3" t="s">
        <v>74</v>
      </c>
      <c r="E121" s="3" t="s">
        <v>154</v>
      </c>
      <c r="F121" s="3"/>
    </row>
    <row r="122" spans="1:6" x14ac:dyDescent="0.3">
      <c r="A122" s="7" t="str">
        <f>BD_ControlRegimen[[#This Row],[FECHA]]&amp;BD_ControlRegimen[[#This Row],[NOMBRE]]</f>
        <v>45036AGUILAR VASQUEZ GIAN CARLO</v>
      </c>
      <c r="B122" s="83">
        <f>WEEKNUM(BD_ControlRegimen[[#This Row],[FECHA]],2)</f>
        <v>17</v>
      </c>
      <c r="C122" s="7">
        <v>45036</v>
      </c>
      <c r="D122" s="3" t="s">
        <v>74</v>
      </c>
      <c r="E122" s="3" t="s">
        <v>154</v>
      </c>
      <c r="F122" s="3"/>
    </row>
    <row r="123" spans="1:6" x14ac:dyDescent="0.3">
      <c r="A123" s="7" t="str">
        <f>BD_ControlRegimen[[#This Row],[FECHA]]&amp;BD_ControlRegimen[[#This Row],[NOMBRE]]</f>
        <v>45037AGUILAR VASQUEZ GIAN CARLO</v>
      </c>
      <c r="B123" s="83">
        <f>WEEKNUM(BD_ControlRegimen[[#This Row],[FECHA]],2)</f>
        <v>17</v>
      </c>
      <c r="C123" s="7">
        <v>45037</v>
      </c>
      <c r="D123" s="3" t="s">
        <v>74</v>
      </c>
      <c r="E123" s="3" t="s">
        <v>154</v>
      </c>
      <c r="F123" s="3"/>
    </row>
    <row r="124" spans="1:6" x14ac:dyDescent="0.3">
      <c r="A124" s="7" t="str">
        <f>BD_ControlRegimen[[#This Row],[FECHA]]&amp;BD_ControlRegimen[[#This Row],[NOMBRE]]</f>
        <v>45038AGUILAR VASQUEZ GIAN CARLO</v>
      </c>
      <c r="B124" s="83">
        <f>WEEKNUM(BD_ControlRegimen[[#This Row],[FECHA]],2)</f>
        <v>17</v>
      </c>
      <c r="C124" s="7">
        <v>45038</v>
      </c>
      <c r="D124" s="3" t="s">
        <v>74</v>
      </c>
      <c r="E124" s="3" t="s">
        <v>154</v>
      </c>
      <c r="F124" s="3"/>
    </row>
    <row r="125" spans="1:6" x14ac:dyDescent="0.3">
      <c r="A125" s="7" t="str">
        <f>BD_ControlRegimen[[#This Row],[FECHA]]&amp;BD_ControlRegimen[[#This Row],[NOMBRE]]</f>
        <v>45039AGUILAR VASQUEZ GIAN CARLO</v>
      </c>
      <c r="B125" s="83">
        <f>WEEKNUM(BD_ControlRegimen[[#This Row],[FECHA]],2)</f>
        <v>17</v>
      </c>
      <c r="C125" s="7">
        <v>45039</v>
      </c>
      <c r="D125" s="3" t="s">
        <v>74</v>
      </c>
      <c r="E125" s="3" t="s">
        <v>154</v>
      </c>
      <c r="F125" s="3"/>
    </row>
    <row r="126" spans="1:6" x14ac:dyDescent="0.3">
      <c r="A126" s="7" t="str">
        <f>BD_ControlRegimen[[#This Row],[FECHA]]&amp;BD_ControlRegimen[[#This Row],[NOMBRE]]</f>
        <v>45040AGUILAR VASQUEZ GIAN CARLO</v>
      </c>
      <c r="B126" s="83">
        <f>WEEKNUM(BD_ControlRegimen[[#This Row],[FECHA]],2)</f>
        <v>18</v>
      </c>
      <c r="C126" s="7">
        <v>45040</v>
      </c>
      <c r="D126" s="3" t="s">
        <v>74</v>
      </c>
      <c r="E126" s="3" t="s">
        <v>154</v>
      </c>
      <c r="F126" s="3"/>
    </row>
    <row r="127" spans="1:6" x14ac:dyDescent="0.3">
      <c r="A127" s="7" t="str">
        <f>BD_ControlRegimen[[#This Row],[FECHA]]&amp;BD_ControlRegimen[[#This Row],[NOMBRE]]</f>
        <v>45041AGUILAR VASQUEZ GIAN CARLO</v>
      </c>
      <c r="B127" s="83">
        <f>WEEKNUM(BD_ControlRegimen[[#This Row],[FECHA]],2)</f>
        <v>18</v>
      </c>
      <c r="C127" s="7">
        <v>45041</v>
      </c>
      <c r="D127" s="3" t="s">
        <v>74</v>
      </c>
      <c r="E127" s="3" t="s">
        <v>154</v>
      </c>
      <c r="F127" s="3"/>
    </row>
    <row r="128" spans="1:6" x14ac:dyDescent="0.3">
      <c r="A128" s="7" t="str">
        <f>BD_ControlRegimen[[#This Row],[FECHA]]&amp;BD_ControlRegimen[[#This Row],[NOMBRE]]</f>
        <v>45042AGUILAR VASQUEZ GIAN CARLO</v>
      </c>
      <c r="B128" s="83">
        <f>WEEKNUM(BD_ControlRegimen[[#This Row],[FECHA]],2)</f>
        <v>18</v>
      </c>
      <c r="C128" s="7">
        <v>45042</v>
      </c>
      <c r="D128" s="3" t="s">
        <v>74</v>
      </c>
      <c r="E128" s="3" t="s">
        <v>154</v>
      </c>
      <c r="F128" s="3"/>
    </row>
    <row r="129" spans="1:6" x14ac:dyDescent="0.3">
      <c r="A129" s="7" t="str">
        <f>BD_ControlRegimen[[#This Row],[FECHA]]&amp;BD_ControlRegimen[[#This Row],[NOMBRE]]</f>
        <v>45043AGUILAR VASQUEZ GIAN CARLO</v>
      </c>
      <c r="B129" s="83">
        <f>WEEKNUM(BD_ControlRegimen[[#This Row],[FECHA]],2)</f>
        <v>18</v>
      </c>
      <c r="C129" s="7">
        <v>45043</v>
      </c>
      <c r="D129" s="3" t="s">
        <v>74</v>
      </c>
      <c r="E129" s="3" t="s">
        <v>154</v>
      </c>
      <c r="F129" s="3"/>
    </row>
    <row r="130" spans="1:6" x14ac:dyDescent="0.3">
      <c r="A130" s="7" t="str">
        <f>BD_ControlRegimen[[#This Row],[FECHA]]&amp;BD_ControlRegimen[[#This Row],[NOMBRE]]</f>
        <v>45044AGUILAR VASQUEZ GIAN CARLO</v>
      </c>
      <c r="B130" s="83">
        <f>WEEKNUM(BD_ControlRegimen[[#This Row],[FECHA]],2)</f>
        <v>18</v>
      </c>
      <c r="C130" s="7">
        <v>45044</v>
      </c>
      <c r="D130" s="3" t="s">
        <v>74</v>
      </c>
      <c r="E130" s="3" t="s">
        <v>154</v>
      </c>
      <c r="F130" s="3"/>
    </row>
    <row r="131" spans="1:6" x14ac:dyDescent="0.3">
      <c r="A131" s="7" t="str">
        <f>BD_ControlRegimen[[#This Row],[FECHA]]&amp;BD_ControlRegimen[[#This Row],[NOMBRE]]</f>
        <v>45045AGUILAR VASQUEZ GIAN CARLO</v>
      </c>
      <c r="B131" s="83">
        <f>WEEKNUM(BD_ControlRegimen[[#This Row],[FECHA]],2)</f>
        <v>18</v>
      </c>
      <c r="C131" s="7">
        <v>45045</v>
      </c>
      <c r="D131" s="3" t="s">
        <v>74</v>
      </c>
      <c r="E131" s="3" t="s">
        <v>154</v>
      </c>
      <c r="F131" s="3"/>
    </row>
    <row r="132" spans="1:6" x14ac:dyDescent="0.3">
      <c r="A132" s="7" t="str">
        <f>BD_ControlRegimen[[#This Row],[FECHA]]&amp;BD_ControlRegimen[[#This Row],[NOMBRE]]</f>
        <v>45046AGUILAR VASQUEZ GIAN CARLO</v>
      </c>
      <c r="B132" s="83">
        <f>WEEKNUM(BD_ControlRegimen[[#This Row],[FECHA]],2)</f>
        <v>18</v>
      </c>
      <c r="C132" s="7">
        <v>45046</v>
      </c>
      <c r="D132" s="3" t="s">
        <v>74</v>
      </c>
      <c r="E132" s="3" t="s">
        <v>154</v>
      </c>
      <c r="F132" s="3"/>
    </row>
    <row r="133" spans="1:6" x14ac:dyDescent="0.3">
      <c r="A133" s="7" t="str">
        <f>BD_ControlRegimen[[#This Row],[FECHA]]&amp;BD_ControlRegimen[[#This Row],[NOMBRE]]</f>
        <v>45047AGUILAR VASQUEZ GIAN CARLO</v>
      </c>
      <c r="B133" s="83">
        <f>WEEKNUM(BD_ControlRegimen[[#This Row],[FECHA]],2)</f>
        <v>19</v>
      </c>
      <c r="C133" s="7">
        <v>45047</v>
      </c>
      <c r="D133" s="3" t="s">
        <v>74</v>
      </c>
      <c r="E133" s="3" t="s">
        <v>155</v>
      </c>
      <c r="F133" s="3"/>
    </row>
    <row r="134" spans="1:6" x14ac:dyDescent="0.3">
      <c r="A134" s="7" t="str">
        <f>BD_ControlRegimen[[#This Row],[FECHA]]&amp;BD_ControlRegimen[[#This Row],[NOMBRE]]</f>
        <v>45048AGUILAR VASQUEZ GIAN CARLO</v>
      </c>
      <c r="B134" s="83">
        <f>WEEKNUM(BD_ControlRegimen[[#This Row],[FECHA]],2)</f>
        <v>19</v>
      </c>
      <c r="C134" s="7">
        <v>45048</v>
      </c>
      <c r="D134" s="3" t="s">
        <v>74</v>
      </c>
      <c r="E134" s="3" t="s">
        <v>155</v>
      </c>
      <c r="F134" s="3"/>
    </row>
    <row r="135" spans="1:6" x14ac:dyDescent="0.3">
      <c r="A135" s="7" t="str">
        <f>BD_ControlRegimen[[#This Row],[FECHA]]&amp;BD_ControlRegimen[[#This Row],[NOMBRE]]</f>
        <v>45049AGUILAR VASQUEZ GIAN CARLO</v>
      </c>
      <c r="B135" s="83">
        <f>WEEKNUM(BD_ControlRegimen[[#This Row],[FECHA]],2)</f>
        <v>19</v>
      </c>
      <c r="C135" s="7">
        <v>45049</v>
      </c>
      <c r="D135" s="3" t="s">
        <v>74</v>
      </c>
      <c r="E135" s="3" t="s">
        <v>155</v>
      </c>
      <c r="F135" s="3"/>
    </row>
    <row r="136" spans="1:6" x14ac:dyDescent="0.3">
      <c r="A136" s="7" t="str">
        <f>BD_ControlRegimen[[#This Row],[FECHA]]&amp;BD_ControlRegimen[[#This Row],[NOMBRE]]</f>
        <v>45050AGUILAR VASQUEZ GIAN CARLO</v>
      </c>
      <c r="B136" s="83">
        <f>WEEKNUM(BD_ControlRegimen[[#This Row],[FECHA]],2)</f>
        <v>19</v>
      </c>
      <c r="C136" s="7">
        <v>45050</v>
      </c>
      <c r="D136" s="3" t="s">
        <v>74</v>
      </c>
      <c r="E136" s="3" t="s">
        <v>155</v>
      </c>
      <c r="F136" s="3"/>
    </row>
    <row r="137" spans="1:6" x14ac:dyDescent="0.3">
      <c r="A137" s="7" t="str">
        <f>BD_ControlRegimen[[#This Row],[FECHA]]&amp;BD_ControlRegimen[[#This Row],[NOMBRE]]</f>
        <v>45051AGUILAR VASQUEZ GIAN CARLO</v>
      </c>
      <c r="B137" s="83">
        <f>WEEKNUM(BD_ControlRegimen[[#This Row],[FECHA]],2)</f>
        <v>19</v>
      </c>
      <c r="C137" s="7">
        <v>45051</v>
      </c>
      <c r="D137" s="3" t="s">
        <v>74</v>
      </c>
      <c r="E137" s="3" t="s">
        <v>155</v>
      </c>
      <c r="F137" s="3"/>
    </row>
    <row r="138" spans="1:6" x14ac:dyDescent="0.3">
      <c r="A138" s="7" t="str">
        <f>BD_ControlRegimen[[#This Row],[FECHA]]&amp;BD_ControlRegimen[[#This Row],[NOMBRE]]</f>
        <v>45052AGUILAR VASQUEZ GIAN CARLO</v>
      </c>
      <c r="B138" s="83">
        <f>WEEKNUM(BD_ControlRegimen[[#This Row],[FECHA]],2)</f>
        <v>19</v>
      </c>
      <c r="C138" s="7">
        <v>45052</v>
      </c>
      <c r="D138" s="3" t="s">
        <v>74</v>
      </c>
      <c r="E138" s="3" t="s">
        <v>155</v>
      </c>
      <c r="F138" s="3"/>
    </row>
    <row r="139" spans="1:6" x14ac:dyDescent="0.3">
      <c r="A139" s="7" t="str">
        <f>BD_ControlRegimen[[#This Row],[FECHA]]&amp;BD_ControlRegimen[[#This Row],[NOMBRE]]</f>
        <v>45053AGUILAR VASQUEZ GIAN CARLO</v>
      </c>
      <c r="B139" s="83">
        <f>WEEKNUM(BD_ControlRegimen[[#This Row],[FECHA]],2)</f>
        <v>19</v>
      </c>
      <c r="C139" s="7">
        <v>45053</v>
      </c>
      <c r="D139" s="3" t="s">
        <v>74</v>
      </c>
      <c r="E139" s="3" t="s">
        <v>155</v>
      </c>
      <c r="F139" s="3"/>
    </row>
    <row r="140" spans="1:6" hidden="1" x14ac:dyDescent="0.3">
      <c r="A140" s="7" t="str">
        <f>BD_ControlRegimen[[#This Row],[FECHA]]&amp;BD_ControlRegimen[[#This Row],[NOMBRE]]</f>
        <v>45054AGUILAR VASQUEZ GIAN CARLO</v>
      </c>
      <c r="B140" s="83">
        <f>WEEKNUM(BD_ControlRegimen[[#This Row],[FECHA]],2)</f>
        <v>20</v>
      </c>
      <c r="C140" s="7">
        <v>45054</v>
      </c>
      <c r="D140" s="3" t="s">
        <v>74</v>
      </c>
      <c r="E140" s="3"/>
      <c r="F140" s="3"/>
    </row>
    <row r="141" spans="1:6" hidden="1" x14ac:dyDescent="0.3">
      <c r="A141" s="7" t="str">
        <f>BD_ControlRegimen[[#This Row],[FECHA]]&amp;BD_ControlRegimen[[#This Row],[NOMBRE]]</f>
        <v>45055AGUILAR VASQUEZ GIAN CARLO</v>
      </c>
      <c r="B141" s="83">
        <f>WEEKNUM(BD_ControlRegimen[[#This Row],[FECHA]],2)</f>
        <v>20</v>
      </c>
      <c r="C141" s="7">
        <v>45055</v>
      </c>
      <c r="D141" s="3" t="s">
        <v>74</v>
      </c>
      <c r="E141" s="3"/>
      <c r="F141" s="3"/>
    </row>
    <row r="142" spans="1:6" hidden="1" x14ac:dyDescent="0.3">
      <c r="A142" s="7" t="str">
        <f>BD_ControlRegimen[[#This Row],[FECHA]]&amp;BD_ControlRegimen[[#This Row],[NOMBRE]]</f>
        <v>45056AGUILAR VASQUEZ GIAN CARLO</v>
      </c>
      <c r="B142" s="83">
        <f>WEEKNUM(BD_ControlRegimen[[#This Row],[FECHA]],2)</f>
        <v>20</v>
      </c>
      <c r="C142" s="7">
        <v>45056</v>
      </c>
      <c r="D142" s="3" t="s">
        <v>74</v>
      </c>
      <c r="E142" s="3"/>
      <c r="F142" s="3"/>
    </row>
    <row r="143" spans="1:6" hidden="1" x14ac:dyDescent="0.3">
      <c r="A143" s="7" t="str">
        <f>BD_ControlRegimen[[#This Row],[FECHA]]&amp;BD_ControlRegimen[[#This Row],[NOMBRE]]</f>
        <v>45057AGUILAR VASQUEZ GIAN CARLO</v>
      </c>
      <c r="B143" s="83">
        <f>WEEKNUM(BD_ControlRegimen[[#This Row],[FECHA]],2)</f>
        <v>20</v>
      </c>
      <c r="C143" s="7">
        <v>45057</v>
      </c>
      <c r="D143" s="3" t="s">
        <v>74</v>
      </c>
      <c r="E143" s="3"/>
      <c r="F143" s="3"/>
    </row>
    <row r="144" spans="1:6" hidden="1" x14ac:dyDescent="0.3">
      <c r="A144" s="7" t="str">
        <f>BD_ControlRegimen[[#This Row],[FECHA]]&amp;BD_ControlRegimen[[#This Row],[NOMBRE]]</f>
        <v>45058AGUILAR VASQUEZ GIAN CARLO</v>
      </c>
      <c r="B144" s="83">
        <f>WEEKNUM(BD_ControlRegimen[[#This Row],[FECHA]],2)</f>
        <v>20</v>
      </c>
      <c r="C144" s="7">
        <v>45058</v>
      </c>
      <c r="D144" s="3" t="s">
        <v>74</v>
      </c>
      <c r="E144" s="3"/>
      <c r="F144" s="3"/>
    </row>
    <row r="145" spans="1:6" hidden="1" x14ac:dyDescent="0.3">
      <c r="A145" s="7" t="str">
        <f>BD_ControlRegimen[[#This Row],[FECHA]]&amp;BD_ControlRegimen[[#This Row],[NOMBRE]]</f>
        <v>45059AGUILAR VASQUEZ GIAN CARLO</v>
      </c>
      <c r="B145" s="83">
        <f>WEEKNUM(BD_ControlRegimen[[#This Row],[FECHA]],2)</f>
        <v>20</v>
      </c>
      <c r="C145" s="7">
        <v>45059</v>
      </c>
      <c r="D145" s="3" t="s">
        <v>74</v>
      </c>
      <c r="E145" s="3"/>
      <c r="F145" s="3"/>
    </row>
    <row r="146" spans="1:6" hidden="1" x14ac:dyDescent="0.3">
      <c r="A146" s="7" t="str">
        <f>BD_ControlRegimen[[#This Row],[FECHA]]&amp;BD_ControlRegimen[[#This Row],[NOMBRE]]</f>
        <v>45060AGUILAR VASQUEZ GIAN CARLO</v>
      </c>
      <c r="B146" s="83">
        <f>WEEKNUM(BD_ControlRegimen[[#This Row],[FECHA]],2)</f>
        <v>20</v>
      </c>
      <c r="C146" s="7">
        <v>45060</v>
      </c>
      <c r="D146" s="3" t="s">
        <v>74</v>
      </c>
      <c r="E146" s="3"/>
      <c r="F146" s="3"/>
    </row>
    <row r="147" spans="1:6" hidden="1" x14ac:dyDescent="0.3">
      <c r="A147" s="7" t="str">
        <f>BD_ControlRegimen[[#This Row],[FECHA]]&amp;BD_ControlRegimen[[#This Row],[NOMBRE]]</f>
        <v>45061AGUILAR VASQUEZ GIAN CARLO</v>
      </c>
      <c r="B147" s="83">
        <f>WEEKNUM(BD_ControlRegimen[[#This Row],[FECHA]],2)</f>
        <v>21</v>
      </c>
      <c r="C147" s="7">
        <v>45061</v>
      </c>
      <c r="D147" s="3" t="s">
        <v>74</v>
      </c>
      <c r="E147" s="3"/>
      <c r="F147" s="3"/>
    </row>
    <row r="148" spans="1:6" hidden="1" x14ac:dyDescent="0.3">
      <c r="A148" s="7" t="str">
        <f>BD_ControlRegimen[[#This Row],[FECHA]]&amp;BD_ControlRegimen[[#This Row],[NOMBRE]]</f>
        <v>45062AGUILAR VASQUEZ GIAN CARLO</v>
      </c>
      <c r="B148" s="83">
        <f>WEEKNUM(BD_ControlRegimen[[#This Row],[FECHA]],2)</f>
        <v>21</v>
      </c>
      <c r="C148" s="7">
        <v>45062</v>
      </c>
      <c r="D148" s="3" t="s">
        <v>74</v>
      </c>
      <c r="E148" s="3"/>
      <c r="F148" s="3"/>
    </row>
    <row r="149" spans="1:6" hidden="1" x14ac:dyDescent="0.3">
      <c r="A149" s="7" t="str">
        <f>BD_ControlRegimen[[#This Row],[FECHA]]&amp;BD_ControlRegimen[[#This Row],[NOMBRE]]</f>
        <v>45063AGUILAR VASQUEZ GIAN CARLO</v>
      </c>
      <c r="B149" s="83">
        <f>WEEKNUM(BD_ControlRegimen[[#This Row],[FECHA]],2)</f>
        <v>21</v>
      </c>
      <c r="C149" s="7">
        <v>45063</v>
      </c>
      <c r="D149" s="3" t="s">
        <v>74</v>
      </c>
      <c r="E149" s="3"/>
      <c r="F149" s="3"/>
    </row>
    <row r="150" spans="1:6" hidden="1" x14ac:dyDescent="0.3">
      <c r="A150" s="7" t="str">
        <f>BD_ControlRegimen[[#This Row],[FECHA]]&amp;BD_ControlRegimen[[#This Row],[NOMBRE]]</f>
        <v>45064AGUILAR VASQUEZ GIAN CARLO</v>
      </c>
      <c r="B150" s="83">
        <f>WEEKNUM(BD_ControlRegimen[[#This Row],[FECHA]],2)</f>
        <v>21</v>
      </c>
      <c r="C150" s="7">
        <v>45064</v>
      </c>
      <c r="D150" s="3" t="s">
        <v>74</v>
      </c>
      <c r="E150" s="3"/>
      <c r="F150" s="3"/>
    </row>
    <row r="151" spans="1:6" hidden="1" x14ac:dyDescent="0.3">
      <c r="A151" s="7" t="str">
        <f>BD_ControlRegimen[[#This Row],[FECHA]]&amp;BD_ControlRegimen[[#This Row],[NOMBRE]]</f>
        <v>45065AGUILAR VASQUEZ GIAN CARLO</v>
      </c>
      <c r="B151" s="83">
        <f>WEEKNUM(BD_ControlRegimen[[#This Row],[FECHA]],2)</f>
        <v>21</v>
      </c>
      <c r="C151" s="7">
        <v>45065</v>
      </c>
      <c r="D151" s="3" t="s">
        <v>74</v>
      </c>
      <c r="E151" s="3"/>
      <c r="F151" s="3"/>
    </row>
    <row r="152" spans="1:6" hidden="1" x14ac:dyDescent="0.3">
      <c r="A152" s="7" t="str">
        <f>BD_ControlRegimen[[#This Row],[FECHA]]&amp;BD_ControlRegimen[[#This Row],[NOMBRE]]</f>
        <v>45066AGUILAR VASQUEZ GIAN CARLO</v>
      </c>
      <c r="B152" s="83">
        <f>WEEKNUM(BD_ControlRegimen[[#This Row],[FECHA]],2)</f>
        <v>21</v>
      </c>
      <c r="C152" s="7">
        <v>45066</v>
      </c>
      <c r="D152" s="3" t="s">
        <v>74</v>
      </c>
      <c r="E152" s="3"/>
      <c r="F152" s="3"/>
    </row>
    <row r="153" spans="1:6" hidden="1" x14ac:dyDescent="0.3">
      <c r="A153" s="7" t="str">
        <f>BD_ControlRegimen[[#This Row],[FECHA]]&amp;BD_ControlRegimen[[#This Row],[NOMBRE]]</f>
        <v>45067AGUILAR VASQUEZ GIAN CARLO</v>
      </c>
      <c r="B153" s="83">
        <f>WEEKNUM(BD_ControlRegimen[[#This Row],[FECHA]],2)</f>
        <v>21</v>
      </c>
      <c r="C153" s="7">
        <v>45067</v>
      </c>
      <c r="D153" s="3" t="s">
        <v>74</v>
      </c>
      <c r="E153" s="3"/>
      <c r="F153" s="3"/>
    </row>
    <row r="154" spans="1:6" hidden="1" x14ac:dyDescent="0.3">
      <c r="A154" s="7" t="str">
        <f>BD_ControlRegimen[[#This Row],[FECHA]]&amp;BD_ControlRegimen[[#This Row],[NOMBRE]]</f>
        <v>45068AGUILAR VASQUEZ GIAN CARLO</v>
      </c>
      <c r="B154" s="83">
        <f>WEEKNUM(BD_ControlRegimen[[#This Row],[FECHA]],2)</f>
        <v>22</v>
      </c>
      <c r="C154" s="7">
        <v>45068</v>
      </c>
      <c r="D154" s="3" t="s">
        <v>74</v>
      </c>
      <c r="E154" s="3"/>
      <c r="F154" s="3"/>
    </row>
    <row r="155" spans="1:6" hidden="1" x14ac:dyDescent="0.3">
      <c r="A155" s="7" t="str">
        <f>BD_ControlRegimen[[#This Row],[FECHA]]&amp;BD_ControlRegimen[[#This Row],[NOMBRE]]</f>
        <v>45069AGUILAR VASQUEZ GIAN CARLO</v>
      </c>
      <c r="B155" s="83">
        <f>WEEKNUM(BD_ControlRegimen[[#This Row],[FECHA]],2)</f>
        <v>22</v>
      </c>
      <c r="C155" s="7">
        <v>45069</v>
      </c>
      <c r="D155" s="3" t="s">
        <v>74</v>
      </c>
      <c r="E155" s="3"/>
      <c r="F155" s="3"/>
    </row>
    <row r="156" spans="1:6" hidden="1" x14ac:dyDescent="0.3">
      <c r="A156" s="7" t="str">
        <f>BD_ControlRegimen[[#This Row],[FECHA]]&amp;BD_ControlRegimen[[#This Row],[NOMBRE]]</f>
        <v>45070AGUILAR VASQUEZ GIAN CARLO</v>
      </c>
      <c r="B156" s="83">
        <f>WEEKNUM(BD_ControlRegimen[[#This Row],[FECHA]],2)</f>
        <v>22</v>
      </c>
      <c r="C156" s="7">
        <v>45070</v>
      </c>
      <c r="D156" s="3" t="s">
        <v>74</v>
      </c>
      <c r="E156" s="3"/>
      <c r="F156" s="3"/>
    </row>
    <row r="157" spans="1:6" hidden="1" x14ac:dyDescent="0.3">
      <c r="A157" s="7" t="str">
        <f>BD_ControlRegimen[[#This Row],[FECHA]]&amp;BD_ControlRegimen[[#This Row],[NOMBRE]]</f>
        <v>45071AGUILAR VASQUEZ GIAN CARLO</v>
      </c>
      <c r="B157" s="83">
        <f>WEEKNUM(BD_ControlRegimen[[#This Row],[FECHA]],2)</f>
        <v>22</v>
      </c>
      <c r="C157" s="7">
        <v>45071</v>
      </c>
      <c r="D157" s="3" t="s">
        <v>74</v>
      </c>
      <c r="E157" s="3"/>
      <c r="F157" s="3"/>
    </row>
    <row r="158" spans="1:6" hidden="1" x14ac:dyDescent="0.3">
      <c r="A158" s="7" t="str">
        <f>BD_ControlRegimen[[#This Row],[FECHA]]&amp;BD_ControlRegimen[[#This Row],[NOMBRE]]</f>
        <v>45072AGUILAR VASQUEZ GIAN CARLO</v>
      </c>
      <c r="B158" s="83">
        <f>WEEKNUM(BD_ControlRegimen[[#This Row],[FECHA]],2)</f>
        <v>22</v>
      </c>
      <c r="C158" s="7">
        <v>45072</v>
      </c>
      <c r="D158" s="3" t="s">
        <v>74</v>
      </c>
      <c r="E158" s="3"/>
      <c r="F158" s="3"/>
    </row>
    <row r="159" spans="1:6" hidden="1" x14ac:dyDescent="0.3">
      <c r="A159" s="7" t="str">
        <f>BD_ControlRegimen[[#This Row],[FECHA]]&amp;BD_ControlRegimen[[#This Row],[NOMBRE]]</f>
        <v>45073AGUILAR VASQUEZ GIAN CARLO</v>
      </c>
      <c r="B159" s="83">
        <f>WEEKNUM(BD_ControlRegimen[[#This Row],[FECHA]],2)</f>
        <v>22</v>
      </c>
      <c r="C159" s="7">
        <v>45073</v>
      </c>
      <c r="D159" s="3" t="s">
        <v>74</v>
      </c>
      <c r="E159" s="3"/>
      <c r="F159" s="3"/>
    </row>
    <row r="160" spans="1:6" hidden="1" x14ac:dyDescent="0.3">
      <c r="A160" s="7" t="str">
        <f>BD_ControlRegimen[[#This Row],[FECHA]]&amp;BD_ControlRegimen[[#This Row],[NOMBRE]]</f>
        <v>45074AGUILAR VASQUEZ GIAN CARLO</v>
      </c>
      <c r="B160" s="83">
        <f>WEEKNUM(BD_ControlRegimen[[#This Row],[FECHA]],2)</f>
        <v>22</v>
      </c>
      <c r="C160" s="7">
        <v>45074</v>
      </c>
      <c r="D160" s="3" t="s">
        <v>74</v>
      </c>
      <c r="E160" s="3"/>
      <c r="F160" s="3"/>
    </row>
    <row r="161" spans="1:6" hidden="1" x14ac:dyDescent="0.3">
      <c r="A161" s="7" t="str">
        <f>BD_ControlRegimen[[#This Row],[FECHA]]&amp;BD_ControlRegimen[[#This Row],[NOMBRE]]</f>
        <v>45075AGUILAR VASQUEZ GIAN CARLO</v>
      </c>
      <c r="B161" s="83">
        <f>WEEKNUM(BD_ControlRegimen[[#This Row],[FECHA]],2)</f>
        <v>23</v>
      </c>
      <c r="C161" s="7">
        <v>45075</v>
      </c>
      <c r="D161" s="3" t="s">
        <v>74</v>
      </c>
      <c r="E161" s="3"/>
      <c r="F161" s="3"/>
    </row>
    <row r="162" spans="1:6" hidden="1" x14ac:dyDescent="0.3">
      <c r="A162" s="7" t="str">
        <f>BD_ControlRegimen[[#This Row],[FECHA]]&amp;BD_ControlRegimen[[#This Row],[NOMBRE]]</f>
        <v>45076AGUILAR VASQUEZ GIAN CARLO</v>
      </c>
      <c r="B162" s="83">
        <f>WEEKNUM(BD_ControlRegimen[[#This Row],[FECHA]],2)</f>
        <v>23</v>
      </c>
      <c r="C162" s="7">
        <v>45076</v>
      </c>
      <c r="D162" s="3" t="s">
        <v>74</v>
      </c>
      <c r="E162" s="3"/>
      <c r="F162" s="3"/>
    </row>
    <row r="163" spans="1:6" hidden="1" x14ac:dyDescent="0.3">
      <c r="A163" s="7" t="str">
        <f>BD_ControlRegimen[[#This Row],[FECHA]]&amp;BD_ControlRegimen[[#This Row],[NOMBRE]]</f>
        <v>45077AGUILAR VASQUEZ GIAN CARLO</v>
      </c>
      <c r="B163" s="83">
        <f>WEEKNUM(BD_ControlRegimen[[#This Row],[FECHA]],2)</f>
        <v>23</v>
      </c>
      <c r="C163" s="7">
        <v>45077</v>
      </c>
      <c r="D163" s="3" t="s">
        <v>74</v>
      </c>
      <c r="E163" s="3"/>
      <c r="F163" s="3"/>
    </row>
    <row r="164" spans="1:6" hidden="1" x14ac:dyDescent="0.3">
      <c r="A164" s="7" t="str">
        <f>BD_ControlRegimen[[#This Row],[FECHA]]&amp;BD_ControlRegimen[[#This Row],[NOMBRE]]</f>
        <v>45078AGUILAR VASQUEZ GIAN CARLO</v>
      </c>
      <c r="B164" s="83">
        <f>WEEKNUM(BD_ControlRegimen[[#This Row],[FECHA]],2)</f>
        <v>23</v>
      </c>
      <c r="C164" s="7">
        <v>45078</v>
      </c>
      <c r="D164" s="3" t="s">
        <v>74</v>
      </c>
      <c r="E164" s="3"/>
      <c r="F164" s="3"/>
    </row>
    <row r="165" spans="1:6" hidden="1" x14ac:dyDescent="0.3">
      <c r="A165" s="7" t="str">
        <f>BD_ControlRegimen[[#This Row],[FECHA]]&amp;BD_ControlRegimen[[#This Row],[NOMBRE]]</f>
        <v>45079AGUILAR VASQUEZ GIAN CARLO</v>
      </c>
      <c r="B165" s="83">
        <f>WEEKNUM(BD_ControlRegimen[[#This Row],[FECHA]],2)</f>
        <v>23</v>
      </c>
      <c r="C165" s="7">
        <v>45079</v>
      </c>
      <c r="D165" s="3" t="s">
        <v>74</v>
      </c>
      <c r="E165" s="3"/>
      <c r="F165" s="3"/>
    </row>
    <row r="166" spans="1:6" hidden="1" x14ac:dyDescent="0.3">
      <c r="A166" s="7" t="str">
        <f>BD_ControlRegimen[[#This Row],[FECHA]]&amp;BD_ControlRegimen[[#This Row],[NOMBRE]]</f>
        <v>45080AGUILAR VASQUEZ GIAN CARLO</v>
      </c>
      <c r="B166" s="83">
        <f>WEEKNUM(BD_ControlRegimen[[#This Row],[FECHA]],2)</f>
        <v>23</v>
      </c>
      <c r="C166" s="7">
        <v>45080</v>
      </c>
      <c r="D166" s="3" t="s">
        <v>74</v>
      </c>
      <c r="E166" s="3"/>
      <c r="F166" s="3"/>
    </row>
    <row r="167" spans="1:6" hidden="1" x14ac:dyDescent="0.3">
      <c r="A167" s="7" t="str">
        <f>BD_ControlRegimen[[#This Row],[FECHA]]&amp;BD_ControlRegimen[[#This Row],[NOMBRE]]</f>
        <v>45081AGUILAR VASQUEZ GIAN CARLO</v>
      </c>
      <c r="B167" s="83">
        <f>WEEKNUM(BD_ControlRegimen[[#This Row],[FECHA]],2)</f>
        <v>23</v>
      </c>
      <c r="C167" s="7">
        <v>45081</v>
      </c>
      <c r="D167" s="3" t="s">
        <v>74</v>
      </c>
      <c r="E167" s="3"/>
      <c r="F167" s="3"/>
    </row>
    <row r="168" spans="1:6" hidden="1" x14ac:dyDescent="0.3">
      <c r="A168" s="7" t="str">
        <f>BD_ControlRegimen[[#This Row],[FECHA]]&amp;BD_ControlRegimen[[#This Row],[NOMBRE]]</f>
        <v>45082AGUILAR VASQUEZ GIAN CARLO</v>
      </c>
      <c r="B168" s="83">
        <f>WEEKNUM(BD_ControlRegimen[[#This Row],[FECHA]],2)</f>
        <v>24</v>
      </c>
      <c r="C168" s="7">
        <v>45082</v>
      </c>
      <c r="D168" s="3" t="s">
        <v>74</v>
      </c>
      <c r="E168" s="3"/>
      <c r="F168" s="3"/>
    </row>
    <row r="169" spans="1:6" hidden="1" x14ac:dyDescent="0.3">
      <c r="A169" s="7" t="str">
        <f>BD_ControlRegimen[[#This Row],[FECHA]]&amp;BD_ControlRegimen[[#This Row],[NOMBRE]]</f>
        <v>45083AGUILAR VASQUEZ GIAN CARLO</v>
      </c>
      <c r="B169" s="83">
        <f>WEEKNUM(BD_ControlRegimen[[#This Row],[FECHA]],2)</f>
        <v>24</v>
      </c>
      <c r="C169" s="7">
        <v>45083</v>
      </c>
      <c r="D169" s="3" t="s">
        <v>74</v>
      </c>
      <c r="E169" s="3"/>
      <c r="F169" s="3"/>
    </row>
    <row r="170" spans="1:6" hidden="1" x14ac:dyDescent="0.3">
      <c r="A170" s="7" t="str">
        <f>BD_ControlRegimen[[#This Row],[FECHA]]&amp;BD_ControlRegimen[[#This Row],[NOMBRE]]</f>
        <v>45084AGUILAR VASQUEZ GIAN CARLO</v>
      </c>
      <c r="B170" s="83">
        <f>WEEKNUM(BD_ControlRegimen[[#This Row],[FECHA]],2)</f>
        <v>24</v>
      </c>
      <c r="C170" s="7">
        <v>45084</v>
      </c>
      <c r="D170" s="3" t="s">
        <v>74</v>
      </c>
      <c r="E170" s="3"/>
      <c r="F170" s="3"/>
    </row>
    <row r="171" spans="1:6" hidden="1" x14ac:dyDescent="0.3">
      <c r="A171" s="7" t="str">
        <f>BD_ControlRegimen[[#This Row],[FECHA]]&amp;BD_ControlRegimen[[#This Row],[NOMBRE]]</f>
        <v>45085AGUILAR VASQUEZ GIAN CARLO</v>
      </c>
      <c r="B171" s="83">
        <f>WEEKNUM(BD_ControlRegimen[[#This Row],[FECHA]],2)</f>
        <v>24</v>
      </c>
      <c r="C171" s="7">
        <v>45085</v>
      </c>
      <c r="D171" s="3" t="s">
        <v>74</v>
      </c>
      <c r="E171" s="3"/>
      <c r="F171" s="3"/>
    </row>
    <row r="172" spans="1:6" hidden="1" x14ac:dyDescent="0.3">
      <c r="A172" s="7" t="str">
        <f>BD_ControlRegimen[[#This Row],[FECHA]]&amp;BD_ControlRegimen[[#This Row],[NOMBRE]]</f>
        <v>45086AGUILAR VASQUEZ GIAN CARLO</v>
      </c>
      <c r="B172" s="83">
        <f>WEEKNUM(BD_ControlRegimen[[#This Row],[FECHA]],2)</f>
        <v>24</v>
      </c>
      <c r="C172" s="7">
        <v>45086</v>
      </c>
      <c r="D172" s="3" t="s">
        <v>74</v>
      </c>
      <c r="E172" s="3"/>
      <c r="F172" s="3"/>
    </row>
    <row r="173" spans="1:6" hidden="1" x14ac:dyDescent="0.3">
      <c r="A173" s="7" t="str">
        <f>BD_ControlRegimen[[#This Row],[FECHA]]&amp;BD_ControlRegimen[[#This Row],[NOMBRE]]</f>
        <v>45087AGUILAR VASQUEZ GIAN CARLO</v>
      </c>
      <c r="B173" s="83">
        <f>WEEKNUM(BD_ControlRegimen[[#This Row],[FECHA]],2)</f>
        <v>24</v>
      </c>
      <c r="C173" s="7">
        <v>45087</v>
      </c>
      <c r="D173" s="3" t="s">
        <v>74</v>
      </c>
      <c r="E173" s="3"/>
      <c r="F173" s="3"/>
    </row>
    <row r="174" spans="1:6" hidden="1" x14ac:dyDescent="0.3">
      <c r="A174" s="7" t="str">
        <f>BD_ControlRegimen[[#This Row],[FECHA]]&amp;BD_ControlRegimen[[#This Row],[NOMBRE]]</f>
        <v>45088AGUILAR VASQUEZ GIAN CARLO</v>
      </c>
      <c r="B174" s="83">
        <f>WEEKNUM(BD_ControlRegimen[[#This Row],[FECHA]],2)</f>
        <v>24</v>
      </c>
      <c r="C174" s="7">
        <v>45088</v>
      </c>
      <c r="D174" s="3" t="s">
        <v>74</v>
      </c>
      <c r="E174" s="3"/>
      <c r="F174" s="3"/>
    </row>
    <row r="175" spans="1:6" hidden="1" x14ac:dyDescent="0.3">
      <c r="A175" s="7" t="str">
        <f>BD_ControlRegimen[[#This Row],[FECHA]]&amp;BD_ControlRegimen[[#This Row],[NOMBRE]]</f>
        <v>45089AGUILAR VASQUEZ GIAN CARLO</v>
      </c>
      <c r="B175" s="83">
        <f>WEEKNUM(BD_ControlRegimen[[#This Row],[FECHA]],2)</f>
        <v>25</v>
      </c>
      <c r="C175" s="7">
        <v>45089</v>
      </c>
      <c r="D175" s="3" t="s">
        <v>74</v>
      </c>
      <c r="E175" s="3"/>
      <c r="F175" s="3"/>
    </row>
    <row r="176" spans="1:6" hidden="1" x14ac:dyDescent="0.3">
      <c r="A176" s="7" t="str">
        <f>BD_ControlRegimen[[#This Row],[FECHA]]&amp;BD_ControlRegimen[[#This Row],[NOMBRE]]</f>
        <v>45090AGUILAR VASQUEZ GIAN CARLO</v>
      </c>
      <c r="B176" s="83">
        <f>WEEKNUM(BD_ControlRegimen[[#This Row],[FECHA]],2)</f>
        <v>25</v>
      </c>
      <c r="C176" s="7">
        <v>45090</v>
      </c>
      <c r="D176" s="3" t="s">
        <v>74</v>
      </c>
      <c r="E176" s="3"/>
      <c r="F176" s="3"/>
    </row>
    <row r="177" spans="1:6" hidden="1" x14ac:dyDescent="0.3">
      <c r="A177" s="7" t="str">
        <f>BD_ControlRegimen[[#This Row],[FECHA]]&amp;BD_ControlRegimen[[#This Row],[NOMBRE]]</f>
        <v>45091AGUILAR VASQUEZ GIAN CARLO</v>
      </c>
      <c r="B177" s="83">
        <f>WEEKNUM(BD_ControlRegimen[[#This Row],[FECHA]],2)</f>
        <v>25</v>
      </c>
      <c r="C177" s="7">
        <v>45091</v>
      </c>
      <c r="D177" s="3" t="s">
        <v>74</v>
      </c>
      <c r="E177" s="3"/>
      <c r="F177" s="3"/>
    </row>
    <row r="178" spans="1:6" hidden="1" x14ac:dyDescent="0.3">
      <c r="A178" s="7" t="str">
        <f>BD_ControlRegimen[[#This Row],[FECHA]]&amp;BD_ControlRegimen[[#This Row],[NOMBRE]]</f>
        <v>45092AGUILAR VASQUEZ GIAN CARLO</v>
      </c>
      <c r="B178" s="83">
        <f>WEEKNUM(BD_ControlRegimen[[#This Row],[FECHA]],2)</f>
        <v>25</v>
      </c>
      <c r="C178" s="7">
        <v>45092</v>
      </c>
      <c r="D178" s="3" t="s">
        <v>74</v>
      </c>
      <c r="E178" s="3"/>
      <c r="F178" s="3"/>
    </row>
    <row r="179" spans="1:6" hidden="1" x14ac:dyDescent="0.3">
      <c r="A179" s="7" t="str">
        <f>BD_ControlRegimen[[#This Row],[FECHA]]&amp;BD_ControlRegimen[[#This Row],[NOMBRE]]</f>
        <v>45093AGUILAR VASQUEZ GIAN CARLO</v>
      </c>
      <c r="B179" s="83">
        <f>WEEKNUM(BD_ControlRegimen[[#This Row],[FECHA]],2)</f>
        <v>25</v>
      </c>
      <c r="C179" s="7">
        <v>45093</v>
      </c>
      <c r="D179" s="3" t="s">
        <v>74</v>
      </c>
      <c r="E179" s="3"/>
      <c r="F179" s="3"/>
    </row>
    <row r="180" spans="1:6" hidden="1" x14ac:dyDescent="0.3">
      <c r="A180" s="7" t="str">
        <f>BD_ControlRegimen[[#This Row],[FECHA]]&amp;BD_ControlRegimen[[#This Row],[NOMBRE]]</f>
        <v>45094AGUILAR VASQUEZ GIAN CARLO</v>
      </c>
      <c r="B180" s="83">
        <f>WEEKNUM(BD_ControlRegimen[[#This Row],[FECHA]],2)</f>
        <v>25</v>
      </c>
      <c r="C180" s="7">
        <v>45094</v>
      </c>
      <c r="D180" s="3" t="s">
        <v>74</v>
      </c>
      <c r="E180" s="3"/>
      <c r="F180" s="3"/>
    </row>
    <row r="181" spans="1:6" hidden="1" x14ac:dyDescent="0.3">
      <c r="A181" s="7" t="str">
        <f>BD_ControlRegimen[[#This Row],[FECHA]]&amp;BD_ControlRegimen[[#This Row],[NOMBRE]]</f>
        <v>45095AGUILAR VASQUEZ GIAN CARLO</v>
      </c>
      <c r="B181" s="83">
        <f>WEEKNUM(BD_ControlRegimen[[#This Row],[FECHA]],2)</f>
        <v>25</v>
      </c>
      <c r="C181" s="7">
        <v>45095</v>
      </c>
      <c r="D181" s="3" t="s">
        <v>74</v>
      </c>
      <c r="E181" s="3"/>
      <c r="F181" s="3"/>
    </row>
    <row r="182" spans="1:6" hidden="1" x14ac:dyDescent="0.3">
      <c r="A182" s="7" t="str">
        <f>BD_ControlRegimen[[#This Row],[FECHA]]&amp;BD_ControlRegimen[[#This Row],[NOMBRE]]</f>
        <v>45096AGUILAR VASQUEZ GIAN CARLO</v>
      </c>
      <c r="B182" s="83">
        <f>WEEKNUM(BD_ControlRegimen[[#This Row],[FECHA]],2)</f>
        <v>26</v>
      </c>
      <c r="C182" s="7">
        <v>45096</v>
      </c>
      <c r="D182" s="3" t="s">
        <v>74</v>
      </c>
      <c r="E182" s="3"/>
      <c r="F182" s="3"/>
    </row>
    <row r="183" spans="1:6" hidden="1" x14ac:dyDescent="0.3">
      <c r="A183" s="7" t="str">
        <f>BD_ControlRegimen[[#This Row],[FECHA]]&amp;BD_ControlRegimen[[#This Row],[NOMBRE]]</f>
        <v>45097AGUILAR VASQUEZ GIAN CARLO</v>
      </c>
      <c r="B183" s="83">
        <f>WEEKNUM(BD_ControlRegimen[[#This Row],[FECHA]],2)</f>
        <v>26</v>
      </c>
      <c r="C183" s="7">
        <v>45097</v>
      </c>
      <c r="D183" s="3" t="s">
        <v>74</v>
      </c>
      <c r="E183" s="3"/>
      <c r="F183" s="3"/>
    </row>
    <row r="184" spans="1:6" hidden="1" x14ac:dyDescent="0.3">
      <c r="A184" s="7" t="str">
        <f>BD_ControlRegimen[[#This Row],[FECHA]]&amp;BD_ControlRegimen[[#This Row],[NOMBRE]]</f>
        <v>45098AGUILAR VASQUEZ GIAN CARLO</v>
      </c>
      <c r="B184" s="83">
        <f>WEEKNUM(BD_ControlRegimen[[#This Row],[FECHA]],2)</f>
        <v>26</v>
      </c>
      <c r="C184" s="7">
        <v>45098</v>
      </c>
      <c r="D184" s="3" t="s">
        <v>74</v>
      </c>
      <c r="E184" s="3"/>
      <c r="F184" s="3"/>
    </row>
    <row r="185" spans="1:6" hidden="1" x14ac:dyDescent="0.3">
      <c r="A185" s="7" t="str">
        <f>BD_ControlRegimen[[#This Row],[FECHA]]&amp;BD_ControlRegimen[[#This Row],[NOMBRE]]</f>
        <v>45099AGUILAR VASQUEZ GIAN CARLO</v>
      </c>
      <c r="B185" s="83">
        <f>WEEKNUM(BD_ControlRegimen[[#This Row],[FECHA]],2)</f>
        <v>26</v>
      </c>
      <c r="C185" s="7">
        <v>45099</v>
      </c>
      <c r="D185" s="3" t="s">
        <v>74</v>
      </c>
      <c r="E185" s="3"/>
      <c r="F185" s="3"/>
    </row>
    <row r="186" spans="1:6" hidden="1" x14ac:dyDescent="0.3">
      <c r="A186" s="7" t="str">
        <f>BD_ControlRegimen[[#This Row],[FECHA]]&amp;BD_ControlRegimen[[#This Row],[NOMBRE]]</f>
        <v>45100AGUILAR VASQUEZ GIAN CARLO</v>
      </c>
      <c r="B186" s="83">
        <f>WEEKNUM(BD_ControlRegimen[[#This Row],[FECHA]],2)</f>
        <v>26</v>
      </c>
      <c r="C186" s="7">
        <v>45100</v>
      </c>
      <c r="D186" s="3" t="s">
        <v>74</v>
      </c>
      <c r="E186" s="3"/>
      <c r="F186" s="3"/>
    </row>
    <row r="187" spans="1:6" hidden="1" x14ac:dyDescent="0.3">
      <c r="A187" s="7" t="str">
        <f>BD_ControlRegimen[[#This Row],[FECHA]]&amp;BD_ControlRegimen[[#This Row],[NOMBRE]]</f>
        <v>45101AGUILAR VASQUEZ GIAN CARLO</v>
      </c>
      <c r="B187" s="83">
        <f>WEEKNUM(BD_ControlRegimen[[#This Row],[FECHA]],2)</f>
        <v>26</v>
      </c>
      <c r="C187" s="7">
        <v>45101</v>
      </c>
      <c r="D187" s="3" t="s">
        <v>74</v>
      </c>
      <c r="E187" s="3"/>
      <c r="F187" s="3"/>
    </row>
    <row r="188" spans="1:6" hidden="1" x14ac:dyDescent="0.3">
      <c r="A188" s="7" t="str">
        <f>BD_ControlRegimen[[#This Row],[FECHA]]&amp;BD_ControlRegimen[[#This Row],[NOMBRE]]</f>
        <v>45102AGUILAR VASQUEZ GIAN CARLO</v>
      </c>
      <c r="B188" s="83">
        <f>WEEKNUM(BD_ControlRegimen[[#This Row],[FECHA]],2)</f>
        <v>26</v>
      </c>
      <c r="C188" s="7">
        <v>45102</v>
      </c>
      <c r="D188" s="3" t="s">
        <v>74</v>
      </c>
      <c r="E188" s="3"/>
      <c r="F188" s="3"/>
    </row>
    <row r="189" spans="1:6" hidden="1" x14ac:dyDescent="0.3">
      <c r="A189" s="7" t="str">
        <f>BD_ControlRegimen[[#This Row],[FECHA]]&amp;BD_ControlRegimen[[#This Row],[NOMBRE]]</f>
        <v>45103AGUILAR VASQUEZ GIAN CARLO</v>
      </c>
      <c r="B189" s="83">
        <f>WEEKNUM(BD_ControlRegimen[[#This Row],[FECHA]],2)</f>
        <v>27</v>
      </c>
      <c r="C189" s="7">
        <v>45103</v>
      </c>
      <c r="D189" s="3" t="s">
        <v>74</v>
      </c>
      <c r="E189" s="3"/>
      <c r="F189" s="3"/>
    </row>
    <row r="190" spans="1:6" hidden="1" x14ac:dyDescent="0.3">
      <c r="A190" s="7" t="str">
        <f>BD_ControlRegimen[[#This Row],[FECHA]]&amp;BD_ControlRegimen[[#This Row],[NOMBRE]]</f>
        <v>45104AGUILAR VASQUEZ GIAN CARLO</v>
      </c>
      <c r="B190" s="83">
        <f>WEEKNUM(BD_ControlRegimen[[#This Row],[FECHA]],2)</f>
        <v>27</v>
      </c>
      <c r="C190" s="7">
        <v>45104</v>
      </c>
      <c r="D190" s="3" t="s">
        <v>74</v>
      </c>
      <c r="E190" s="3"/>
      <c r="F190" s="3"/>
    </row>
    <row r="191" spans="1:6" hidden="1" x14ac:dyDescent="0.3">
      <c r="A191" s="7" t="str">
        <f>BD_ControlRegimen[[#This Row],[FECHA]]&amp;BD_ControlRegimen[[#This Row],[NOMBRE]]</f>
        <v>45105AGUILAR VASQUEZ GIAN CARLO</v>
      </c>
      <c r="B191" s="83">
        <f>WEEKNUM(BD_ControlRegimen[[#This Row],[FECHA]],2)</f>
        <v>27</v>
      </c>
      <c r="C191" s="7">
        <v>45105</v>
      </c>
      <c r="D191" s="3" t="s">
        <v>74</v>
      </c>
      <c r="E191" s="3"/>
      <c r="F191" s="3"/>
    </row>
    <row r="192" spans="1:6" hidden="1" x14ac:dyDescent="0.3">
      <c r="A192" s="7" t="str">
        <f>BD_ControlRegimen[[#This Row],[FECHA]]&amp;BD_ControlRegimen[[#This Row],[NOMBRE]]</f>
        <v>45106AGUILAR VASQUEZ GIAN CARLO</v>
      </c>
      <c r="B192" s="83">
        <f>WEEKNUM(BD_ControlRegimen[[#This Row],[FECHA]],2)</f>
        <v>27</v>
      </c>
      <c r="C192" s="7">
        <v>45106</v>
      </c>
      <c r="D192" s="3" t="s">
        <v>74</v>
      </c>
      <c r="E192" s="3"/>
      <c r="F192" s="3"/>
    </row>
    <row r="193" spans="1:6" hidden="1" x14ac:dyDescent="0.3">
      <c r="A193" s="7" t="str">
        <f>BD_ControlRegimen[[#This Row],[FECHA]]&amp;BD_ControlRegimen[[#This Row],[NOMBRE]]</f>
        <v>45107AGUILAR VASQUEZ GIAN CARLO</v>
      </c>
      <c r="B193" s="83">
        <f>WEEKNUM(BD_ControlRegimen[[#This Row],[FECHA]],2)</f>
        <v>27</v>
      </c>
      <c r="C193" s="7">
        <v>45107</v>
      </c>
      <c r="D193" s="3" t="s">
        <v>74</v>
      </c>
      <c r="E193" s="3"/>
      <c r="F193" s="3"/>
    </row>
    <row r="194" spans="1:6" hidden="1" x14ac:dyDescent="0.3">
      <c r="A194" s="7" t="str">
        <f>BD_ControlRegimen[[#This Row],[FECHA]]&amp;BD_ControlRegimen[[#This Row],[NOMBRE]]</f>
        <v>45108AGUILAR VASQUEZ GIAN CARLO</v>
      </c>
      <c r="B194" s="83">
        <f>WEEKNUM(BD_ControlRegimen[[#This Row],[FECHA]],2)</f>
        <v>27</v>
      </c>
      <c r="C194" s="7">
        <v>45108</v>
      </c>
      <c r="D194" s="3" t="s">
        <v>74</v>
      </c>
      <c r="E194" s="3"/>
      <c r="F194" s="3"/>
    </row>
    <row r="195" spans="1:6" hidden="1" x14ac:dyDescent="0.3">
      <c r="A195" s="7" t="str">
        <f>BD_ControlRegimen[[#This Row],[FECHA]]&amp;BD_ControlRegimen[[#This Row],[NOMBRE]]</f>
        <v>45109AGUILAR VASQUEZ GIAN CARLO</v>
      </c>
      <c r="B195" s="83">
        <f>WEEKNUM(BD_ControlRegimen[[#This Row],[FECHA]],2)</f>
        <v>27</v>
      </c>
      <c r="C195" s="7">
        <v>45109</v>
      </c>
      <c r="D195" s="3" t="s">
        <v>74</v>
      </c>
      <c r="E195" s="3"/>
      <c r="F195" s="3"/>
    </row>
    <row r="196" spans="1:6" hidden="1" x14ac:dyDescent="0.3">
      <c r="A196" s="7" t="str">
        <f>BD_ControlRegimen[[#This Row],[FECHA]]&amp;BD_ControlRegimen[[#This Row],[NOMBRE]]</f>
        <v>45110AGUILAR VASQUEZ GIAN CARLO</v>
      </c>
      <c r="B196" s="83">
        <f>WEEKNUM(BD_ControlRegimen[[#This Row],[FECHA]],2)</f>
        <v>28</v>
      </c>
      <c r="C196" s="7">
        <v>45110</v>
      </c>
      <c r="D196" s="3" t="s">
        <v>74</v>
      </c>
      <c r="E196" s="3"/>
      <c r="F196" s="3"/>
    </row>
    <row r="197" spans="1:6" hidden="1" x14ac:dyDescent="0.3">
      <c r="A197" s="7" t="str">
        <f>BD_ControlRegimen[[#This Row],[FECHA]]&amp;BD_ControlRegimen[[#This Row],[NOMBRE]]</f>
        <v>45111AGUILAR VASQUEZ GIAN CARLO</v>
      </c>
      <c r="B197" s="83">
        <f>WEEKNUM(BD_ControlRegimen[[#This Row],[FECHA]],2)</f>
        <v>28</v>
      </c>
      <c r="C197" s="7">
        <v>45111</v>
      </c>
      <c r="D197" s="3" t="s">
        <v>74</v>
      </c>
      <c r="E197" s="3"/>
      <c r="F197" s="3"/>
    </row>
    <row r="198" spans="1:6" hidden="1" x14ac:dyDescent="0.3">
      <c r="A198" s="7" t="str">
        <f>BD_ControlRegimen[[#This Row],[FECHA]]&amp;BD_ControlRegimen[[#This Row],[NOMBRE]]</f>
        <v>45112AGUILAR VASQUEZ GIAN CARLO</v>
      </c>
      <c r="B198" s="83">
        <f>WEEKNUM(BD_ControlRegimen[[#This Row],[FECHA]],2)</f>
        <v>28</v>
      </c>
      <c r="C198" s="7">
        <v>45112</v>
      </c>
      <c r="D198" s="3" t="s">
        <v>74</v>
      </c>
      <c r="E198" s="3"/>
      <c r="F198" s="3"/>
    </row>
    <row r="199" spans="1:6" hidden="1" x14ac:dyDescent="0.3">
      <c r="A199" s="7" t="str">
        <f>BD_ControlRegimen[[#This Row],[FECHA]]&amp;BD_ControlRegimen[[#This Row],[NOMBRE]]</f>
        <v>45113AGUILAR VASQUEZ GIAN CARLO</v>
      </c>
      <c r="B199" s="83">
        <f>WEEKNUM(BD_ControlRegimen[[#This Row],[FECHA]],2)</f>
        <v>28</v>
      </c>
      <c r="C199" s="7">
        <v>45113</v>
      </c>
      <c r="D199" s="3" t="s">
        <v>74</v>
      </c>
      <c r="E199" s="3"/>
      <c r="F199" s="3"/>
    </row>
    <row r="200" spans="1:6" hidden="1" x14ac:dyDescent="0.3">
      <c r="A200" s="7" t="str">
        <f>BD_ControlRegimen[[#This Row],[FECHA]]&amp;BD_ControlRegimen[[#This Row],[NOMBRE]]</f>
        <v>45114AGUILAR VASQUEZ GIAN CARLO</v>
      </c>
      <c r="B200" s="83">
        <f>WEEKNUM(BD_ControlRegimen[[#This Row],[FECHA]],2)</f>
        <v>28</v>
      </c>
      <c r="C200" s="7">
        <v>45114</v>
      </c>
      <c r="D200" s="3" t="s">
        <v>74</v>
      </c>
      <c r="E200" s="3"/>
      <c r="F200" s="3"/>
    </row>
    <row r="201" spans="1:6" hidden="1" x14ac:dyDescent="0.3">
      <c r="A201" s="7" t="str">
        <f>BD_ControlRegimen[[#This Row],[FECHA]]&amp;BD_ControlRegimen[[#This Row],[NOMBRE]]</f>
        <v>45115AGUILAR VASQUEZ GIAN CARLO</v>
      </c>
      <c r="B201" s="83">
        <f>WEEKNUM(BD_ControlRegimen[[#This Row],[FECHA]],2)</f>
        <v>28</v>
      </c>
      <c r="C201" s="7">
        <v>45115</v>
      </c>
      <c r="D201" s="3" t="s">
        <v>74</v>
      </c>
      <c r="E201" s="3"/>
      <c r="F201" s="3"/>
    </row>
    <row r="202" spans="1:6" hidden="1" x14ac:dyDescent="0.3">
      <c r="A202" s="7" t="str">
        <f>BD_ControlRegimen[[#This Row],[FECHA]]&amp;BD_ControlRegimen[[#This Row],[NOMBRE]]</f>
        <v>45116AGUILAR VASQUEZ GIAN CARLO</v>
      </c>
      <c r="B202" s="83">
        <f>WEEKNUM(BD_ControlRegimen[[#This Row],[FECHA]],2)</f>
        <v>28</v>
      </c>
      <c r="C202" s="7">
        <v>45116</v>
      </c>
      <c r="D202" s="3" t="s">
        <v>74</v>
      </c>
      <c r="E202" s="3"/>
      <c r="F202" s="3"/>
    </row>
    <row r="203" spans="1:6" hidden="1" x14ac:dyDescent="0.3">
      <c r="A203" s="7" t="str">
        <f>BD_ControlRegimen[[#This Row],[FECHA]]&amp;BD_ControlRegimen[[#This Row],[NOMBRE]]</f>
        <v>45117AGUILAR VASQUEZ GIAN CARLO</v>
      </c>
      <c r="B203" s="83">
        <f>WEEKNUM(BD_ControlRegimen[[#This Row],[FECHA]],2)</f>
        <v>29</v>
      </c>
      <c r="C203" s="7">
        <v>45117</v>
      </c>
      <c r="D203" s="3" t="s">
        <v>74</v>
      </c>
      <c r="E203" s="3"/>
      <c r="F203" s="3"/>
    </row>
    <row r="204" spans="1:6" hidden="1" x14ac:dyDescent="0.3">
      <c r="A204" s="7" t="str">
        <f>BD_ControlRegimen[[#This Row],[FECHA]]&amp;BD_ControlRegimen[[#This Row],[NOMBRE]]</f>
        <v>45118AGUILAR VASQUEZ GIAN CARLO</v>
      </c>
      <c r="B204" s="83">
        <f>WEEKNUM(BD_ControlRegimen[[#This Row],[FECHA]],2)</f>
        <v>29</v>
      </c>
      <c r="C204" s="7">
        <v>45118</v>
      </c>
      <c r="D204" s="3" t="s">
        <v>74</v>
      </c>
      <c r="E204" s="3"/>
      <c r="F204" s="3"/>
    </row>
    <row r="205" spans="1:6" hidden="1" x14ac:dyDescent="0.3">
      <c r="A205" s="7" t="str">
        <f>BD_ControlRegimen[[#This Row],[FECHA]]&amp;BD_ControlRegimen[[#This Row],[NOMBRE]]</f>
        <v>45119AGUILAR VASQUEZ GIAN CARLO</v>
      </c>
      <c r="B205" s="83">
        <f>WEEKNUM(BD_ControlRegimen[[#This Row],[FECHA]],2)</f>
        <v>29</v>
      </c>
      <c r="C205" s="7">
        <v>45119</v>
      </c>
      <c r="D205" s="3" t="s">
        <v>74</v>
      </c>
      <c r="E205" s="3"/>
      <c r="F205" s="3"/>
    </row>
    <row r="206" spans="1:6" hidden="1" x14ac:dyDescent="0.3">
      <c r="A206" s="7" t="str">
        <f>BD_ControlRegimen[[#This Row],[FECHA]]&amp;BD_ControlRegimen[[#This Row],[NOMBRE]]</f>
        <v>45120AGUILAR VASQUEZ GIAN CARLO</v>
      </c>
      <c r="B206" s="83">
        <f>WEEKNUM(BD_ControlRegimen[[#This Row],[FECHA]],2)</f>
        <v>29</v>
      </c>
      <c r="C206" s="7">
        <v>45120</v>
      </c>
      <c r="D206" s="3" t="s">
        <v>74</v>
      </c>
      <c r="E206" s="3"/>
      <c r="F206" s="3"/>
    </row>
    <row r="207" spans="1:6" hidden="1" x14ac:dyDescent="0.3">
      <c r="A207" s="7" t="str">
        <f>BD_ControlRegimen[[#This Row],[FECHA]]&amp;BD_ControlRegimen[[#This Row],[NOMBRE]]</f>
        <v>45121AGUILAR VASQUEZ GIAN CARLO</v>
      </c>
      <c r="B207" s="83">
        <f>WEEKNUM(BD_ControlRegimen[[#This Row],[FECHA]],2)</f>
        <v>29</v>
      </c>
      <c r="C207" s="7">
        <v>45121</v>
      </c>
      <c r="D207" s="3" t="s">
        <v>74</v>
      </c>
      <c r="E207" s="3"/>
      <c r="F207" s="3"/>
    </row>
    <row r="208" spans="1:6" hidden="1" x14ac:dyDescent="0.3">
      <c r="A208" s="7" t="str">
        <f>BD_ControlRegimen[[#This Row],[FECHA]]&amp;BD_ControlRegimen[[#This Row],[NOMBRE]]</f>
        <v>45122AGUILAR VASQUEZ GIAN CARLO</v>
      </c>
      <c r="B208" s="83">
        <f>WEEKNUM(BD_ControlRegimen[[#This Row],[FECHA]],2)</f>
        <v>29</v>
      </c>
      <c r="C208" s="7">
        <v>45122</v>
      </c>
      <c r="D208" s="3" t="s">
        <v>74</v>
      </c>
      <c r="E208" s="3"/>
      <c r="F208" s="3"/>
    </row>
    <row r="209" spans="1:6" hidden="1" x14ac:dyDescent="0.3">
      <c r="A209" s="7" t="str">
        <f>BD_ControlRegimen[[#This Row],[FECHA]]&amp;BD_ControlRegimen[[#This Row],[NOMBRE]]</f>
        <v>45123AGUILAR VASQUEZ GIAN CARLO</v>
      </c>
      <c r="B209" s="83">
        <f>WEEKNUM(BD_ControlRegimen[[#This Row],[FECHA]],2)</f>
        <v>29</v>
      </c>
      <c r="C209" s="7">
        <v>45123</v>
      </c>
      <c r="D209" s="3" t="s">
        <v>74</v>
      </c>
      <c r="E209" s="3"/>
      <c r="F209" s="3"/>
    </row>
    <row r="210" spans="1:6" hidden="1" x14ac:dyDescent="0.3">
      <c r="A210" s="7" t="str">
        <f>BD_ControlRegimen[[#This Row],[FECHA]]&amp;BD_ControlRegimen[[#This Row],[NOMBRE]]</f>
        <v>45124AGUILAR VASQUEZ GIAN CARLO</v>
      </c>
      <c r="B210" s="83">
        <f>WEEKNUM(BD_ControlRegimen[[#This Row],[FECHA]],2)</f>
        <v>30</v>
      </c>
      <c r="C210" s="7">
        <v>45124</v>
      </c>
      <c r="D210" s="3" t="s">
        <v>74</v>
      </c>
      <c r="E210" s="3"/>
      <c r="F210" s="3"/>
    </row>
    <row r="211" spans="1:6" hidden="1" x14ac:dyDescent="0.3">
      <c r="A211" s="7" t="str">
        <f>BD_ControlRegimen[[#This Row],[FECHA]]&amp;BD_ControlRegimen[[#This Row],[NOMBRE]]</f>
        <v>45125AGUILAR VASQUEZ GIAN CARLO</v>
      </c>
      <c r="B211" s="83">
        <f>WEEKNUM(BD_ControlRegimen[[#This Row],[FECHA]],2)</f>
        <v>30</v>
      </c>
      <c r="C211" s="7">
        <v>45125</v>
      </c>
      <c r="D211" s="3" t="s">
        <v>74</v>
      </c>
      <c r="E211" s="3"/>
      <c r="F211" s="3"/>
    </row>
    <row r="212" spans="1:6" hidden="1" x14ac:dyDescent="0.3">
      <c r="A212" s="7" t="str">
        <f>BD_ControlRegimen[[#This Row],[FECHA]]&amp;BD_ControlRegimen[[#This Row],[NOMBRE]]</f>
        <v>45126AGUILAR VASQUEZ GIAN CARLO</v>
      </c>
      <c r="B212" s="83">
        <f>WEEKNUM(BD_ControlRegimen[[#This Row],[FECHA]],2)</f>
        <v>30</v>
      </c>
      <c r="C212" s="7">
        <v>45126</v>
      </c>
      <c r="D212" s="3" t="s">
        <v>74</v>
      </c>
      <c r="E212" s="3"/>
      <c r="F212" s="3"/>
    </row>
    <row r="213" spans="1:6" hidden="1" x14ac:dyDescent="0.3">
      <c r="A213" s="7" t="str">
        <f>BD_ControlRegimen[[#This Row],[FECHA]]&amp;BD_ControlRegimen[[#This Row],[NOMBRE]]</f>
        <v>45127AGUILAR VASQUEZ GIAN CARLO</v>
      </c>
      <c r="B213" s="83">
        <f>WEEKNUM(BD_ControlRegimen[[#This Row],[FECHA]],2)</f>
        <v>30</v>
      </c>
      <c r="C213" s="7">
        <v>45127</v>
      </c>
      <c r="D213" s="3" t="s">
        <v>74</v>
      </c>
      <c r="E213" s="3"/>
      <c r="F213" s="3"/>
    </row>
    <row r="214" spans="1:6" hidden="1" x14ac:dyDescent="0.3">
      <c r="A214" s="7" t="str">
        <f>BD_ControlRegimen[[#This Row],[FECHA]]&amp;BD_ControlRegimen[[#This Row],[NOMBRE]]</f>
        <v>45128AGUILAR VASQUEZ GIAN CARLO</v>
      </c>
      <c r="B214" s="83">
        <f>WEEKNUM(BD_ControlRegimen[[#This Row],[FECHA]],2)</f>
        <v>30</v>
      </c>
      <c r="C214" s="7">
        <v>45128</v>
      </c>
      <c r="D214" s="3" t="s">
        <v>74</v>
      </c>
      <c r="E214" s="3"/>
      <c r="F214" s="3"/>
    </row>
    <row r="215" spans="1:6" hidden="1" x14ac:dyDescent="0.3">
      <c r="A215" s="7" t="str">
        <f>BD_ControlRegimen[[#This Row],[FECHA]]&amp;BD_ControlRegimen[[#This Row],[NOMBRE]]</f>
        <v>45129AGUILAR VASQUEZ GIAN CARLO</v>
      </c>
      <c r="B215" s="83">
        <f>WEEKNUM(BD_ControlRegimen[[#This Row],[FECHA]],2)</f>
        <v>30</v>
      </c>
      <c r="C215" s="7">
        <v>45129</v>
      </c>
      <c r="D215" s="3" t="s">
        <v>74</v>
      </c>
      <c r="E215" s="3"/>
      <c r="F215" s="3"/>
    </row>
    <row r="216" spans="1:6" hidden="1" x14ac:dyDescent="0.3">
      <c r="A216" s="7" t="str">
        <f>BD_ControlRegimen[[#This Row],[FECHA]]&amp;BD_ControlRegimen[[#This Row],[NOMBRE]]</f>
        <v>45130AGUILAR VASQUEZ GIAN CARLO</v>
      </c>
      <c r="B216" s="83">
        <f>WEEKNUM(BD_ControlRegimen[[#This Row],[FECHA]],2)</f>
        <v>30</v>
      </c>
      <c r="C216" s="7">
        <v>45130</v>
      </c>
      <c r="D216" s="3" t="s">
        <v>74</v>
      </c>
      <c r="E216" s="3"/>
      <c r="F216" s="3"/>
    </row>
    <row r="217" spans="1:6" hidden="1" x14ac:dyDescent="0.3">
      <c r="A217" s="7" t="str">
        <f>BD_ControlRegimen[[#This Row],[FECHA]]&amp;BD_ControlRegimen[[#This Row],[NOMBRE]]</f>
        <v>45131AGUILAR VASQUEZ GIAN CARLO</v>
      </c>
      <c r="B217" s="83">
        <f>WEEKNUM(BD_ControlRegimen[[#This Row],[FECHA]],2)</f>
        <v>31</v>
      </c>
      <c r="C217" s="7">
        <v>45131</v>
      </c>
      <c r="D217" s="3" t="s">
        <v>74</v>
      </c>
      <c r="E217" s="3"/>
      <c r="F217" s="3"/>
    </row>
    <row r="218" spans="1:6" hidden="1" x14ac:dyDescent="0.3">
      <c r="A218" s="7" t="str">
        <f>BD_ControlRegimen[[#This Row],[FECHA]]&amp;BD_ControlRegimen[[#This Row],[NOMBRE]]</f>
        <v>45132AGUILAR VASQUEZ GIAN CARLO</v>
      </c>
      <c r="B218" s="83">
        <f>WEEKNUM(BD_ControlRegimen[[#This Row],[FECHA]],2)</f>
        <v>31</v>
      </c>
      <c r="C218" s="7">
        <v>45132</v>
      </c>
      <c r="D218" s="3" t="s">
        <v>74</v>
      </c>
      <c r="E218" s="3"/>
      <c r="F218" s="3"/>
    </row>
    <row r="219" spans="1:6" hidden="1" x14ac:dyDescent="0.3">
      <c r="A219" s="7" t="str">
        <f>BD_ControlRegimen[[#This Row],[FECHA]]&amp;BD_ControlRegimen[[#This Row],[NOMBRE]]</f>
        <v>45133AGUILAR VASQUEZ GIAN CARLO</v>
      </c>
      <c r="B219" s="83">
        <f>WEEKNUM(BD_ControlRegimen[[#This Row],[FECHA]],2)</f>
        <v>31</v>
      </c>
      <c r="C219" s="7">
        <v>45133</v>
      </c>
      <c r="D219" s="3" t="s">
        <v>74</v>
      </c>
      <c r="E219" s="3"/>
      <c r="F219" s="3"/>
    </row>
    <row r="220" spans="1:6" hidden="1" x14ac:dyDescent="0.3">
      <c r="A220" s="7" t="str">
        <f>BD_ControlRegimen[[#This Row],[FECHA]]&amp;BD_ControlRegimen[[#This Row],[NOMBRE]]</f>
        <v>45134AGUILAR VASQUEZ GIAN CARLO</v>
      </c>
      <c r="B220" s="83">
        <f>WEEKNUM(BD_ControlRegimen[[#This Row],[FECHA]],2)</f>
        <v>31</v>
      </c>
      <c r="C220" s="7">
        <v>45134</v>
      </c>
      <c r="D220" s="3" t="s">
        <v>74</v>
      </c>
      <c r="E220" s="3"/>
      <c r="F220" s="3"/>
    </row>
    <row r="221" spans="1:6" hidden="1" x14ac:dyDescent="0.3">
      <c r="A221" s="7" t="str">
        <f>BD_ControlRegimen[[#This Row],[FECHA]]&amp;BD_ControlRegimen[[#This Row],[NOMBRE]]</f>
        <v>45135AGUILAR VASQUEZ GIAN CARLO</v>
      </c>
      <c r="B221" s="83">
        <f>WEEKNUM(BD_ControlRegimen[[#This Row],[FECHA]],2)</f>
        <v>31</v>
      </c>
      <c r="C221" s="7">
        <v>45135</v>
      </c>
      <c r="D221" s="3" t="s">
        <v>74</v>
      </c>
      <c r="E221" s="3"/>
      <c r="F221" s="3"/>
    </row>
    <row r="222" spans="1:6" hidden="1" x14ac:dyDescent="0.3">
      <c r="A222" s="7" t="str">
        <f>BD_ControlRegimen[[#This Row],[FECHA]]&amp;BD_ControlRegimen[[#This Row],[NOMBRE]]</f>
        <v>45136AGUILAR VASQUEZ GIAN CARLO</v>
      </c>
      <c r="B222" s="83">
        <f>WEEKNUM(BD_ControlRegimen[[#This Row],[FECHA]],2)</f>
        <v>31</v>
      </c>
      <c r="C222" s="7">
        <v>45136</v>
      </c>
      <c r="D222" s="3" t="s">
        <v>74</v>
      </c>
      <c r="E222" s="3"/>
      <c r="F222" s="3"/>
    </row>
    <row r="223" spans="1:6" hidden="1" x14ac:dyDescent="0.3">
      <c r="A223" s="7" t="str">
        <f>BD_ControlRegimen[[#This Row],[FECHA]]&amp;BD_ControlRegimen[[#This Row],[NOMBRE]]</f>
        <v>45137AGUILAR VASQUEZ GIAN CARLO</v>
      </c>
      <c r="B223" s="83">
        <f>WEEKNUM(BD_ControlRegimen[[#This Row],[FECHA]],2)</f>
        <v>31</v>
      </c>
      <c r="C223" s="7">
        <v>45137</v>
      </c>
      <c r="D223" s="3" t="s">
        <v>74</v>
      </c>
      <c r="E223" s="3"/>
      <c r="F223" s="3"/>
    </row>
    <row r="224" spans="1:6" hidden="1" x14ac:dyDescent="0.3">
      <c r="A224" s="7" t="str">
        <f>BD_ControlRegimen[[#This Row],[FECHA]]&amp;BD_ControlRegimen[[#This Row],[NOMBRE]]</f>
        <v>45138AGUILAR VASQUEZ GIAN CARLO</v>
      </c>
      <c r="B224" s="83">
        <f>WEEKNUM(BD_ControlRegimen[[#This Row],[FECHA]],2)</f>
        <v>32</v>
      </c>
      <c r="C224" s="7">
        <v>45138</v>
      </c>
      <c r="D224" s="3" t="s">
        <v>74</v>
      </c>
      <c r="E224" s="3"/>
      <c r="F224" s="3"/>
    </row>
    <row r="225" spans="1:6" hidden="1" x14ac:dyDescent="0.3">
      <c r="A225" s="7" t="str">
        <f>BD_ControlRegimen[[#This Row],[FECHA]]&amp;BD_ControlRegimen[[#This Row],[NOMBRE]]</f>
        <v>45139AGUILAR VASQUEZ GIAN CARLO</v>
      </c>
      <c r="B225" s="83">
        <f>WEEKNUM(BD_ControlRegimen[[#This Row],[FECHA]],2)</f>
        <v>32</v>
      </c>
      <c r="C225" s="7">
        <v>45139</v>
      </c>
      <c r="D225" s="3" t="s">
        <v>74</v>
      </c>
      <c r="E225" s="3"/>
      <c r="F225" s="3"/>
    </row>
    <row r="226" spans="1:6" hidden="1" x14ac:dyDescent="0.3">
      <c r="A226" s="7" t="str">
        <f>BD_ControlRegimen[[#This Row],[FECHA]]&amp;BD_ControlRegimen[[#This Row],[NOMBRE]]</f>
        <v>45140AGUILAR VASQUEZ GIAN CARLO</v>
      </c>
      <c r="B226" s="83">
        <f>WEEKNUM(BD_ControlRegimen[[#This Row],[FECHA]],2)</f>
        <v>32</v>
      </c>
      <c r="C226" s="7">
        <v>45140</v>
      </c>
      <c r="D226" s="3" t="s">
        <v>74</v>
      </c>
      <c r="E226" s="3"/>
      <c r="F226" s="3"/>
    </row>
    <row r="227" spans="1:6" hidden="1" x14ac:dyDescent="0.3">
      <c r="A227" s="7" t="str">
        <f>BD_ControlRegimen[[#This Row],[FECHA]]&amp;BD_ControlRegimen[[#This Row],[NOMBRE]]</f>
        <v>45141AGUILAR VASQUEZ GIAN CARLO</v>
      </c>
      <c r="B227" s="83">
        <f>WEEKNUM(BD_ControlRegimen[[#This Row],[FECHA]],2)</f>
        <v>32</v>
      </c>
      <c r="C227" s="7">
        <v>45141</v>
      </c>
      <c r="D227" s="3" t="s">
        <v>74</v>
      </c>
      <c r="E227" s="3"/>
      <c r="F227" s="3"/>
    </row>
    <row r="228" spans="1:6" hidden="1" x14ac:dyDescent="0.3">
      <c r="A228" s="7" t="str">
        <f>BD_ControlRegimen[[#This Row],[FECHA]]&amp;BD_ControlRegimen[[#This Row],[NOMBRE]]</f>
        <v>45142AGUILAR VASQUEZ GIAN CARLO</v>
      </c>
      <c r="B228" s="83">
        <f>WEEKNUM(BD_ControlRegimen[[#This Row],[FECHA]],2)</f>
        <v>32</v>
      </c>
      <c r="C228" s="7">
        <v>45142</v>
      </c>
      <c r="D228" s="3" t="s">
        <v>74</v>
      </c>
      <c r="E228" s="3"/>
      <c r="F228" s="3"/>
    </row>
    <row r="229" spans="1:6" hidden="1" x14ac:dyDescent="0.3">
      <c r="A229" s="7" t="str">
        <f>BD_ControlRegimen[[#This Row],[FECHA]]&amp;BD_ControlRegimen[[#This Row],[NOMBRE]]</f>
        <v>45143AGUILAR VASQUEZ GIAN CARLO</v>
      </c>
      <c r="B229" s="83">
        <f>WEEKNUM(BD_ControlRegimen[[#This Row],[FECHA]],2)</f>
        <v>32</v>
      </c>
      <c r="C229" s="7">
        <v>45143</v>
      </c>
      <c r="D229" s="3" t="s">
        <v>74</v>
      </c>
      <c r="E229" s="3"/>
      <c r="F229" s="3"/>
    </row>
    <row r="230" spans="1:6" hidden="1" x14ac:dyDescent="0.3">
      <c r="A230" s="7" t="str">
        <f>BD_ControlRegimen[[#This Row],[FECHA]]&amp;BD_ControlRegimen[[#This Row],[NOMBRE]]</f>
        <v>45144AGUILAR VASQUEZ GIAN CARLO</v>
      </c>
      <c r="B230" s="83">
        <f>WEEKNUM(BD_ControlRegimen[[#This Row],[FECHA]],2)</f>
        <v>32</v>
      </c>
      <c r="C230" s="7">
        <v>45144</v>
      </c>
      <c r="D230" s="3" t="s">
        <v>74</v>
      </c>
      <c r="E230" s="3"/>
      <c r="F230" s="3"/>
    </row>
    <row r="231" spans="1:6" hidden="1" x14ac:dyDescent="0.3">
      <c r="A231" s="7" t="str">
        <f>BD_ControlRegimen[[#This Row],[FECHA]]&amp;BD_ControlRegimen[[#This Row],[NOMBRE]]</f>
        <v>45145AGUILAR VASQUEZ GIAN CARLO</v>
      </c>
      <c r="B231" s="83">
        <f>WEEKNUM(BD_ControlRegimen[[#This Row],[FECHA]],2)</f>
        <v>33</v>
      </c>
      <c r="C231" s="7">
        <v>45145</v>
      </c>
      <c r="D231" s="3" t="s">
        <v>74</v>
      </c>
      <c r="E231" s="3"/>
      <c r="F231" s="3"/>
    </row>
    <row r="232" spans="1:6" hidden="1" x14ac:dyDescent="0.3">
      <c r="A232" s="7" t="str">
        <f>BD_ControlRegimen[[#This Row],[FECHA]]&amp;BD_ControlRegimen[[#This Row],[NOMBRE]]</f>
        <v>45146AGUILAR VASQUEZ GIAN CARLO</v>
      </c>
      <c r="B232" s="83">
        <f>WEEKNUM(BD_ControlRegimen[[#This Row],[FECHA]],2)</f>
        <v>33</v>
      </c>
      <c r="C232" s="7">
        <v>45146</v>
      </c>
      <c r="D232" s="3" t="s">
        <v>74</v>
      </c>
      <c r="E232" s="3"/>
      <c r="F232" s="3"/>
    </row>
    <row r="233" spans="1:6" hidden="1" x14ac:dyDescent="0.3">
      <c r="A233" s="7" t="str">
        <f>BD_ControlRegimen[[#This Row],[FECHA]]&amp;BD_ControlRegimen[[#This Row],[NOMBRE]]</f>
        <v>45147AGUILAR VASQUEZ GIAN CARLO</v>
      </c>
      <c r="B233" s="83">
        <f>WEEKNUM(BD_ControlRegimen[[#This Row],[FECHA]],2)</f>
        <v>33</v>
      </c>
      <c r="C233" s="7">
        <v>45147</v>
      </c>
      <c r="D233" s="3" t="s">
        <v>74</v>
      </c>
      <c r="E233" s="3"/>
      <c r="F233" s="3"/>
    </row>
    <row r="234" spans="1:6" hidden="1" x14ac:dyDescent="0.3">
      <c r="A234" s="7" t="str">
        <f>BD_ControlRegimen[[#This Row],[FECHA]]&amp;BD_ControlRegimen[[#This Row],[NOMBRE]]</f>
        <v>45148AGUILAR VASQUEZ GIAN CARLO</v>
      </c>
      <c r="B234" s="83">
        <f>WEEKNUM(BD_ControlRegimen[[#This Row],[FECHA]],2)</f>
        <v>33</v>
      </c>
      <c r="C234" s="7">
        <v>45148</v>
      </c>
      <c r="D234" s="3" t="s">
        <v>74</v>
      </c>
      <c r="E234" s="3"/>
      <c r="F234" s="3"/>
    </row>
    <row r="235" spans="1:6" hidden="1" x14ac:dyDescent="0.3">
      <c r="A235" s="7" t="str">
        <f>BD_ControlRegimen[[#This Row],[FECHA]]&amp;BD_ControlRegimen[[#This Row],[NOMBRE]]</f>
        <v>45149AGUILAR VASQUEZ GIAN CARLO</v>
      </c>
      <c r="B235" s="83">
        <f>WEEKNUM(BD_ControlRegimen[[#This Row],[FECHA]],2)</f>
        <v>33</v>
      </c>
      <c r="C235" s="7">
        <v>45149</v>
      </c>
      <c r="D235" s="3" t="s">
        <v>74</v>
      </c>
      <c r="E235" s="3"/>
      <c r="F235" s="3"/>
    </row>
    <row r="236" spans="1:6" hidden="1" x14ac:dyDescent="0.3">
      <c r="A236" s="7" t="str">
        <f>BD_ControlRegimen[[#This Row],[FECHA]]&amp;BD_ControlRegimen[[#This Row],[NOMBRE]]</f>
        <v>45150AGUILAR VASQUEZ GIAN CARLO</v>
      </c>
      <c r="B236" s="83">
        <f>WEEKNUM(BD_ControlRegimen[[#This Row],[FECHA]],2)</f>
        <v>33</v>
      </c>
      <c r="C236" s="7">
        <v>45150</v>
      </c>
      <c r="D236" s="3" t="s">
        <v>74</v>
      </c>
      <c r="E236" s="3"/>
      <c r="F236" s="3"/>
    </row>
    <row r="237" spans="1:6" hidden="1" x14ac:dyDescent="0.3">
      <c r="A237" s="7" t="str">
        <f>BD_ControlRegimen[[#This Row],[FECHA]]&amp;BD_ControlRegimen[[#This Row],[NOMBRE]]</f>
        <v>45151AGUILAR VASQUEZ GIAN CARLO</v>
      </c>
      <c r="B237" s="83">
        <f>WEEKNUM(BD_ControlRegimen[[#This Row],[FECHA]],2)</f>
        <v>33</v>
      </c>
      <c r="C237" s="7">
        <v>45151</v>
      </c>
      <c r="D237" s="3" t="s">
        <v>74</v>
      </c>
      <c r="E237" s="3"/>
      <c r="F237" s="3"/>
    </row>
    <row r="238" spans="1:6" hidden="1" x14ac:dyDescent="0.3">
      <c r="A238" s="7" t="str">
        <f>BD_ControlRegimen[[#This Row],[FECHA]]&amp;BD_ControlRegimen[[#This Row],[NOMBRE]]</f>
        <v>45152AGUILAR VASQUEZ GIAN CARLO</v>
      </c>
      <c r="B238" s="83">
        <f>WEEKNUM(BD_ControlRegimen[[#This Row],[FECHA]],2)</f>
        <v>34</v>
      </c>
      <c r="C238" s="7">
        <v>45152</v>
      </c>
      <c r="D238" s="3" t="s">
        <v>74</v>
      </c>
      <c r="E238" s="3"/>
      <c r="F238" s="3"/>
    </row>
    <row r="239" spans="1:6" hidden="1" x14ac:dyDescent="0.3">
      <c r="A239" s="7" t="str">
        <f>BD_ControlRegimen[[#This Row],[FECHA]]&amp;BD_ControlRegimen[[#This Row],[NOMBRE]]</f>
        <v>45153AGUILAR VASQUEZ GIAN CARLO</v>
      </c>
      <c r="B239" s="83">
        <f>WEEKNUM(BD_ControlRegimen[[#This Row],[FECHA]],2)</f>
        <v>34</v>
      </c>
      <c r="C239" s="7">
        <v>45153</v>
      </c>
      <c r="D239" s="3" t="s">
        <v>74</v>
      </c>
      <c r="E239" s="3"/>
      <c r="F239" s="3"/>
    </row>
    <row r="240" spans="1:6" hidden="1" x14ac:dyDescent="0.3">
      <c r="A240" s="7" t="str">
        <f>BD_ControlRegimen[[#This Row],[FECHA]]&amp;BD_ControlRegimen[[#This Row],[NOMBRE]]</f>
        <v>45154AGUILAR VASQUEZ GIAN CARLO</v>
      </c>
      <c r="B240" s="83">
        <f>WEEKNUM(BD_ControlRegimen[[#This Row],[FECHA]],2)</f>
        <v>34</v>
      </c>
      <c r="C240" s="7">
        <v>45154</v>
      </c>
      <c r="D240" s="3" t="s">
        <v>74</v>
      </c>
      <c r="E240" s="3"/>
      <c r="F240" s="3"/>
    </row>
    <row r="241" spans="1:6" hidden="1" x14ac:dyDescent="0.3">
      <c r="A241" s="7" t="str">
        <f>BD_ControlRegimen[[#This Row],[FECHA]]&amp;BD_ControlRegimen[[#This Row],[NOMBRE]]</f>
        <v>45155AGUILAR VASQUEZ GIAN CARLO</v>
      </c>
      <c r="B241" s="83">
        <f>WEEKNUM(BD_ControlRegimen[[#This Row],[FECHA]],2)</f>
        <v>34</v>
      </c>
      <c r="C241" s="7">
        <v>45155</v>
      </c>
      <c r="D241" s="3" t="s">
        <v>74</v>
      </c>
      <c r="E241" s="3"/>
      <c r="F241" s="3"/>
    </row>
    <row r="242" spans="1:6" hidden="1" x14ac:dyDescent="0.3">
      <c r="A242" s="7" t="str">
        <f>BD_ControlRegimen[[#This Row],[FECHA]]&amp;BD_ControlRegimen[[#This Row],[NOMBRE]]</f>
        <v>45156AGUILAR VASQUEZ GIAN CARLO</v>
      </c>
      <c r="B242" s="83">
        <f>WEEKNUM(BD_ControlRegimen[[#This Row],[FECHA]],2)</f>
        <v>34</v>
      </c>
      <c r="C242" s="7">
        <v>45156</v>
      </c>
      <c r="D242" s="3" t="s">
        <v>74</v>
      </c>
      <c r="E242" s="3"/>
      <c r="F242" s="3"/>
    </row>
    <row r="243" spans="1:6" hidden="1" x14ac:dyDescent="0.3">
      <c r="A243" s="7" t="str">
        <f>BD_ControlRegimen[[#This Row],[FECHA]]&amp;BD_ControlRegimen[[#This Row],[NOMBRE]]</f>
        <v>45157AGUILAR VASQUEZ GIAN CARLO</v>
      </c>
      <c r="B243" s="83">
        <f>WEEKNUM(BD_ControlRegimen[[#This Row],[FECHA]],2)</f>
        <v>34</v>
      </c>
      <c r="C243" s="7">
        <v>45157</v>
      </c>
      <c r="D243" s="3" t="s">
        <v>74</v>
      </c>
      <c r="E243" s="3"/>
      <c r="F243" s="3"/>
    </row>
    <row r="244" spans="1:6" hidden="1" x14ac:dyDescent="0.3">
      <c r="A244" s="7" t="str">
        <f>BD_ControlRegimen[[#This Row],[FECHA]]&amp;BD_ControlRegimen[[#This Row],[NOMBRE]]</f>
        <v>45158AGUILAR VASQUEZ GIAN CARLO</v>
      </c>
      <c r="B244" s="83">
        <f>WEEKNUM(BD_ControlRegimen[[#This Row],[FECHA]],2)</f>
        <v>34</v>
      </c>
      <c r="C244" s="7">
        <v>45158</v>
      </c>
      <c r="D244" s="3" t="s">
        <v>74</v>
      </c>
      <c r="E244" s="3"/>
      <c r="F244" s="3"/>
    </row>
    <row r="245" spans="1:6" hidden="1" x14ac:dyDescent="0.3">
      <c r="A245" s="7" t="str">
        <f>BD_ControlRegimen[[#This Row],[FECHA]]&amp;BD_ControlRegimen[[#This Row],[NOMBRE]]</f>
        <v>45159AGUILAR VASQUEZ GIAN CARLO</v>
      </c>
      <c r="B245" s="83">
        <f>WEEKNUM(BD_ControlRegimen[[#This Row],[FECHA]],2)</f>
        <v>35</v>
      </c>
      <c r="C245" s="7">
        <v>45159</v>
      </c>
      <c r="D245" s="3" t="s">
        <v>74</v>
      </c>
      <c r="E245" s="3"/>
      <c r="F245" s="3"/>
    </row>
    <row r="246" spans="1:6" hidden="1" x14ac:dyDescent="0.3">
      <c r="A246" s="7" t="str">
        <f>BD_ControlRegimen[[#This Row],[FECHA]]&amp;BD_ControlRegimen[[#This Row],[NOMBRE]]</f>
        <v>45160AGUILAR VASQUEZ GIAN CARLO</v>
      </c>
      <c r="B246" s="83">
        <f>WEEKNUM(BD_ControlRegimen[[#This Row],[FECHA]],2)</f>
        <v>35</v>
      </c>
      <c r="C246" s="7">
        <v>45160</v>
      </c>
      <c r="D246" s="3" t="s">
        <v>74</v>
      </c>
      <c r="E246" s="3"/>
      <c r="F246" s="3"/>
    </row>
    <row r="247" spans="1:6" hidden="1" x14ac:dyDescent="0.3">
      <c r="A247" s="7" t="str">
        <f>BD_ControlRegimen[[#This Row],[FECHA]]&amp;BD_ControlRegimen[[#This Row],[NOMBRE]]</f>
        <v>45161AGUILAR VASQUEZ GIAN CARLO</v>
      </c>
      <c r="B247" s="83">
        <f>WEEKNUM(BD_ControlRegimen[[#This Row],[FECHA]],2)</f>
        <v>35</v>
      </c>
      <c r="C247" s="7">
        <v>45161</v>
      </c>
      <c r="D247" s="3" t="s">
        <v>74</v>
      </c>
      <c r="E247" s="3"/>
      <c r="F247" s="3"/>
    </row>
    <row r="248" spans="1:6" hidden="1" x14ac:dyDescent="0.3">
      <c r="A248" s="7" t="str">
        <f>BD_ControlRegimen[[#This Row],[FECHA]]&amp;BD_ControlRegimen[[#This Row],[NOMBRE]]</f>
        <v>45162AGUILAR VASQUEZ GIAN CARLO</v>
      </c>
      <c r="B248" s="83">
        <f>WEEKNUM(BD_ControlRegimen[[#This Row],[FECHA]],2)</f>
        <v>35</v>
      </c>
      <c r="C248" s="7">
        <v>45162</v>
      </c>
      <c r="D248" s="3" t="s">
        <v>74</v>
      </c>
      <c r="E248" s="3"/>
      <c r="F248" s="3"/>
    </row>
    <row r="249" spans="1:6" hidden="1" x14ac:dyDescent="0.3">
      <c r="A249" s="7" t="str">
        <f>BD_ControlRegimen[[#This Row],[FECHA]]&amp;BD_ControlRegimen[[#This Row],[NOMBRE]]</f>
        <v>45163AGUILAR VASQUEZ GIAN CARLO</v>
      </c>
      <c r="B249" s="83">
        <f>WEEKNUM(BD_ControlRegimen[[#This Row],[FECHA]],2)</f>
        <v>35</v>
      </c>
      <c r="C249" s="7">
        <v>45163</v>
      </c>
      <c r="D249" s="3" t="s">
        <v>74</v>
      </c>
      <c r="E249" s="3"/>
      <c r="F249" s="3"/>
    </row>
    <row r="250" spans="1:6" hidden="1" x14ac:dyDescent="0.3">
      <c r="A250" s="7" t="str">
        <f>BD_ControlRegimen[[#This Row],[FECHA]]&amp;BD_ControlRegimen[[#This Row],[NOMBRE]]</f>
        <v>45164AGUILAR VASQUEZ GIAN CARLO</v>
      </c>
      <c r="B250" s="83">
        <f>WEEKNUM(BD_ControlRegimen[[#This Row],[FECHA]],2)</f>
        <v>35</v>
      </c>
      <c r="C250" s="7">
        <v>45164</v>
      </c>
      <c r="D250" s="3" t="s">
        <v>74</v>
      </c>
      <c r="E250" s="3"/>
      <c r="F250" s="3"/>
    </row>
    <row r="251" spans="1:6" hidden="1" x14ac:dyDescent="0.3">
      <c r="A251" s="7" t="str">
        <f>BD_ControlRegimen[[#This Row],[FECHA]]&amp;BD_ControlRegimen[[#This Row],[NOMBRE]]</f>
        <v>45165AGUILAR VASQUEZ GIAN CARLO</v>
      </c>
      <c r="B251" s="83">
        <f>WEEKNUM(BD_ControlRegimen[[#This Row],[FECHA]],2)</f>
        <v>35</v>
      </c>
      <c r="C251" s="7">
        <v>45165</v>
      </c>
      <c r="D251" s="3" t="s">
        <v>74</v>
      </c>
      <c r="E251" s="3"/>
      <c r="F251" s="3"/>
    </row>
    <row r="252" spans="1:6" hidden="1" x14ac:dyDescent="0.3">
      <c r="A252" s="7" t="str">
        <f>BD_ControlRegimen[[#This Row],[FECHA]]&amp;BD_ControlRegimen[[#This Row],[NOMBRE]]</f>
        <v>45166AGUILAR VASQUEZ GIAN CARLO</v>
      </c>
      <c r="B252" s="83">
        <f>WEEKNUM(BD_ControlRegimen[[#This Row],[FECHA]],2)</f>
        <v>36</v>
      </c>
      <c r="C252" s="7">
        <v>45166</v>
      </c>
      <c r="D252" s="3" t="s">
        <v>74</v>
      </c>
      <c r="E252" s="3"/>
      <c r="F252" s="3"/>
    </row>
    <row r="253" spans="1:6" hidden="1" x14ac:dyDescent="0.3">
      <c r="A253" s="7" t="str">
        <f>BD_ControlRegimen[[#This Row],[FECHA]]&amp;BD_ControlRegimen[[#This Row],[NOMBRE]]</f>
        <v>45167AGUILAR VASQUEZ GIAN CARLO</v>
      </c>
      <c r="B253" s="83">
        <f>WEEKNUM(BD_ControlRegimen[[#This Row],[FECHA]],2)</f>
        <v>36</v>
      </c>
      <c r="C253" s="7">
        <v>45167</v>
      </c>
      <c r="D253" s="3" t="s">
        <v>74</v>
      </c>
      <c r="E253" s="3"/>
      <c r="F253" s="3"/>
    </row>
    <row r="254" spans="1:6" hidden="1" x14ac:dyDescent="0.3">
      <c r="A254" s="7" t="str">
        <f>BD_ControlRegimen[[#This Row],[FECHA]]&amp;BD_ControlRegimen[[#This Row],[NOMBRE]]</f>
        <v>45168AGUILAR VASQUEZ GIAN CARLO</v>
      </c>
      <c r="B254" s="83">
        <f>WEEKNUM(BD_ControlRegimen[[#This Row],[FECHA]],2)</f>
        <v>36</v>
      </c>
      <c r="C254" s="7">
        <v>45168</v>
      </c>
      <c r="D254" s="3" t="s">
        <v>74</v>
      </c>
      <c r="E254" s="3"/>
      <c r="F254" s="3"/>
    </row>
    <row r="255" spans="1:6" hidden="1" x14ac:dyDescent="0.3">
      <c r="A255" s="7" t="str">
        <f>BD_ControlRegimen[[#This Row],[FECHA]]&amp;BD_ControlRegimen[[#This Row],[NOMBRE]]</f>
        <v>45169AGUILAR VASQUEZ GIAN CARLO</v>
      </c>
      <c r="B255" s="83">
        <f>WEEKNUM(BD_ControlRegimen[[#This Row],[FECHA]],2)</f>
        <v>36</v>
      </c>
      <c r="C255" s="7">
        <v>45169</v>
      </c>
      <c r="D255" s="3" t="s">
        <v>74</v>
      </c>
      <c r="E255" s="3"/>
      <c r="F255" s="3"/>
    </row>
    <row r="256" spans="1:6" hidden="1" x14ac:dyDescent="0.3">
      <c r="A256" s="7" t="str">
        <f>BD_ControlRegimen[[#This Row],[FECHA]]&amp;BD_ControlRegimen[[#This Row],[NOMBRE]]</f>
        <v>45170AGUILAR VASQUEZ GIAN CARLO</v>
      </c>
      <c r="B256" s="83">
        <f>WEEKNUM(BD_ControlRegimen[[#This Row],[FECHA]],2)</f>
        <v>36</v>
      </c>
      <c r="C256" s="7">
        <v>45170</v>
      </c>
      <c r="D256" s="3" t="s">
        <v>74</v>
      </c>
      <c r="E256" s="3"/>
      <c r="F256" s="3"/>
    </row>
    <row r="257" spans="1:6" hidden="1" x14ac:dyDescent="0.3">
      <c r="A257" s="7" t="str">
        <f>BD_ControlRegimen[[#This Row],[FECHA]]&amp;BD_ControlRegimen[[#This Row],[NOMBRE]]</f>
        <v>45171AGUILAR VASQUEZ GIAN CARLO</v>
      </c>
      <c r="B257" s="83">
        <f>WEEKNUM(BD_ControlRegimen[[#This Row],[FECHA]],2)</f>
        <v>36</v>
      </c>
      <c r="C257" s="7">
        <v>45171</v>
      </c>
      <c r="D257" s="3" t="s">
        <v>74</v>
      </c>
      <c r="E257" s="3"/>
      <c r="F257" s="3"/>
    </row>
    <row r="258" spans="1:6" hidden="1" x14ac:dyDescent="0.3">
      <c r="A258" s="7" t="str">
        <f>BD_ControlRegimen[[#This Row],[FECHA]]&amp;BD_ControlRegimen[[#This Row],[NOMBRE]]</f>
        <v>45172AGUILAR VASQUEZ GIAN CARLO</v>
      </c>
      <c r="B258" s="83">
        <f>WEEKNUM(BD_ControlRegimen[[#This Row],[FECHA]],2)</f>
        <v>36</v>
      </c>
      <c r="C258" s="7">
        <v>45172</v>
      </c>
      <c r="D258" s="3" t="s">
        <v>74</v>
      </c>
      <c r="E258" s="3"/>
      <c r="F258" s="3"/>
    </row>
    <row r="259" spans="1:6" hidden="1" x14ac:dyDescent="0.3">
      <c r="A259" s="7" t="str">
        <f>BD_ControlRegimen[[#This Row],[FECHA]]&amp;BD_ControlRegimen[[#This Row],[NOMBRE]]</f>
        <v>45173AGUILAR VASQUEZ GIAN CARLO</v>
      </c>
      <c r="B259" s="83">
        <f>WEEKNUM(BD_ControlRegimen[[#This Row],[FECHA]],2)</f>
        <v>37</v>
      </c>
      <c r="C259" s="7">
        <v>45173</v>
      </c>
      <c r="D259" s="3" t="s">
        <v>74</v>
      </c>
      <c r="E259" s="3"/>
      <c r="F259" s="3"/>
    </row>
    <row r="260" spans="1:6" hidden="1" x14ac:dyDescent="0.3">
      <c r="A260" s="7" t="str">
        <f>BD_ControlRegimen[[#This Row],[FECHA]]&amp;BD_ControlRegimen[[#This Row],[NOMBRE]]</f>
        <v>45174AGUILAR VASQUEZ GIAN CARLO</v>
      </c>
      <c r="B260" s="83">
        <f>WEEKNUM(BD_ControlRegimen[[#This Row],[FECHA]],2)</f>
        <v>37</v>
      </c>
      <c r="C260" s="7">
        <v>45174</v>
      </c>
      <c r="D260" s="3" t="s">
        <v>74</v>
      </c>
      <c r="E260" s="3"/>
      <c r="F260" s="3"/>
    </row>
    <row r="261" spans="1:6" hidden="1" x14ac:dyDescent="0.3">
      <c r="A261" s="7" t="str">
        <f>BD_ControlRegimen[[#This Row],[FECHA]]&amp;BD_ControlRegimen[[#This Row],[NOMBRE]]</f>
        <v>45175AGUILAR VASQUEZ GIAN CARLO</v>
      </c>
      <c r="B261" s="83">
        <f>WEEKNUM(BD_ControlRegimen[[#This Row],[FECHA]],2)</f>
        <v>37</v>
      </c>
      <c r="C261" s="7">
        <v>45175</v>
      </c>
      <c r="D261" s="3" t="s">
        <v>74</v>
      </c>
      <c r="E261" s="3"/>
      <c r="F261" s="3"/>
    </row>
    <row r="262" spans="1:6" hidden="1" x14ac:dyDescent="0.3">
      <c r="A262" s="7" t="str">
        <f>BD_ControlRegimen[[#This Row],[FECHA]]&amp;BD_ControlRegimen[[#This Row],[NOMBRE]]</f>
        <v>45176AGUILAR VASQUEZ GIAN CARLO</v>
      </c>
      <c r="B262" s="83">
        <f>WEEKNUM(BD_ControlRegimen[[#This Row],[FECHA]],2)</f>
        <v>37</v>
      </c>
      <c r="C262" s="7">
        <v>45176</v>
      </c>
      <c r="D262" s="3" t="s">
        <v>74</v>
      </c>
      <c r="E262" s="3"/>
      <c r="F262" s="3"/>
    </row>
    <row r="263" spans="1:6" hidden="1" x14ac:dyDescent="0.3">
      <c r="A263" s="7" t="str">
        <f>BD_ControlRegimen[[#This Row],[FECHA]]&amp;BD_ControlRegimen[[#This Row],[NOMBRE]]</f>
        <v>45177AGUILAR VASQUEZ GIAN CARLO</v>
      </c>
      <c r="B263" s="83">
        <f>WEEKNUM(BD_ControlRegimen[[#This Row],[FECHA]],2)</f>
        <v>37</v>
      </c>
      <c r="C263" s="7">
        <v>45177</v>
      </c>
      <c r="D263" s="3" t="s">
        <v>74</v>
      </c>
      <c r="E263" s="3"/>
      <c r="F263" s="3"/>
    </row>
    <row r="264" spans="1:6" hidden="1" x14ac:dyDescent="0.3">
      <c r="A264" s="7" t="str">
        <f>BD_ControlRegimen[[#This Row],[FECHA]]&amp;BD_ControlRegimen[[#This Row],[NOMBRE]]</f>
        <v>45178AGUILAR VASQUEZ GIAN CARLO</v>
      </c>
      <c r="B264" s="83">
        <f>WEEKNUM(BD_ControlRegimen[[#This Row],[FECHA]],2)</f>
        <v>37</v>
      </c>
      <c r="C264" s="7">
        <v>45178</v>
      </c>
      <c r="D264" s="3" t="s">
        <v>74</v>
      </c>
      <c r="E264" s="3"/>
      <c r="F264" s="3"/>
    </row>
    <row r="265" spans="1:6" hidden="1" x14ac:dyDescent="0.3">
      <c r="A265" s="7" t="str">
        <f>BD_ControlRegimen[[#This Row],[FECHA]]&amp;BD_ControlRegimen[[#This Row],[NOMBRE]]</f>
        <v>45179AGUILAR VASQUEZ GIAN CARLO</v>
      </c>
      <c r="B265" s="83">
        <f>WEEKNUM(BD_ControlRegimen[[#This Row],[FECHA]],2)</f>
        <v>37</v>
      </c>
      <c r="C265" s="7">
        <v>45179</v>
      </c>
      <c r="D265" s="3" t="s">
        <v>74</v>
      </c>
      <c r="E265" s="3"/>
      <c r="F265" s="3"/>
    </row>
    <row r="266" spans="1:6" hidden="1" x14ac:dyDescent="0.3">
      <c r="A266" s="7" t="str">
        <f>BD_ControlRegimen[[#This Row],[FECHA]]&amp;BD_ControlRegimen[[#This Row],[NOMBRE]]</f>
        <v>45180AGUILAR VASQUEZ GIAN CARLO</v>
      </c>
      <c r="B266" s="83">
        <f>WEEKNUM(BD_ControlRegimen[[#This Row],[FECHA]],2)</f>
        <v>38</v>
      </c>
      <c r="C266" s="7">
        <v>45180</v>
      </c>
      <c r="D266" s="3" t="s">
        <v>74</v>
      </c>
      <c r="E266" s="3"/>
      <c r="F266" s="3"/>
    </row>
    <row r="267" spans="1:6" hidden="1" x14ac:dyDescent="0.3">
      <c r="A267" s="7" t="str">
        <f>BD_ControlRegimen[[#This Row],[FECHA]]&amp;BD_ControlRegimen[[#This Row],[NOMBRE]]</f>
        <v>45181AGUILAR VASQUEZ GIAN CARLO</v>
      </c>
      <c r="B267" s="83">
        <f>WEEKNUM(BD_ControlRegimen[[#This Row],[FECHA]],2)</f>
        <v>38</v>
      </c>
      <c r="C267" s="7">
        <v>45181</v>
      </c>
      <c r="D267" s="3" t="s">
        <v>74</v>
      </c>
      <c r="E267" s="3"/>
      <c r="F267" s="3"/>
    </row>
    <row r="268" spans="1:6" hidden="1" x14ac:dyDescent="0.3">
      <c r="A268" s="7" t="str">
        <f>BD_ControlRegimen[[#This Row],[FECHA]]&amp;BD_ControlRegimen[[#This Row],[NOMBRE]]</f>
        <v>45182AGUILAR VASQUEZ GIAN CARLO</v>
      </c>
      <c r="B268" s="83">
        <f>WEEKNUM(BD_ControlRegimen[[#This Row],[FECHA]],2)</f>
        <v>38</v>
      </c>
      <c r="C268" s="7">
        <v>45182</v>
      </c>
      <c r="D268" s="3" t="s">
        <v>74</v>
      </c>
      <c r="E268" s="3"/>
      <c r="F268" s="3"/>
    </row>
    <row r="269" spans="1:6" hidden="1" x14ac:dyDescent="0.3">
      <c r="A269" s="7" t="str">
        <f>BD_ControlRegimen[[#This Row],[FECHA]]&amp;BD_ControlRegimen[[#This Row],[NOMBRE]]</f>
        <v>45183AGUILAR VASQUEZ GIAN CARLO</v>
      </c>
      <c r="B269" s="83">
        <f>WEEKNUM(BD_ControlRegimen[[#This Row],[FECHA]],2)</f>
        <v>38</v>
      </c>
      <c r="C269" s="7">
        <v>45183</v>
      </c>
      <c r="D269" s="3" t="s">
        <v>74</v>
      </c>
      <c r="E269" s="3"/>
      <c r="F269" s="3"/>
    </row>
    <row r="270" spans="1:6" hidden="1" x14ac:dyDescent="0.3">
      <c r="A270" s="7" t="str">
        <f>BD_ControlRegimen[[#This Row],[FECHA]]&amp;BD_ControlRegimen[[#This Row],[NOMBRE]]</f>
        <v>45184AGUILAR VASQUEZ GIAN CARLO</v>
      </c>
      <c r="B270" s="83">
        <f>WEEKNUM(BD_ControlRegimen[[#This Row],[FECHA]],2)</f>
        <v>38</v>
      </c>
      <c r="C270" s="7">
        <v>45184</v>
      </c>
      <c r="D270" s="3" t="s">
        <v>74</v>
      </c>
      <c r="E270" s="3"/>
      <c r="F270" s="3"/>
    </row>
    <row r="271" spans="1:6" hidden="1" x14ac:dyDescent="0.3">
      <c r="A271" s="7" t="str">
        <f>BD_ControlRegimen[[#This Row],[FECHA]]&amp;BD_ControlRegimen[[#This Row],[NOMBRE]]</f>
        <v>45185AGUILAR VASQUEZ GIAN CARLO</v>
      </c>
      <c r="B271" s="83">
        <f>WEEKNUM(BD_ControlRegimen[[#This Row],[FECHA]],2)</f>
        <v>38</v>
      </c>
      <c r="C271" s="7">
        <v>45185</v>
      </c>
      <c r="D271" s="3" t="s">
        <v>74</v>
      </c>
      <c r="E271" s="3"/>
      <c r="F271" s="3"/>
    </row>
    <row r="272" spans="1:6" hidden="1" x14ac:dyDescent="0.3">
      <c r="A272" s="7" t="str">
        <f>BD_ControlRegimen[[#This Row],[FECHA]]&amp;BD_ControlRegimen[[#This Row],[NOMBRE]]</f>
        <v>45186AGUILAR VASQUEZ GIAN CARLO</v>
      </c>
      <c r="B272" s="83">
        <f>WEEKNUM(BD_ControlRegimen[[#This Row],[FECHA]],2)</f>
        <v>38</v>
      </c>
      <c r="C272" s="7">
        <v>45186</v>
      </c>
      <c r="D272" s="3" t="s">
        <v>74</v>
      </c>
      <c r="E272" s="3"/>
      <c r="F272" s="3"/>
    </row>
    <row r="273" spans="1:6" hidden="1" x14ac:dyDescent="0.3">
      <c r="A273" s="7" t="str">
        <f>BD_ControlRegimen[[#This Row],[FECHA]]&amp;BD_ControlRegimen[[#This Row],[NOMBRE]]</f>
        <v>45187AGUILAR VASQUEZ GIAN CARLO</v>
      </c>
      <c r="B273" s="83">
        <f>WEEKNUM(BD_ControlRegimen[[#This Row],[FECHA]],2)</f>
        <v>39</v>
      </c>
      <c r="C273" s="7">
        <v>45187</v>
      </c>
      <c r="D273" s="3" t="s">
        <v>74</v>
      </c>
      <c r="E273" s="3"/>
      <c r="F273" s="3"/>
    </row>
    <row r="274" spans="1:6" hidden="1" x14ac:dyDescent="0.3">
      <c r="A274" s="7" t="str">
        <f>BD_ControlRegimen[[#This Row],[FECHA]]&amp;BD_ControlRegimen[[#This Row],[NOMBRE]]</f>
        <v>45188AGUILAR VASQUEZ GIAN CARLO</v>
      </c>
      <c r="B274" s="83">
        <f>WEEKNUM(BD_ControlRegimen[[#This Row],[FECHA]],2)</f>
        <v>39</v>
      </c>
      <c r="C274" s="7">
        <v>45188</v>
      </c>
      <c r="D274" s="3" t="s">
        <v>74</v>
      </c>
      <c r="E274" s="3"/>
      <c r="F274" s="3"/>
    </row>
    <row r="275" spans="1:6" hidden="1" x14ac:dyDescent="0.3">
      <c r="A275" s="7" t="str">
        <f>BD_ControlRegimen[[#This Row],[FECHA]]&amp;BD_ControlRegimen[[#This Row],[NOMBRE]]</f>
        <v>45189AGUILAR VASQUEZ GIAN CARLO</v>
      </c>
      <c r="B275" s="83">
        <f>WEEKNUM(BD_ControlRegimen[[#This Row],[FECHA]],2)</f>
        <v>39</v>
      </c>
      <c r="C275" s="7">
        <v>45189</v>
      </c>
      <c r="D275" s="3" t="s">
        <v>74</v>
      </c>
      <c r="E275" s="3"/>
      <c r="F275" s="3"/>
    </row>
    <row r="276" spans="1:6" hidden="1" x14ac:dyDescent="0.3">
      <c r="A276" s="7" t="str">
        <f>BD_ControlRegimen[[#This Row],[FECHA]]&amp;BD_ControlRegimen[[#This Row],[NOMBRE]]</f>
        <v>45190AGUILAR VASQUEZ GIAN CARLO</v>
      </c>
      <c r="B276" s="83">
        <f>WEEKNUM(BD_ControlRegimen[[#This Row],[FECHA]],2)</f>
        <v>39</v>
      </c>
      <c r="C276" s="7">
        <v>45190</v>
      </c>
      <c r="D276" s="3" t="s">
        <v>74</v>
      </c>
      <c r="E276" s="3"/>
      <c r="F276" s="3"/>
    </row>
    <row r="277" spans="1:6" hidden="1" x14ac:dyDescent="0.3">
      <c r="A277" s="7" t="str">
        <f>BD_ControlRegimen[[#This Row],[FECHA]]&amp;BD_ControlRegimen[[#This Row],[NOMBRE]]</f>
        <v>45191AGUILAR VASQUEZ GIAN CARLO</v>
      </c>
      <c r="B277" s="83">
        <f>WEEKNUM(BD_ControlRegimen[[#This Row],[FECHA]],2)</f>
        <v>39</v>
      </c>
      <c r="C277" s="7">
        <v>45191</v>
      </c>
      <c r="D277" s="3" t="s">
        <v>74</v>
      </c>
      <c r="E277" s="3"/>
      <c r="F277" s="3"/>
    </row>
    <row r="278" spans="1:6" hidden="1" x14ac:dyDescent="0.3">
      <c r="A278" s="7" t="str">
        <f>BD_ControlRegimen[[#This Row],[FECHA]]&amp;BD_ControlRegimen[[#This Row],[NOMBRE]]</f>
        <v>45192AGUILAR VASQUEZ GIAN CARLO</v>
      </c>
      <c r="B278" s="83">
        <f>WEEKNUM(BD_ControlRegimen[[#This Row],[FECHA]],2)</f>
        <v>39</v>
      </c>
      <c r="C278" s="7">
        <v>45192</v>
      </c>
      <c r="D278" s="3" t="s">
        <v>74</v>
      </c>
      <c r="E278" s="3"/>
      <c r="F278" s="3"/>
    </row>
    <row r="279" spans="1:6" hidden="1" x14ac:dyDescent="0.3">
      <c r="A279" s="7" t="str">
        <f>BD_ControlRegimen[[#This Row],[FECHA]]&amp;BD_ControlRegimen[[#This Row],[NOMBRE]]</f>
        <v>45193AGUILAR VASQUEZ GIAN CARLO</v>
      </c>
      <c r="B279" s="83">
        <f>WEEKNUM(BD_ControlRegimen[[#This Row],[FECHA]],2)</f>
        <v>39</v>
      </c>
      <c r="C279" s="7">
        <v>45193</v>
      </c>
      <c r="D279" s="3" t="s">
        <v>74</v>
      </c>
      <c r="E279" s="3"/>
      <c r="F279" s="3"/>
    </row>
    <row r="280" spans="1:6" hidden="1" x14ac:dyDescent="0.3">
      <c r="A280" s="7" t="str">
        <f>BD_ControlRegimen[[#This Row],[FECHA]]&amp;BD_ControlRegimen[[#This Row],[NOMBRE]]</f>
        <v>45194AGUILAR VASQUEZ GIAN CARLO</v>
      </c>
      <c r="B280" s="83">
        <f>WEEKNUM(BD_ControlRegimen[[#This Row],[FECHA]],2)</f>
        <v>40</v>
      </c>
      <c r="C280" s="7">
        <v>45194</v>
      </c>
      <c r="D280" s="3" t="s">
        <v>74</v>
      </c>
      <c r="E280" s="3"/>
      <c r="F280" s="3"/>
    </row>
    <row r="281" spans="1:6" hidden="1" x14ac:dyDescent="0.3">
      <c r="A281" s="7" t="str">
        <f>BD_ControlRegimen[[#This Row],[FECHA]]&amp;BD_ControlRegimen[[#This Row],[NOMBRE]]</f>
        <v>45195AGUILAR VASQUEZ GIAN CARLO</v>
      </c>
      <c r="B281" s="83">
        <f>WEEKNUM(BD_ControlRegimen[[#This Row],[FECHA]],2)</f>
        <v>40</v>
      </c>
      <c r="C281" s="7">
        <v>45195</v>
      </c>
      <c r="D281" s="3" t="s">
        <v>74</v>
      </c>
      <c r="E281" s="3"/>
      <c r="F281" s="3"/>
    </row>
    <row r="282" spans="1:6" hidden="1" x14ac:dyDescent="0.3">
      <c r="A282" s="7" t="str">
        <f>BD_ControlRegimen[[#This Row],[FECHA]]&amp;BD_ControlRegimen[[#This Row],[NOMBRE]]</f>
        <v>45196AGUILAR VASQUEZ GIAN CARLO</v>
      </c>
      <c r="B282" s="83">
        <f>WEEKNUM(BD_ControlRegimen[[#This Row],[FECHA]],2)</f>
        <v>40</v>
      </c>
      <c r="C282" s="7">
        <v>45196</v>
      </c>
      <c r="D282" s="3" t="s">
        <v>74</v>
      </c>
      <c r="E282" s="3"/>
      <c r="F282" s="3"/>
    </row>
    <row r="283" spans="1:6" hidden="1" x14ac:dyDescent="0.3">
      <c r="A283" s="7" t="str">
        <f>BD_ControlRegimen[[#This Row],[FECHA]]&amp;BD_ControlRegimen[[#This Row],[NOMBRE]]</f>
        <v>45197AGUILAR VASQUEZ GIAN CARLO</v>
      </c>
      <c r="B283" s="83">
        <f>WEEKNUM(BD_ControlRegimen[[#This Row],[FECHA]],2)</f>
        <v>40</v>
      </c>
      <c r="C283" s="7">
        <v>45197</v>
      </c>
      <c r="D283" s="3" t="s">
        <v>74</v>
      </c>
      <c r="E283" s="3"/>
      <c r="F283" s="3"/>
    </row>
    <row r="284" spans="1:6" hidden="1" x14ac:dyDescent="0.3">
      <c r="A284" s="7" t="str">
        <f>BD_ControlRegimen[[#This Row],[FECHA]]&amp;BD_ControlRegimen[[#This Row],[NOMBRE]]</f>
        <v>45198AGUILAR VASQUEZ GIAN CARLO</v>
      </c>
      <c r="B284" s="83">
        <f>WEEKNUM(BD_ControlRegimen[[#This Row],[FECHA]],2)</f>
        <v>40</v>
      </c>
      <c r="C284" s="7">
        <v>45198</v>
      </c>
      <c r="D284" s="3" t="s">
        <v>74</v>
      </c>
      <c r="E284" s="3"/>
      <c r="F284" s="3"/>
    </row>
    <row r="285" spans="1:6" hidden="1" x14ac:dyDescent="0.3">
      <c r="A285" s="7" t="str">
        <f>BD_ControlRegimen[[#This Row],[FECHA]]&amp;BD_ControlRegimen[[#This Row],[NOMBRE]]</f>
        <v>45199AGUILAR VASQUEZ GIAN CARLO</v>
      </c>
      <c r="B285" s="83">
        <f>WEEKNUM(BD_ControlRegimen[[#This Row],[FECHA]],2)</f>
        <v>40</v>
      </c>
      <c r="C285" s="7">
        <v>45199</v>
      </c>
      <c r="D285" s="3" t="s">
        <v>74</v>
      </c>
      <c r="E285" s="3"/>
      <c r="F285" s="3"/>
    </row>
    <row r="286" spans="1:6" hidden="1" x14ac:dyDescent="0.3">
      <c r="A286" s="7" t="str">
        <f>BD_ControlRegimen[[#This Row],[FECHA]]&amp;BD_ControlRegimen[[#This Row],[NOMBRE]]</f>
        <v>45200AGUILAR VASQUEZ GIAN CARLO</v>
      </c>
      <c r="B286" s="83">
        <f>WEEKNUM(BD_ControlRegimen[[#This Row],[FECHA]],2)</f>
        <v>40</v>
      </c>
      <c r="C286" s="7">
        <v>45200</v>
      </c>
      <c r="D286" s="3" t="s">
        <v>74</v>
      </c>
      <c r="E286" s="3"/>
      <c r="F286" s="3"/>
    </row>
    <row r="287" spans="1:6" hidden="1" x14ac:dyDescent="0.3">
      <c r="A287" s="7" t="str">
        <f>BD_ControlRegimen[[#This Row],[FECHA]]&amp;BD_ControlRegimen[[#This Row],[NOMBRE]]</f>
        <v>45201AGUILAR VASQUEZ GIAN CARLO</v>
      </c>
      <c r="B287" s="83">
        <f>WEEKNUM(BD_ControlRegimen[[#This Row],[FECHA]],2)</f>
        <v>41</v>
      </c>
      <c r="C287" s="7">
        <v>45201</v>
      </c>
      <c r="D287" s="3" t="s">
        <v>74</v>
      </c>
      <c r="E287" s="3"/>
      <c r="F287" s="3"/>
    </row>
    <row r="288" spans="1:6" hidden="1" x14ac:dyDescent="0.3">
      <c r="A288" s="7" t="str">
        <f>BD_ControlRegimen[[#This Row],[FECHA]]&amp;BD_ControlRegimen[[#This Row],[NOMBRE]]</f>
        <v>45202AGUILAR VASQUEZ GIAN CARLO</v>
      </c>
      <c r="B288" s="83">
        <f>WEEKNUM(BD_ControlRegimen[[#This Row],[FECHA]],2)</f>
        <v>41</v>
      </c>
      <c r="C288" s="7">
        <v>45202</v>
      </c>
      <c r="D288" s="3" t="s">
        <v>74</v>
      </c>
      <c r="E288" s="3"/>
      <c r="F288" s="3"/>
    </row>
    <row r="289" spans="1:6" hidden="1" x14ac:dyDescent="0.3">
      <c r="A289" s="7" t="str">
        <f>BD_ControlRegimen[[#This Row],[FECHA]]&amp;BD_ControlRegimen[[#This Row],[NOMBRE]]</f>
        <v>45203AGUILAR VASQUEZ GIAN CARLO</v>
      </c>
      <c r="B289" s="83">
        <f>WEEKNUM(BD_ControlRegimen[[#This Row],[FECHA]],2)</f>
        <v>41</v>
      </c>
      <c r="C289" s="7">
        <v>45203</v>
      </c>
      <c r="D289" s="3" t="s">
        <v>74</v>
      </c>
      <c r="E289" s="3"/>
      <c r="F289" s="3"/>
    </row>
    <row r="290" spans="1:6" hidden="1" x14ac:dyDescent="0.3">
      <c r="A290" s="7" t="str">
        <f>BD_ControlRegimen[[#This Row],[FECHA]]&amp;BD_ControlRegimen[[#This Row],[NOMBRE]]</f>
        <v>45204AGUILAR VASQUEZ GIAN CARLO</v>
      </c>
      <c r="B290" s="83">
        <f>WEEKNUM(BD_ControlRegimen[[#This Row],[FECHA]],2)</f>
        <v>41</v>
      </c>
      <c r="C290" s="7">
        <v>45204</v>
      </c>
      <c r="D290" s="3" t="s">
        <v>74</v>
      </c>
      <c r="E290" s="3"/>
      <c r="F290" s="3"/>
    </row>
    <row r="291" spans="1:6" hidden="1" x14ac:dyDescent="0.3">
      <c r="A291" s="7" t="str">
        <f>BD_ControlRegimen[[#This Row],[FECHA]]&amp;BD_ControlRegimen[[#This Row],[NOMBRE]]</f>
        <v>45205AGUILAR VASQUEZ GIAN CARLO</v>
      </c>
      <c r="B291" s="83">
        <f>WEEKNUM(BD_ControlRegimen[[#This Row],[FECHA]],2)</f>
        <v>41</v>
      </c>
      <c r="C291" s="7">
        <v>45205</v>
      </c>
      <c r="D291" s="3" t="s">
        <v>74</v>
      </c>
      <c r="E291" s="3"/>
      <c r="F291" s="3"/>
    </row>
    <row r="292" spans="1:6" hidden="1" x14ac:dyDescent="0.3">
      <c r="A292" s="7" t="str">
        <f>BD_ControlRegimen[[#This Row],[FECHA]]&amp;BD_ControlRegimen[[#This Row],[NOMBRE]]</f>
        <v>45206AGUILAR VASQUEZ GIAN CARLO</v>
      </c>
      <c r="B292" s="83">
        <f>WEEKNUM(BD_ControlRegimen[[#This Row],[FECHA]],2)</f>
        <v>41</v>
      </c>
      <c r="C292" s="7">
        <v>45206</v>
      </c>
      <c r="D292" s="3" t="s">
        <v>74</v>
      </c>
      <c r="E292" s="3"/>
      <c r="F292" s="3"/>
    </row>
    <row r="293" spans="1:6" hidden="1" x14ac:dyDescent="0.3">
      <c r="A293" s="7" t="str">
        <f>BD_ControlRegimen[[#This Row],[FECHA]]&amp;BD_ControlRegimen[[#This Row],[NOMBRE]]</f>
        <v>45207AGUILAR VASQUEZ GIAN CARLO</v>
      </c>
      <c r="B293" s="83">
        <f>WEEKNUM(BD_ControlRegimen[[#This Row],[FECHA]],2)</f>
        <v>41</v>
      </c>
      <c r="C293" s="7">
        <v>45207</v>
      </c>
      <c r="D293" s="3" t="s">
        <v>74</v>
      </c>
      <c r="E293" s="3"/>
      <c r="F293" s="3"/>
    </row>
    <row r="294" spans="1:6" hidden="1" x14ac:dyDescent="0.3">
      <c r="A294" s="7" t="str">
        <f>BD_ControlRegimen[[#This Row],[FECHA]]&amp;BD_ControlRegimen[[#This Row],[NOMBRE]]</f>
        <v>45208AGUILAR VASQUEZ GIAN CARLO</v>
      </c>
      <c r="B294" s="83">
        <f>WEEKNUM(BD_ControlRegimen[[#This Row],[FECHA]],2)</f>
        <v>42</v>
      </c>
      <c r="C294" s="7">
        <v>45208</v>
      </c>
      <c r="D294" s="3" t="s">
        <v>74</v>
      </c>
      <c r="E294" s="3"/>
      <c r="F294" s="3"/>
    </row>
    <row r="295" spans="1:6" hidden="1" x14ac:dyDescent="0.3">
      <c r="A295" s="7" t="str">
        <f>BD_ControlRegimen[[#This Row],[FECHA]]&amp;BD_ControlRegimen[[#This Row],[NOMBRE]]</f>
        <v>45209AGUILAR VASQUEZ GIAN CARLO</v>
      </c>
      <c r="B295" s="83">
        <f>WEEKNUM(BD_ControlRegimen[[#This Row],[FECHA]],2)</f>
        <v>42</v>
      </c>
      <c r="C295" s="7">
        <v>45209</v>
      </c>
      <c r="D295" s="3" t="s">
        <v>74</v>
      </c>
      <c r="E295" s="3"/>
      <c r="F295" s="3"/>
    </row>
    <row r="296" spans="1:6" hidden="1" x14ac:dyDescent="0.3">
      <c r="A296" s="7" t="str">
        <f>BD_ControlRegimen[[#This Row],[FECHA]]&amp;BD_ControlRegimen[[#This Row],[NOMBRE]]</f>
        <v>45210AGUILAR VASQUEZ GIAN CARLO</v>
      </c>
      <c r="B296" s="83">
        <f>WEEKNUM(BD_ControlRegimen[[#This Row],[FECHA]],2)</f>
        <v>42</v>
      </c>
      <c r="C296" s="7">
        <v>45210</v>
      </c>
      <c r="D296" s="3" t="s">
        <v>74</v>
      </c>
      <c r="E296" s="3"/>
      <c r="F296" s="3"/>
    </row>
    <row r="297" spans="1:6" hidden="1" x14ac:dyDescent="0.3">
      <c r="A297" s="7" t="str">
        <f>BD_ControlRegimen[[#This Row],[FECHA]]&amp;BD_ControlRegimen[[#This Row],[NOMBRE]]</f>
        <v>45211AGUILAR VASQUEZ GIAN CARLO</v>
      </c>
      <c r="B297" s="83">
        <f>WEEKNUM(BD_ControlRegimen[[#This Row],[FECHA]],2)</f>
        <v>42</v>
      </c>
      <c r="C297" s="7">
        <v>45211</v>
      </c>
      <c r="D297" s="3" t="s">
        <v>74</v>
      </c>
      <c r="E297" s="3"/>
      <c r="F297" s="3"/>
    </row>
    <row r="298" spans="1:6" hidden="1" x14ac:dyDescent="0.3">
      <c r="A298" s="7" t="str">
        <f>BD_ControlRegimen[[#This Row],[FECHA]]&amp;BD_ControlRegimen[[#This Row],[NOMBRE]]</f>
        <v>45212AGUILAR VASQUEZ GIAN CARLO</v>
      </c>
      <c r="B298" s="83">
        <f>WEEKNUM(BD_ControlRegimen[[#This Row],[FECHA]],2)</f>
        <v>42</v>
      </c>
      <c r="C298" s="7">
        <v>45212</v>
      </c>
      <c r="D298" s="3" t="s">
        <v>74</v>
      </c>
      <c r="E298" s="3"/>
      <c r="F298" s="3"/>
    </row>
    <row r="299" spans="1:6" hidden="1" x14ac:dyDescent="0.3">
      <c r="A299" s="7" t="str">
        <f>BD_ControlRegimen[[#This Row],[FECHA]]&amp;BD_ControlRegimen[[#This Row],[NOMBRE]]</f>
        <v>45213AGUILAR VASQUEZ GIAN CARLO</v>
      </c>
      <c r="B299" s="83">
        <f>WEEKNUM(BD_ControlRegimen[[#This Row],[FECHA]],2)</f>
        <v>42</v>
      </c>
      <c r="C299" s="7">
        <v>45213</v>
      </c>
      <c r="D299" s="3" t="s">
        <v>74</v>
      </c>
      <c r="E299" s="3"/>
      <c r="F299" s="3"/>
    </row>
    <row r="300" spans="1:6" hidden="1" x14ac:dyDescent="0.3">
      <c r="A300" s="7" t="str">
        <f>BD_ControlRegimen[[#This Row],[FECHA]]&amp;BD_ControlRegimen[[#This Row],[NOMBRE]]</f>
        <v>45214AGUILAR VASQUEZ GIAN CARLO</v>
      </c>
      <c r="B300" s="83">
        <f>WEEKNUM(BD_ControlRegimen[[#This Row],[FECHA]],2)</f>
        <v>42</v>
      </c>
      <c r="C300" s="7">
        <v>45214</v>
      </c>
      <c r="D300" s="3" t="s">
        <v>74</v>
      </c>
      <c r="E300" s="3"/>
      <c r="F300" s="3"/>
    </row>
    <row r="301" spans="1:6" hidden="1" x14ac:dyDescent="0.3">
      <c r="A301" s="7" t="str">
        <f>BD_ControlRegimen[[#This Row],[FECHA]]&amp;BD_ControlRegimen[[#This Row],[NOMBRE]]</f>
        <v>45215AGUILAR VASQUEZ GIAN CARLO</v>
      </c>
      <c r="B301" s="83">
        <f>WEEKNUM(BD_ControlRegimen[[#This Row],[FECHA]],2)</f>
        <v>43</v>
      </c>
      <c r="C301" s="7">
        <v>45215</v>
      </c>
      <c r="D301" s="3" t="s">
        <v>74</v>
      </c>
      <c r="E301" s="3"/>
      <c r="F301" s="3"/>
    </row>
    <row r="302" spans="1:6" hidden="1" x14ac:dyDescent="0.3">
      <c r="A302" s="7" t="str">
        <f>BD_ControlRegimen[[#This Row],[FECHA]]&amp;BD_ControlRegimen[[#This Row],[NOMBRE]]</f>
        <v>45216AGUILAR VASQUEZ GIAN CARLO</v>
      </c>
      <c r="B302" s="83">
        <f>WEEKNUM(BD_ControlRegimen[[#This Row],[FECHA]],2)</f>
        <v>43</v>
      </c>
      <c r="C302" s="7">
        <v>45216</v>
      </c>
      <c r="D302" s="3" t="s">
        <v>74</v>
      </c>
      <c r="E302" s="3"/>
      <c r="F302" s="3"/>
    </row>
    <row r="303" spans="1:6" hidden="1" x14ac:dyDescent="0.3">
      <c r="A303" s="7" t="str">
        <f>BD_ControlRegimen[[#This Row],[FECHA]]&amp;BD_ControlRegimen[[#This Row],[NOMBRE]]</f>
        <v>45217AGUILAR VASQUEZ GIAN CARLO</v>
      </c>
      <c r="B303" s="83">
        <f>WEEKNUM(BD_ControlRegimen[[#This Row],[FECHA]],2)</f>
        <v>43</v>
      </c>
      <c r="C303" s="7">
        <v>45217</v>
      </c>
      <c r="D303" s="3" t="s">
        <v>74</v>
      </c>
      <c r="E303" s="3"/>
      <c r="F303" s="3"/>
    </row>
    <row r="304" spans="1:6" hidden="1" x14ac:dyDescent="0.3">
      <c r="A304" s="7" t="str">
        <f>BD_ControlRegimen[[#This Row],[FECHA]]&amp;BD_ControlRegimen[[#This Row],[NOMBRE]]</f>
        <v>45218AGUILAR VASQUEZ GIAN CARLO</v>
      </c>
      <c r="B304" s="83">
        <f>WEEKNUM(BD_ControlRegimen[[#This Row],[FECHA]],2)</f>
        <v>43</v>
      </c>
      <c r="C304" s="7">
        <v>45218</v>
      </c>
      <c r="D304" s="3" t="s">
        <v>74</v>
      </c>
      <c r="E304" s="3"/>
      <c r="F304" s="3"/>
    </row>
    <row r="305" spans="1:6" hidden="1" x14ac:dyDescent="0.3">
      <c r="A305" s="7" t="str">
        <f>BD_ControlRegimen[[#This Row],[FECHA]]&amp;BD_ControlRegimen[[#This Row],[NOMBRE]]</f>
        <v>45219AGUILAR VASQUEZ GIAN CARLO</v>
      </c>
      <c r="B305" s="83">
        <f>WEEKNUM(BD_ControlRegimen[[#This Row],[FECHA]],2)</f>
        <v>43</v>
      </c>
      <c r="C305" s="7">
        <v>45219</v>
      </c>
      <c r="D305" s="3" t="s">
        <v>74</v>
      </c>
      <c r="E305" s="3"/>
      <c r="F305" s="3"/>
    </row>
    <row r="306" spans="1:6" hidden="1" x14ac:dyDescent="0.3">
      <c r="A306" s="7" t="str">
        <f>BD_ControlRegimen[[#This Row],[FECHA]]&amp;BD_ControlRegimen[[#This Row],[NOMBRE]]</f>
        <v>45220AGUILAR VASQUEZ GIAN CARLO</v>
      </c>
      <c r="B306" s="83">
        <f>WEEKNUM(BD_ControlRegimen[[#This Row],[FECHA]],2)</f>
        <v>43</v>
      </c>
      <c r="C306" s="7">
        <v>45220</v>
      </c>
      <c r="D306" s="3" t="s">
        <v>74</v>
      </c>
      <c r="E306" s="3"/>
      <c r="F306" s="3"/>
    </row>
    <row r="307" spans="1:6" hidden="1" x14ac:dyDescent="0.3">
      <c r="A307" s="7" t="str">
        <f>BD_ControlRegimen[[#This Row],[FECHA]]&amp;BD_ControlRegimen[[#This Row],[NOMBRE]]</f>
        <v>45221AGUILAR VASQUEZ GIAN CARLO</v>
      </c>
      <c r="B307" s="83">
        <f>WEEKNUM(BD_ControlRegimen[[#This Row],[FECHA]],2)</f>
        <v>43</v>
      </c>
      <c r="C307" s="7">
        <v>45221</v>
      </c>
      <c r="D307" s="3" t="s">
        <v>74</v>
      </c>
      <c r="E307" s="3"/>
      <c r="F307" s="3"/>
    </row>
    <row r="308" spans="1:6" hidden="1" x14ac:dyDescent="0.3">
      <c r="A308" s="7" t="str">
        <f>BD_ControlRegimen[[#This Row],[FECHA]]&amp;BD_ControlRegimen[[#This Row],[NOMBRE]]</f>
        <v>45222AGUILAR VASQUEZ GIAN CARLO</v>
      </c>
      <c r="B308" s="83">
        <f>WEEKNUM(BD_ControlRegimen[[#This Row],[FECHA]],2)</f>
        <v>44</v>
      </c>
      <c r="C308" s="7">
        <v>45222</v>
      </c>
      <c r="D308" s="3" t="s">
        <v>74</v>
      </c>
      <c r="E308" s="3"/>
      <c r="F308" s="3"/>
    </row>
    <row r="309" spans="1:6" hidden="1" x14ac:dyDescent="0.3">
      <c r="A309" s="7" t="str">
        <f>BD_ControlRegimen[[#This Row],[FECHA]]&amp;BD_ControlRegimen[[#This Row],[NOMBRE]]</f>
        <v>45223AGUILAR VASQUEZ GIAN CARLO</v>
      </c>
      <c r="B309" s="83">
        <f>WEEKNUM(BD_ControlRegimen[[#This Row],[FECHA]],2)</f>
        <v>44</v>
      </c>
      <c r="C309" s="7">
        <v>45223</v>
      </c>
      <c r="D309" s="3" t="s">
        <v>74</v>
      </c>
      <c r="E309" s="3"/>
      <c r="F309" s="3"/>
    </row>
    <row r="310" spans="1:6" hidden="1" x14ac:dyDescent="0.3">
      <c r="A310" s="7" t="str">
        <f>BD_ControlRegimen[[#This Row],[FECHA]]&amp;BD_ControlRegimen[[#This Row],[NOMBRE]]</f>
        <v>45224AGUILAR VASQUEZ GIAN CARLO</v>
      </c>
      <c r="B310" s="83">
        <f>WEEKNUM(BD_ControlRegimen[[#This Row],[FECHA]],2)</f>
        <v>44</v>
      </c>
      <c r="C310" s="7">
        <v>45224</v>
      </c>
      <c r="D310" s="3" t="s">
        <v>74</v>
      </c>
      <c r="E310" s="3"/>
      <c r="F310" s="3"/>
    </row>
    <row r="311" spans="1:6" hidden="1" x14ac:dyDescent="0.3">
      <c r="A311" s="7" t="str">
        <f>BD_ControlRegimen[[#This Row],[FECHA]]&amp;BD_ControlRegimen[[#This Row],[NOMBRE]]</f>
        <v>45225AGUILAR VASQUEZ GIAN CARLO</v>
      </c>
      <c r="B311" s="83">
        <f>WEEKNUM(BD_ControlRegimen[[#This Row],[FECHA]],2)</f>
        <v>44</v>
      </c>
      <c r="C311" s="7">
        <v>45225</v>
      </c>
      <c r="D311" s="3" t="s">
        <v>74</v>
      </c>
      <c r="E311" s="3"/>
      <c r="F311" s="3"/>
    </row>
    <row r="312" spans="1:6" hidden="1" x14ac:dyDescent="0.3">
      <c r="A312" s="7" t="str">
        <f>BD_ControlRegimen[[#This Row],[FECHA]]&amp;BD_ControlRegimen[[#This Row],[NOMBRE]]</f>
        <v>45226AGUILAR VASQUEZ GIAN CARLO</v>
      </c>
      <c r="B312" s="83">
        <f>WEEKNUM(BD_ControlRegimen[[#This Row],[FECHA]],2)</f>
        <v>44</v>
      </c>
      <c r="C312" s="7">
        <v>45226</v>
      </c>
      <c r="D312" s="3" t="s">
        <v>74</v>
      </c>
      <c r="E312" s="3"/>
      <c r="F312" s="3"/>
    </row>
    <row r="313" spans="1:6" hidden="1" x14ac:dyDescent="0.3">
      <c r="A313" s="7" t="str">
        <f>BD_ControlRegimen[[#This Row],[FECHA]]&amp;BD_ControlRegimen[[#This Row],[NOMBRE]]</f>
        <v>45227AGUILAR VASQUEZ GIAN CARLO</v>
      </c>
      <c r="B313" s="83">
        <f>WEEKNUM(BD_ControlRegimen[[#This Row],[FECHA]],2)</f>
        <v>44</v>
      </c>
      <c r="C313" s="7">
        <v>45227</v>
      </c>
      <c r="D313" s="3" t="s">
        <v>74</v>
      </c>
      <c r="E313" s="3"/>
      <c r="F313" s="3"/>
    </row>
    <row r="314" spans="1:6" hidden="1" x14ac:dyDescent="0.3">
      <c r="A314" s="7" t="str">
        <f>BD_ControlRegimen[[#This Row],[FECHA]]&amp;BD_ControlRegimen[[#This Row],[NOMBRE]]</f>
        <v>45228AGUILAR VASQUEZ GIAN CARLO</v>
      </c>
      <c r="B314" s="83">
        <f>WEEKNUM(BD_ControlRegimen[[#This Row],[FECHA]],2)</f>
        <v>44</v>
      </c>
      <c r="C314" s="7">
        <v>45228</v>
      </c>
      <c r="D314" s="3" t="s">
        <v>74</v>
      </c>
      <c r="E314" s="3"/>
      <c r="F314" s="3"/>
    </row>
    <row r="315" spans="1:6" hidden="1" x14ac:dyDescent="0.3">
      <c r="A315" s="7" t="str">
        <f>BD_ControlRegimen[[#This Row],[FECHA]]&amp;BD_ControlRegimen[[#This Row],[NOMBRE]]</f>
        <v>45229AGUILAR VASQUEZ GIAN CARLO</v>
      </c>
      <c r="B315" s="83">
        <f>WEEKNUM(BD_ControlRegimen[[#This Row],[FECHA]],2)</f>
        <v>45</v>
      </c>
      <c r="C315" s="7">
        <v>45229</v>
      </c>
      <c r="D315" s="3" t="s">
        <v>74</v>
      </c>
      <c r="E315" s="3"/>
      <c r="F315" s="3"/>
    </row>
    <row r="316" spans="1:6" hidden="1" x14ac:dyDescent="0.3">
      <c r="A316" s="7" t="str">
        <f>BD_ControlRegimen[[#This Row],[FECHA]]&amp;BD_ControlRegimen[[#This Row],[NOMBRE]]</f>
        <v>45230AGUILAR VASQUEZ GIAN CARLO</v>
      </c>
      <c r="B316" s="83">
        <f>WEEKNUM(BD_ControlRegimen[[#This Row],[FECHA]],2)</f>
        <v>45</v>
      </c>
      <c r="C316" s="7">
        <v>45230</v>
      </c>
      <c r="D316" s="3" t="s">
        <v>74</v>
      </c>
      <c r="E316" s="3"/>
      <c r="F316" s="3"/>
    </row>
    <row r="317" spans="1:6" hidden="1" x14ac:dyDescent="0.3">
      <c r="A317" s="7" t="str">
        <f>BD_ControlRegimen[[#This Row],[FECHA]]&amp;BD_ControlRegimen[[#This Row],[NOMBRE]]</f>
        <v>45231AGUILAR VASQUEZ GIAN CARLO</v>
      </c>
      <c r="B317" s="83">
        <f>WEEKNUM(BD_ControlRegimen[[#This Row],[FECHA]],2)</f>
        <v>45</v>
      </c>
      <c r="C317" s="7">
        <v>45231</v>
      </c>
      <c r="D317" s="3" t="s">
        <v>74</v>
      </c>
      <c r="E317" s="3"/>
      <c r="F317" s="3"/>
    </row>
    <row r="318" spans="1:6" hidden="1" x14ac:dyDescent="0.3">
      <c r="A318" s="7" t="str">
        <f>BD_ControlRegimen[[#This Row],[FECHA]]&amp;BD_ControlRegimen[[#This Row],[NOMBRE]]</f>
        <v>45232AGUILAR VASQUEZ GIAN CARLO</v>
      </c>
      <c r="B318" s="83">
        <f>WEEKNUM(BD_ControlRegimen[[#This Row],[FECHA]],2)</f>
        <v>45</v>
      </c>
      <c r="C318" s="7">
        <v>45232</v>
      </c>
      <c r="D318" s="3" t="s">
        <v>74</v>
      </c>
      <c r="E318" s="3"/>
      <c r="F318" s="3"/>
    </row>
    <row r="319" spans="1:6" hidden="1" x14ac:dyDescent="0.3">
      <c r="A319" s="7" t="str">
        <f>BD_ControlRegimen[[#This Row],[FECHA]]&amp;BD_ControlRegimen[[#This Row],[NOMBRE]]</f>
        <v>45233AGUILAR VASQUEZ GIAN CARLO</v>
      </c>
      <c r="B319" s="83">
        <f>WEEKNUM(BD_ControlRegimen[[#This Row],[FECHA]],2)</f>
        <v>45</v>
      </c>
      <c r="C319" s="7">
        <v>45233</v>
      </c>
      <c r="D319" s="3" t="s">
        <v>74</v>
      </c>
      <c r="E319" s="3"/>
      <c r="F319" s="3"/>
    </row>
    <row r="320" spans="1:6" hidden="1" x14ac:dyDescent="0.3">
      <c r="A320" s="7" t="str">
        <f>BD_ControlRegimen[[#This Row],[FECHA]]&amp;BD_ControlRegimen[[#This Row],[NOMBRE]]</f>
        <v>45234AGUILAR VASQUEZ GIAN CARLO</v>
      </c>
      <c r="B320" s="83">
        <f>WEEKNUM(BD_ControlRegimen[[#This Row],[FECHA]],2)</f>
        <v>45</v>
      </c>
      <c r="C320" s="7">
        <v>45234</v>
      </c>
      <c r="D320" s="3" t="s">
        <v>74</v>
      </c>
      <c r="E320" s="3"/>
      <c r="F320" s="3"/>
    </row>
    <row r="321" spans="1:6" hidden="1" x14ac:dyDescent="0.3">
      <c r="A321" s="7" t="str">
        <f>BD_ControlRegimen[[#This Row],[FECHA]]&amp;BD_ControlRegimen[[#This Row],[NOMBRE]]</f>
        <v>45235AGUILAR VASQUEZ GIAN CARLO</v>
      </c>
      <c r="B321" s="83">
        <f>WEEKNUM(BD_ControlRegimen[[#This Row],[FECHA]],2)</f>
        <v>45</v>
      </c>
      <c r="C321" s="7">
        <v>45235</v>
      </c>
      <c r="D321" s="3" t="s">
        <v>74</v>
      </c>
      <c r="E321" s="3"/>
      <c r="F321" s="3"/>
    </row>
    <row r="322" spans="1:6" hidden="1" x14ac:dyDescent="0.3">
      <c r="A322" s="7" t="str">
        <f>BD_ControlRegimen[[#This Row],[FECHA]]&amp;BD_ControlRegimen[[#This Row],[NOMBRE]]</f>
        <v>45236AGUILAR VASQUEZ GIAN CARLO</v>
      </c>
      <c r="B322" s="83">
        <f>WEEKNUM(BD_ControlRegimen[[#This Row],[FECHA]],2)</f>
        <v>46</v>
      </c>
      <c r="C322" s="7">
        <v>45236</v>
      </c>
      <c r="D322" s="3" t="s">
        <v>74</v>
      </c>
      <c r="E322" s="3"/>
      <c r="F322" s="3"/>
    </row>
    <row r="323" spans="1:6" hidden="1" x14ac:dyDescent="0.3">
      <c r="A323" s="7" t="str">
        <f>BD_ControlRegimen[[#This Row],[FECHA]]&amp;BD_ControlRegimen[[#This Row],[NOMBRE]]</f>
        <v>45237AGUILAR VASQUEZ GIAN CARLO</v>
      </c>
      <c r="B323" s="83">
        <f>WEEKNUM(BD_ControlRegimen[[#This Row],[FECHA]],2)</f>
        <v>46</v>
      </c>
      <c r="C323" s="7">
        <v>45237</v>
      </c>
      <c r="D323" s="3" t="s">
        <v>74</v>
      </c>
      <c r="E323" s="3"/>
      <c r="F323" s="3"/>
    </row>
    <row r="324" spans="1:6" hidden="1" x14ac:dyDescent="0.3">
      <c r="A324" s="7" t="str">
        <f>BD_ControlRegimen[[#This Row],[FECHA]]&amp;BD_ControlRegimen[[#This Row],[NOMBRE]]</f>
        <v>45238AGUILAR VASQUEZ GIAN CARLO</v>
      </c>
      <c r="B324" s="83">
        <f>WEEKNUM(BD_ControlRegimen[[#This Row],[FECHA]],2)</f>
        <v>46</v>
      </c>
      <c r="C324" s="7">
        <v>45238</v>
      </c>
      <c r="D324" s="3" t="s">
        <v>74</v>
      </c>
      <c r="E324" s="3"/>
      <c r="F324" s="3"/>
    </row>
    <row r="325" spans="1:6" hidden="1" x14ac:dyDescent="0.3">
      <c r="A325" s="7" t="str">
        <f>BD_ControlRegimen[[#This Row],[FECHA]]&amp;BD_ControlRegimen[[#This Row],[NOMBRE]]</f>
        <v>45239AGUILAR VASQUEZ GIAN CARLO</v>
      </c>
      <c r="B325" s="83">
        <f>WEEKNUM(BD_ControlRegimen[[#This Row],[FECHA]],2)</f>
        <v>46</v>
      </c>
      <c r="C325" s="7">
        <v>45239</v>
      </c>
      <c r="D325" s="3" t="s">
        <v>74</v>
      </c>
      <c r="E325" s="3"/>
      <c r="F325" s="3"/>
    </row>
    <row r="326" spans="1:6" hidden="1" x14ac:dyDescent="0.3">
      <c r="A326" s="7" t="str">
        <f>BD_ControlRegimen[[#This Row],[FECHA]]&amp;BD_ControlRegimen[[#This Row],[NOMBRE]]</f>
        <v>45240AGUILAR VASQUEZ GIAN CARLO</v>
      </c>
      <c r="B326" s="83">
        <f>WEEKNUM(BD_ControlRegimen[[#This Row],[FECHA]],2)</f>
        <v>46</v>
      </c>
      <c r="C326" s="7">
        <v>45240</v>
      </c>
      <c r="D326" s="3" t="s">
        <v>74</v>
      </c>
      <c r="E326" s="3"/>
      <c r="F326" s="3"/>
    </row>
    <row r="327" spans="1:6" hidden="1" x14ac:dyDescent="0.3">
      <c r="A327" s="7" t="str">
        <f>BD_ControlRegimen[[#This Row],[FECHA]]&amp;BD_ControlRegimen[[#This Row],[NOMBRE]]</f>
        <v>45241AGUILAR VASQUEZ GIAN CARLO</v>
      </c>
      <c r="B327" s="83">
        <f>WEEKNUM(BD_ControlRegimen[[#This Row],[FECHA]],2)</f>
        <v>46</v>
      </c>
      <c r="C327" s="7">
        <v>45241</v>
      </c>
      <c r="D327" s="3" t="s">
        <v>74</v>
      </c>
      <c r="E327" s="3"/>
      <c r="F327" s="3"/>
    </row>
    <row r="328" spans="1:6" hidden="1" x14ac:dyDescent="0.3">
      <c r="A328" s="7" t="str">
        <f>BD_ControlRegimen[[#This Row],[FECHA]]&amp;BD_ControlRegimen[[#This Row],[NOMBRE]]</f>
        <v>45242AGUILAR VASQUEZ GIAN CARLO</v>
      </c>
      <c r="B328" s="83">
        <f>WEEKNUM(BD_ControlRegimen[[#This Row],[FECHA]],2)</f>
        <v>46</v>
      </c>
      <c r="C328" s="7">
        <v>45242</v>
      </c>
      <c r="D328" s="3" t="s">
        <v>74</v>
      </c>
      <c r="E328" s="3"/>
      <c r="F328" s="3"/>
    </row>
    <row r="329" spans="1:6" hidden="1" x14ac:dyDescent="0.3">
      <c r="A329" s="7" t="str">
        <f>BD_ControlRegimen[[#This Row],[FECHA]]&amp;BD_ControlRegimen[[#This Row],[NOMBRE]]</f>
        <v>45243AGUILAR VASQUEZ GIAN CARLO</v>
      </c>
      <c r="B329" s="83">
        <f>WEEKNUM(BD_ControlRegimen[[#This Row],[FECHA]],2)</f>
        <v>47</v>
      </c>
      <c r="C329" s="7">
        <v>45243</v>
      </c>
      <c r="D329" s="3" t="s">
        <v>74</v>
      </c>
      <c r="E329" s="3"/>
      <c r="F329" s="3"/>
    </row>
    <row r="330" spans="1:6" hidden="1" x14ac:dyDescent="0.3">
      <c r="A330" s="7" t="str">
        <f>BD_ControlRegimen[[#This Row],[FECHA]]&amp;BD_ControlRegimen[[#This Row],[NOMBRE]]</f>
        <v>45244AGUILAR VASQUEZ GIAN CARLO</v>
      </c>
      <c r="B330" s="83">
        <f>WEEKNUM(BD_ControlRegimen[[#This Row],[FECHA]],2)</f>
        <v>47</v>
      </c>
      <c r="C330" s="7">
        <v>45244</v>
      </c>
      <c r="D330" s="3" t="s">
        <v>74</v>
      </c>
      <c r="E330" s="3"/>
      <c r="F330" s="3"/>
    </row>
    <row r="331" spans="1:6" hidden="1" x14ac:dyDescent="0.3">
      <c r="A331" s="7" t="str">
        <f>BD_ControlRegimen[[#This Row],[FECHA]]&amp;BD_ControlRegimen[[#This Row],[NOMBRE]]</f>
        <v>45245AGUILAR VASQUEZ GIAN CARLO</v>
      </c>
      <c r="B331" s="83">
        <f>WEEKNUM(BD_ControlRegimen[[#This Row],[FECHA]],2)</f>
        <v>47</v>
      </c>
      <c r="C331" s="7">
        <v>45245</v>
      </c>
      <c r="D331" s="3" t="s">
        <v>74</v>
      </c>
      <c r="E331" s="3"/>
      <c r="F331" s="3"/>
    </row>
    <row r="332" spans="1:6" hidden="1" x14ac:dyDescent="0.3">
      <c r="A332" s="7" t="str">
        <f>BD_ControlRegimen[[#This Row],[FECHA]]&amp;BD_ControlRegimen[[#This Row],[NOMBRE]]</f>
        <v>45246AGUILAR VASQUEZ GIAN CARLO</v>
      </c>
      <c r="B332" s="83">
        <f>WEEKNUM(BD_ControlRegimen[[#This Row],[FECHA]],2)</f>
        <v>47</v>
      </c>
      <c r="C332" s="7">
        <v>45246</v>
      </c>
      <c r="D332" s="3" t="s">
        <v>74</v>
      </c>
      <c r="E332" s="3"/>
      <c r="F332" s="3"/>
    </row>
    <row r="333" spans="1:6" hidden="1" x14ac:dyDescent="0.3">
      <c r="A333" s="7" t="str">
        <f>BD_ControlRegimen[[#This Row],[FECHA]]&amp;BD_ControlRegimen[[#This Row],[NOMBRE]]</f>
        <v>45247AGUILAR VASQUEZ GIAN CARLO</v>
      </c>
      <c r="B333" s="83">
        <f>WEEKNUM(BD_ControlRegimen[[#This Row],[FECHA]],2)</f>
        <v>47</v>
      </c>
      <c r="C333" s="7">
        <v>45247</v>
      </c>
      <c r="D333" s="3" t="s">
        <v>74</v>
      </c>
      <c r="E333" s="3"/>
      <c r="F333" s="3"/>
    </row>
    <row r="334" spans="1:6" hidden="1" x14ac:dyDescent="0.3">
      <c r="A334" s="7" t="str">
        <f>BD_ControlRegimen[[#This Row],[FECHA]]&amp;BD_ControlRegimen[[#This Row],[NOMBRE]]</f>
        <v>45248AGUILAR VASQUEZ GIAN CARLO</v>
      </c>
      <c r="B334" s="83">
        <f>WEEKNUM(BD_ControlRegimen[[#This Row],[FECHA]],2)</f>
        <v>47</v>
      </c>
      <c r="C334" s="7">
        <v>45248</v>
      </c>
      <c r="D334" s="3" t="s">
        <v>74</v>
      </c>
      <c r="E334" s="3"/>
      <c r="F334" s="3"/>
    </row>
    <row r="335" spans="1:6" hidden="1" x14ac:dyDescent="0.3">
      <c r="A335" s="7" t="str">
        <f>BD_ControlRegimen[[#This Row],[FECHA]]&amp;BD_ControlRegimen[[#This Row],[NOMBRE]]</f>
        <v>45249AGUILAR VASQUEZ GIAN CARLO</v>
      </c>
      <c r="B335" s="83">
        <f>WEEKNUM(BD_ControlRegimen[[#This Row],[FECHA]],2)</f>
        <v>47</v>
      </c>
      <c r="C335" s="7">
        <v>45249</v>
      </c>
      <c r="D335" s="3" t="s">
        <v>74</v>
      </c>
      <c r="E335" s="3"/>
      <c r="F335" s="3"/>
    </row>
    <row r="336" spans="1:6" hidden="1" x14ac:dyDescent="0.3">
      <c r="A336" s="7" t="str">
        <f>BD_ControlRegimen[[#This Row],[FECHA]]&amp;BD_ControlRegimen[[#This Row],[NOMBRE]]</f>
        <v>45250AGUILAR VASQUEZ GIAN CARLO</v>
      </c>
      <c r="B336" s="83">
        <f>WEEKNUM(BD_ControlRegimen[[#This Row],[FECHA]],2)</f>
        <v>48</v>
      </c>
      <c r="C336" s="7">
        <v>45250</v>
      </c>
      <c r="D336" s="3" t="s">
        <v>74</v>
      </c>
      <c r="E336" s="3"/>
      <c r="F336" s="3"/>
    </row>
    <row r="337" spans="1:6" hidden="1" x14ac:dyDescent="0.3">
      <c r="A337" s="7" t="str">
        <f>BD_ControlRegimen[[#This Row],[FECHA]]&amp;BD_ControlRegimen[[#This Row],[NOMBRE]]</f>
        <v>45251AGUILAR VASQUEZ GIAN CARLO</v>
      </c>
      <c r="B337" s="83">
        <f>WEEKNUM(BD_ControlRegimen[[#This Row],[FECHA]],2)</f>
        <v>48</v>
      </c>
      <c r="C337" s="7">
        <v>45251</v>
      </c>
      <c r="D337" s="3" t="s">
        <v>74</v>
      </c>
      <c r="E337" s="3"/>
      <c r="F337" s="3"/>
    </row>
    <row r="338" spans="1:6" hidden="1" x14ac:dyDescent="0.3">
      <c r="A338" s="7" t="str">
        <f>BD_ControlRegimen[[#This Row],[FECHA]]&amp;BD_ControlRegimen[[#This Row],[NOMBRE]]</f>
        <v>45252AGUILAR VASQUEZ GIAN CARLO</v>
      </c>
      <c r="B338" s="83">
        <f>WEEKNUM(BD_ControlRegimen[[#This Row],[FECHA]],2)</f>
        <v>48</v>
      </c>
      <c r="C338" s="7">
        <v>45252</v>
      </c>
      <c r="D338" s="3" t="s">
        <v>74</v>
      </c>
      <c r="E338" s="3"/>
      <c r="F338" s="3"/>
    </row>
    <row r="339" spans="1:6" hidden="1" x14ac:dyDescent="0.3">
      <c r="A339" s="7" t="str">
        <f>BD_ControlRegimen[[#This Row],[FECHA]]&amp;BD_ControlRegimen[[#This Row],[NOMBRE]]</f>
        <v>45253AGUILAR VASQUEZ GIAN CARLO</v>
      </c>
      <c r="B339" s="83">
        <f>WEEKNUM(BD_ControlRegimen[[#This Row],[FECHA]],2)</f>
        <v>48</v>
      </c>
      <c r="C339" s="7">
        <v>45253</v>
      </c>
      <c r="D339" s="3" t="s">
        <v>74</v>
      </c>
      <c r="E339" s="3"/>
      <c r="F339" s="3"/>
    </row>
    <row r="340" spans="1:6" hidden="1" x14ac:dyDescent="0.3">
      <c r="A340" s="7" t="str">
        <f>BD_ControlRegimen[[#This Row],[FECHA]]&amp;BD_ControlRegimen[[#This Row],[NOMBRE]]</f>
        <v>45254AGUILAR VASQUEZ GIAN CARLO</v>
      </c>
      <c r="B340" s="83">
        <f>WEEKNUM(BD_ControlRegimen[[#This Row],[FECHA]],2)</f>
        <v>48</v>
      </c>
      <c r="C340" s="7">
        <v>45254</v>
      </c>
      <c r="D340" s="3" t="s">
        <v>74</v>
      </c>
      <c r="E340" s="3"/>
      <c r="F340" s="3"/>
    </row>
    <row r="341" spans="1:6" hidden="1" x14ac:dyDescent="0.3">
      <c r="A341" s="7" t="str">
        <f>BD_ControlRegimen[[#This Row],[FECHA]]&amp;BD_ControlRegimen[[#This Row],[NOMBRE]]</f>
        <v>45255AGUILAR VASQUEZ GIAN CARLO</v>
      </c>
      <c r="B341" s="83">
        <f>WEEKNUM(BD_ControlRegimen[[#This Row],[FECHA]],2)</f>
        <v>48</v>
      </c>
      <c r="C341" s="7">
        <v>45255</v>
      </c>
      <c r="D341" s="3" t="s">
        <v>74</v>
      </c>
      <c r="E341" s="3"/>
      <c r="F341" s="3"/>
    </row>
    <row r="342" spans="1:6" hidden="1" x14ac:dyDescent="0.3">
      <c r="A342" s="7" t="str">
        <f>BD_ControlRegimen[[#This Row],[FECHA]]&amp;BD_ControlRegimen[[#This Row],[NOMBRE]]</f>
        <v>45256AGUILAR VASQUEZ GIAN CARLO</v>
      </c>
      <c r="B342" s="83">
        <f>WEEKNUM(BD_ControlRegimen[[#This Row],[FECHA]],2)</f>
        <v>48</v>
      </c>
      <c r="C342" s="7">
        <v>45256</v>
      </c>
      <c r="D342" s="3" t="s">
        <v>74</v>
      </c>
      <c r="E342" s="3"/>
      <c r="F342" s="3"/>
    </row>
    <row r="343" spans="1:6" hidden="1" x14ac:dyDescent="0.3">
      <c r="A343" s="7" t="str">
        <f>BD_ControlRegimen[[#This Row],[FECHA]]&amp;BD_ControlRegimen[[#This Row],[NOMBRE]]</f>
        <v>45257AGUILAR VASQUEZ GIAN CARLO</v>
      </c>
      <c r="B343" s="83">
        <f>WEEKNUM(BD_ControlRegimen[[#This Row],[FECHA]],2)</f>
        <v>49</v>
      </c>
      <c r="C343" s="7">
        <v>45257</v>
      </c>
      <c r="D343" s="3" t="s">
        <v>74</v>
      </c>
      <c r="E343" s="3"/>
      <c r="F343" s="3"/>
    </row>
    <row r="344" spans="1:6" hidden="1" x14ac:dyDescent="0.3">
      <c r="A344" s="7" t="str">
        <f>BD_ControlRegimen[[#This Row],[FECHA]]&amp;BD_ControlRegimen[[#This Row],[NOMBRE]]</f>
        <v>45258AGUILAR VASQUEZ GIAN CARLO</v>
      </c>
      <c r="B344" s="83">
        <f>WEEKNUM(BD_ControlRegimen[[#This Row],[FECHA]],2)</f>
        <v>49</v>
      </c>
      <c r="C344" s="7">
        <v>45258</v>
      </c>
      <c r="D344" s="3" t="s">
        <v>74</v>
      </c>
      <c r="E344" s="3"/>
      <c r="F344" s="3"/>
    </row>
    <row r="345" spans="1:6" hidden="1" x14ac:dyDescent="0.3">
      <c r="A345" s="7" t="str">
        <f>BD_ControlRegimen[[#This Row],[FECHA]]&amp;BD_ControlRegimen[[#This Row],[NOMBRE]]</f>
        <v>45259AGUILAR VASQUEZ GIAN CARLO</v>
      </c>
      <c r="B345" s="83">
        <f>WEEKNUM(BD_ControlRegimen[[#This Row],[FECHA]],2)</f>
        <v>49</v>
      </c>
      <c r="C345" s="7">
        <v>45259</v>
      </c>
      <c r="D345" s="3" t="s">
        <v>74</v>
      </c>
      <c r="E345" s="3"/>
      <c r="F345" s="3"/>
    </row>
    <row r="346" spans="1:6" hidden="1" x14ac:dyDescent="0.3">
      <c r="A346" s="7" t="str">
        <f>BD_ControlRegimen[[#This Row],[FECHA]]&amp;BD_ControlRegimen[[#This Row],[NOMBRE]]</f>
        <v>45260AGUILAR VASQUEZ GIAN CARLO</v>
      </c>
      <c r="B346" s="83">
        <f>WEEKNUM(BD_ControlRegimen[[#This Row],[FECHA]],2)</f>
        <v>49</v>
      </c>
      <c r="C346" s="7">
        <v>45260</v>
      </c>
      <c r="D346" s="3" t="s">
        <v>74</v>
      </c>
      <c r="E346" s="3"/>
      <c r="F346" s="3"/>
    </row>
    <row r="347" spans="1:6" hidden="1" x14ac:dyDescent="0.3">
      <c r="A347" s="7" t="str">
        <f>BD_ControlRegimen[[#This Row],[FECHA]]&amp;BD_ControlRegimen[[#This Row],[NOMBRE]]</f>
        <v>45261AGUILAR VASQUEZ GIAN CARLO</v>
      </c>
      <c r="B347" s="83">
        <f>WEEKNUM(BD_ControlRegimen[[#This Row],[FECHA]],2)</f>
        <v>49</v>
      </c>
      <c r="C347" s="7">
        <v>45261</v>
      </c>
      <c r="D347" s="3" t="s">
        <v>74</v>
      </c>
      <c r="E347" s="3"/>
      <c r="F347" s="3"/>
    </row>
    <row r="348" spans="1:6" hidden="1" x14ac:dyDescent="0.3">
      <c r="A348" s="7" t="str">
        <f>BD_ControlRegimen[[#This Row],[FECHA]]&amp;BD_ControlRegimen[[#This Row],[NOMBRE]]</f>
        <v>45262AGUILAR VASQUEZ GIAN CARLO</v>
      </c>
      <c r="B348" s="83">
        <f>WEEKNUM(BD_ControlRegimen[[#This Row],[FECHA]],2)</f>
        <v>49</v>
      </c>
      <c r="C348" s="7">
        <v>45262</v>
      </c>
      <c r="D348" s="3" t="s">
        <v>74</v>
      </c>
      <c r="E348" s="3"/>
      <c r="F348" s="3"/>
    </row>
    <row r="349" spans="1:6" hidden="1" x14ac:dyDescent="0.3">
      <c r="A349" s="7" t="str">
        <f>BD_ControlRegimen[[#This Row],[FECHA]]&amp;BD_ControlRegimen[[#This Row],[NOMBRE]]</f>
        <v>45263AGUILAR VASQUEZ GIAN CARLO</v>
      </c>
      <c r="B349" s="83">
        <f>WEEKNUM(BD_ControlRegimen[[#This Row],[FECHA]],2)</f>
        <v>49</v>
      </c>
      <c r="C349" s="7">
        <v>45263</v>
      </c>
      <c r="D349" s="3" t="s">
        <v>74</v>
      </c>
      <c r="E349" s="3"/>
      <c r="F349" s="3"/>
    </row>
    <row r="350" spans="1:6" hidden="1" x14ac:dyDescent="0.3">
      <c r="A350" s="7" t="str">
        <f>BD_ControlRegimen[[#This Row],[FECHA]]&amp;BD_ControlRegimen[[#This Row],[NOMBRE]]</f>
        <v>45264AGUILAR VASQUEZ GIAN CARLO</v>
      </c>
      <c r="B350" s="83">
        <f>WEEKNUM(BD_ControlRegimen[[#This Row],[FECHA]],2)</f>
        <v>50</v>
      </c>
      <c r="C350" s="7">
        <v>45264</v>
      </c>
      <c r="D350" s="3" t="s">
        <v>74</v>
      </c>
      <c r="E350" s="3"/>
      <c r="F350" s="3"/>
    </row>
    <row r="351" spans="1:6" hidden="1" x14ac:dyDescent="0.3">
      <c r="A351" s="7" t="str">
        <f>BD_ControlRegimen[[#This Row],[FECHA]]&amp;BD_ControlRegimen[[#This Row],[NOMBRE]]</f>
        <v>45265AGUILAR VASQUEZ GIAN CARLO</v>
      </c>
      <c r="B351" s="83">
        <f>WEEKNUM(BD_ControlRegimen[[#This Row],[FECHA]],2)</f>
        <v>50</v>
      </c>
      <c r="C351" s="7">
        <v>45265</v>
      </c>
      <c r="D351" s="3" t="s">
        <v>74</v>
      </c>
      <c r="E351" s="3"/>
      <c r="F351" s="3"/>
    </row>
    <row r="352" spans="1:6" hidden="1" x14ac:dyDescent="0.3">
      <c r="A352" s="7" t="str">
        <f>BD_ControlRegimen[[#This Row],[FECHA]]&amp;BD_ControlRegimen[[#This Row],[NOMBRE]]</f>
        <v>45266AGUILAR VASQUEZ GIAN CARLO</v>
      </c>
      <c r="B352" s="83">
        <f>WEEKNUM(BD_ControlRegimen[[#This Row],[FECHA]],2)</f>
        <v>50</v>
      </c>
      <c r="C352" s="7">
        <v>45266</v>
      </c>
      <c r="D352" s="3" t="s">
        <v>74</v>
      </c>
      <c r="E352" s="3"/>
      <c r="F352" s="3"/>
    </row>
    <row r="353" spans="1:6" hidden="1" x14ac:dyDescent="0.3">
      <c r="A353" s="7" t="str">
        <f>BD_ControlRegimen[[#This Row],[FECHA]]&amp;BD_ControlRegimen[[#This Row],[NOMBRE]]</f>
        <v>45267AGUILAR VASQUEZ GIAN CARLO</v>
      </c>
      <c r="B353" s="83">
        <f>WEEKNUM(BD_ControlRegimen[[#This Row],[FECHA]],2)</f>
        <v>50</v>
      </c>
      <c r="C353" s="7">
        <v>45267</v>
      </c>
      <c r="D353" s="3" t="s">
        <v>74</v>
      </c>
      <c r="E353" s="3"/>
      <c r="F353" s="3"/>
    </row>
    <row r="354" spans="1:6" hidden="1" x14ac:dyDescent="0.3">
      <c r="A354" s="7" t="str">
        <f>BD_ControlRegimen[[#This Row],[FECHA]]&amp;BD_ControlRegimen[[#This Row],[NOMBRE]]</f>
        <v>45268AGUILAR VASQUEZ GIAN CARLO</v>
      </c>
      <c r="B354" s="83">
        <f>WEEKNUM(BD_ControlRegimen[[#This Row],[FECHA]],2)</f>
        <v>50</v>
      </c>
      <c r="C354" s="7">
        <v>45268</v>
      </c>
      <c r="D354" s="3" t="s">
        <v>74</v>
      </c>
      <c r="E354" s="3"/>
      <c r="F354" s="3"/>
    </row>
    <row r="355" spans="1:6" hidden="1" x14ac:dyDescent="0.3">
      <c r="A355" s="7" t="str">
        <f>BD_ControlRegimen[[#This Row],[FECHA]]&amp;BD_ControlRegimen[[#This Row],[NOMBRE]]</f>
        <v>45269AGUILAR VASQUEZ GIAN CARLO</v>
      </c>
      <c r="B355" s="83">
        <f>WEEKNUM(BD_ControlRegimen[[#This Row],[FECHA]],2)</f>
        <v>50</v>
      </c>
      <c r="C355" s="7">
        <v>45269</v>
      </c>
      <c r="D355" s="3" t="s">
        <v>74</v>
      </c>
      <c r="E355" s="3"/>
      <c r="F355" s="3"/>
    </row>
    <row r="356" spans="1:6" hidden="1" x14ac:dyDescent="0.3">
      <c r="A356" s="7" t="str">
        <f>BD_ControlRegimen[[#This Row],[FECHA]]&amp;BD_ControlRegimen[[#This Row],[NOMBRE]]</f>
        <v>45270AGUILAR VASQUEZ GIAN CARLO</v>
      </c>
      <c r="B356" s="83">
        <f>WEEKNUM(BD_ControlRegimen[[#This Row],[FECHA]],2)</f>
        <v>50</v>
      </c>
      <c r="C356" s="7">
        <v>45270</v>
      </c>
      <c r="D356" s="3" t="s">
        <v>74</v>
      </c>
      <c r="E356" s="3"/>
      <c r="F356" s="3"/>
    </row>
    <row r="357" spans="1:6" hidden="1" x14ac:dyDescent="0.3">
      <c r="A357" s="7" t="str">
        <f>BD_ControlRegimen[[#This Row],[FECHA]]&amp;BD_ControlRegimen[[#This Row],[NOMBRE]]</f>
        <v>45271AGUILAR VASQUEZ GIAN CARLO</v>
      </c>
      <c r="B357" s="83">
        <f>WEEKNUM(BD_ControlRegimen[[#This Row],[FECHA]],2)</f>
        <v>51</v>
      </c>
      <c r="C357" s="7">
        <v>45271</v>
      </c>
      <c r="D357" s="3" t="s">
        <v>74</v>
      </c>
      <c r="E357" s="3"/>
      <c r="F357" s="3"/>
    </row>
    <row r="358" spans="1:6" hidden="1" x14ac:dyDescent="0.3">
      <c r="A358" s="7" t="str">
        <f>BD_ControlRegimen[[#This Row],[FECHA]]&amp;BD_ControlRegimen[[#This Row],[NOMBRE]]</f>
        <v>45272AGUILAR VASQUEZ GIAN CARLO</v>
      </c>
      <c r="B358" s="83">
        <f>WEEKNUM(BD_ControlRegimen[[#This Row],[FECHA]],2)</f>
        <v>51</v>
      </c>
      <c r="C358" s="7">
        <v>45272</v>
      </c>
      <c r="D358" s="3" t="s">
        <v>74</v>
      </c>
      <c r="E358" s="3"/>
      <c r="F358" s="3"/>
    </row>
    <row r="359" spans="1:6" hidden="1" x14ac:dyDescent="0.3">
      <c r="A359" s="7" t="str">
        <f>BD_ControlRegimen[[#This Row],[FECHA]]&amp;BD_ControlRegimen[[#This Row],[NOMBRE]]</f>
        <v>45273AGUILAR VASQUEZ GIAN CARLO</v>
      </c>
      <c r="B359" s="83">
        <f>WEEKNUM(BD_ControlRegimen[[#This Row],[FECHA]],2)</f>
        <v>51</v>
      </c>
      <c r="C359" s="7">
        <v>45273</v>
      </c>
      <c r="D359" s="3" t="s">
        <v>74</v>
      </c>
      <c r="E359" s="3"/>
      <c r="F359" s="3"/>
    </row>
    <row r="360" spans="1:6" hidden="1" x14ac:dyDescent="0.3">
      <c r="A360" s="7" t="str">
        <f>BD_ControlRegimen[[#This Row],[FECHA]]&amp;BD_ControlRegimen[[#This Row],[NOMBRE]]</f>
        <v>45274AGUILAR VASQUEZ GIAN CARLO</v>
      </c>
      <c r="B360" s="83">
        <f>WEEKNUM(BD_ControlRegimen[[#This Row],[FECHA]],2)</f>
        <v>51</v>
      </c>
      <c r="C360" s="7">
        <v>45274</v>
      </c>
      <c r="D360" s="3" t="s">
        <v>74</v>
      </c>
      <c r="E360" s="3"/>
      <c r="F360" s="3"/>
    </row>
    <row r="361" spans="1:6" hidden="1" x14ac:dyDescent="0.3">
      <c r="A361" s="7" t="str">
        <f>BD_ControlRegimen[[#This Row],[FECHA]]&amp;BD_ControlRegimen[[#This Row],[NOMBRE]]</f>
        <v>45275AGUILAR VASQUEZ GIAN CARLO</v>
      </c>
      <c r="B361" s="83">
        <f>WEEKNUM(BD_ControlRegimen[[#This Row],[FECHA]],2)</f>
        <v>51</v>
      </c>
      <c r="C361" s="7">
        <v>45275</v>
      </c>
      <c r="D361" s="3" t="s">
        <v>74</v>
      </c>
      <c r="E361" s="3"/>
      <c r="F361" s="3"/>
    </row>
    <row r="362" spans="1:6" hidden="1" x14ac:dyDescent="0.3">
      <c r="A362" s="7" t="str">
        <f>BD_ControlRegimen[[#This Row],[FECHA]]&amp;BD_ControlRegimen[[#This Row],[NOMBRE]]</f>
        <v>45276AGUILAR VASQUEZ GIAN CARLO</v>
      </c>
      <c r="B362" s="83">
        <f>WEEKNUM(BD_ControlRegimen[[#This Row],[FECHA]],2)</f>
        <v>51</v>
      </c>
      <c r="C362" s="7">
        <v>45276</v>
      </c>
      <c r="D362" s="3" t="s">
        <v>74</v>
      </c>
      <c r="E362" s="3"/>
      <c r="F362" s="3"/>
    </row>
    <row r="363" spans="1:6" hidden="1" x14ac:dyDescent="0.3">
      <c r="A363" s="7" t="str">
        <f>BD_ControlRegimen[[#This Row],[FECHA]]&amp;BD_ControlRegimen[[#This Row],[NOMBRE]]</f>
        <v>45277AGUILAR VASQUEZ GIAN CARLO</v>
      </c>
      <c r="B363" s="83">
        <f>WEEKNUM(BD_ControlRegimen[[#This Row],[FECHA]],2)</f>
        <v>51</v>
      </c>
      <c r="C363" s="7">
        <v>45277</v>
      </c>
      <c r="D363" s="3" t="s">
        <v>74</v>
      </c>
      <c r="E363" s="3"/>
      <c r="F363" s="3"/>
    </row>
    <row r="364" spans="1:6" hidden="1" x14ac:dyDescent="0.3">
      <c r="A364" s="7" t="str">
        <f>BD_ControlRegimen[[#This Row],[FECHA]]&amp;BD_ControlRegimen[[#This Row],[NOMBRE]]</f>
        <v>45278AGUILAR VASQUEZ GIAN CARLO</v>
      </c>
      <c r="B364" s="83">
        <f>WEEKNUM(BD_ControlRegimen[[#This Row],[FECHA]],2)</f>
        <v>52</v>
      </c>
      <c r="C364" s="7">
        <v>45278</v>
      </c>
      <c r="D364" s="3" t="s">
        <v>74</v>
      </c>
      <c r="E364" s="3"/>
      <c r="F364" s="3"/>
    </row>
    <row r="365" spans="1:6" hidden="1" x14ac:dyDescent="0.3">
      <c r="A365" s="7" t="str">
        <f>BD_ControlRegimen[[#This Row],[FECHA]]&amp;BD_ControlRegimen[[#This Row],[NOMBRE]]</f>
        <v>45279AGUILAR VASQUEZ GIAN CARLO</v>
      </c>
      <c r="B365" s="83">
        <f>WEEKNUM(BD_ControlRegimen[[#This Row],[FECHA]],2)</f>
        <v>52</v>
      </c>
      <c r="C365" s="7">
        <v>45279</v>
      </c>
      <c r="D365" s="3" t="s">
        <v>74</v>
      </c>
      <c r="E365" s="3"/>
      <c r="F365" s="3"/>
    </row>
    <row r="366" spans="1:6" hidden="1" x14ac:dyDescent="0.3">
      <c r="A366" s="7" t="str">
        <f>BD_ControlRegimen[[#This Row],[FECHA]]&amp;BD_ControlRegimen[[#This Row],[NOMBRE]]</f>
        <v>45280AGUILAR VASQUEZ GIAN CARLO</v>
      </c>
      <c r="B366" s="83">
        <f>WEEKNUM(BD_ControlRegimen[[#This Row],[FECHA]],2)</f>
        <v>52</v>
      </c>
      <c r="C366" s="7">
        <v>45280</v>
      </c>
      <c r="D366" s="3" t="s">
        <v>74</v>
      </c>
      <c r="E366" s="3"/>
      <c r="F366" s="3"/>
    </row>
    <row r="367" spans="1:6" hidden="1" x14ac:dyDescent="0.3">
      <c r="A367" s="7" t="str">
        <f>BD_ControlRegimen[[#This Row],[FECHA]]&amp;BD_ControlRegimen[[#This Row],[NOMBRE]]</f>
        <v>45281AGUILAR VASQUEZ GIAN CARLO</v>
      </c>
      <c r="B367" s="83">
        <f>WEEKNUM(BD_ControlRegimen[[#This Row],[FECHA]],2)</f>
        <v>52</v>
      </c>
      <c r="C367" s="7">
        <v>45281</v>
      </c>
      <c r="D367" s="3" t="s">
        <v>74</v>
      </c>
      <c r="E367" s="3"/>
      <c r="F367" s="3"/>
    </row>
    <row r="368" spans="1:6" hidden="1" x14ac:dyDescent="0.3">
      <c r="A368" s="7" t="str">
        <f>BD_ControlRegimen[[#This Row],[FECHA]]&amp;BD_ControlRegimen[[#This Row],[NOMBRE]]</f>
        <v>45282AGUILAR VASQUEZ GIAN CARLO</v>
      </c>
      <c r="B368" s="83">
        <f>WEEKNUM(BD_ControlRegimen[[#This Row],[FECHA]],2)</f>
        <v>52</v>
      </c>
      <c r="C368" s="7">
        <v>45282</v>
      </c>
      <c r="D368" s="3" t="s">
        <v>74</v>
      </c>
      <c r="E368" s="3"/>
      <c r="F368" s="3"/>
    </row>
    <row r="369" spans="1:6" hidden="1" x14ac:dyDescent="0.3">
      <c r="A369" s="7" t="str">
        <f>BD_ControlRegimen[[#This Row],[FECHA]]&amp;BD_ControlRegimen[[#This Row],[NOMBRE]]</f>
        <v>45283AGUILAR VASQUEZ GIAN CARLO</v>
      </c>
      <c r="B369" s="83">
        <f>WEEKNUM(BD_ControlRegimen[[#This Row],[FECHA]],2)</f>
        <v>52</v>
      </c>
      <c r="C369" s="7">
        <v>45283</v>
      </c>
      <c r="D369" s="3" t="s">
        <v>74</v>
      </c>
      <c r="E369" s="3"/>
      <c r="F369" s="3"/>
    </row>
    <row r="370" spans="1:6" hidden="1" x14ac:dyDescent="0.3">
      <c r="A370" s="7" t="str">
        <f>BD_ControlRegimen[[#This Row],[FECHA]]&amp;BD_ControlRegimen[[#This Row],[NOMBRE]]</f>
        <v>45284AGUILAR VASQUEZ GIAN CARLO</v>
      </c>
      <c r="B370" s="83">
        <f>WEEKNUM(BD_ControlRegimen[[#This Row],[FECHA]],2)</f>
        <v>52</v>
      </c>
      <c r="C370" s="7">
        <v>45284</v>
      </c>
      <c r="D370" s="3" t="s">
        <v>74</v>
      </c>
      <c r="E370" s="3"/>
      <c r="F370" s="3"/>
    </row>
    <row r="371" spans="1:6" hidden="1" x14ac:dyDescent="0.3">
      <c r="A371" s="7" t="str">
        <f>BD_ControlRegimen[[#This Row],[FECHA]]&amp;BD_ControlRegimen[[#This Row],[NOMBRE]]</f>
        <v>45285AGUILAR VASQUEZ GIAN CARLO</v>
      </c>
      <c r="B371" s="83">
        <f>WEEKNUM(BD_ControlRegimen[[#This Row],[FECHA]],2)</f>
        <v>53</v>
      </c>
      <c r="C371" s="7">
        <v>45285</v>
      </c>
      <c r="D371" s="3" t="s">
        <v>74</v>
      </c>
      <c r="E371" s="3"/>
      <c r="F371" s="3"/>
    </row>
    <row r="372" spans="1:6" hidden="1" x14ac:dyDescent="0.3">
      <c r="A372" s="7" t="str">
        <f>BD_ControlRegimen[[#This Row],[FECHA]]&amp;BD_ControlRegimen[[#This Row],[NOMBRE]]</f>
        <v>45286AGUILAR VASQUEZ GIAN CARLO</v>
      </c>
      <c r="B372" s="83">
        <f>WEEKNUM(BD_ControlRegimen[[#This Row],[FECHA]],2)</f>
        <v>53</v>
      </c>
      <c r="C372" s="7">
        <v>45286</v>
      </c>
      <c r="D372" s="3" t="s">
        <v>74</v>
      </c>
      <c r="E372" s="3"/>
      <c r="F372" s="3"/>
    </row>
    <row r="373" spans="1:6" hidden="1" x14ac:dyDescent="0.3">
      <c r="A373" s="7" t="str">
        <f>BD_ControlRegimen[[#This Row],[FECHA]]&amp;BD_ControlRegimen[[#This Row],[NOMBRE]]</f>
        <v>45287AGUILAR VASQUEZ GIAN CARLO</v>
      </c>
      <c r="B373" s="83">
        <f>WEEKNUM(BD_ControlRegimen[[#This Row],[FECHA]],2)</f>
        <v>53</v>
      </c>
      <c r="C373" s="7">
        <v>45287</v>
      </c>
      <c r="D373" s="3" t="s">
        <v>74</v>
      </c>
      <c r="E373" s="3"/>
      <c r="F373" s="3"/>
    </row>
    <row r="374" spans="1:6" hidden="1" x14ac:dyDescent="0.3">
      <c r="A374" s="7" t="str">
        <f>BD_ControlRegimen[[#This Row],[FECHA]]&amp;BD_ControlRegimen[[#This Row],[NOMBRE]]</f>
        <v>45288AGUILAR VASQUEZ GIAN CARLO</v>
      </c>
      <c r="B374" s="83">
        <f>WEEKNUM(BD_ControlRegimen[[#This Row],[FECHA]],2)</f>
        <v>53</v>
      </c>
      <c r="C374" s="7">
        <v>45288</v>
      </c>
      <c r="D374" s="3" t="s">
        <v>74</v>
      </c>
      <c r="E374" s="3"/>
      <c r="F374" s="3"/>
    </row>
    <row r="375" spans="1:6" hidden="1" x14ac:dyDescent="0.3">
      <c r="A375" s="7" t="str">
        <f>BD_ControlRegimen[[#This Row],[FECHA]]&amp;BD_ControlRegimen[[#This Row],[NOMBRE]]</f>
        <v>45289AGUILAR VASQUEZ GIAN CARLO</v>
      </c>
      <c r="B375" s="83">
        <f>WEEKNUM(BD_ControlRegimen[[#This Row],[FECHA]],2)</f>
        <v>53</v>
      </c>
      <c r="C375" s="7">
        <v>45289</v>
      </c>
      <c r="D375" s="3" t="s">
        <v>74</v>
      </c>
      <c r="E375" s="3"/>
      <c r="F375" s="3"/>
    </row>
    <row r="376" spans="1:6" hidden="1" x14ac:dyDescent="0.3">
      <c r="A376" s="7" t="str">
        <f>BD_ControlRegimen[[#This Row],[FECHA]]&amp;BD_ControlRegimen[[#This Row],[NOMBRE]]</f>
        <v>45290AGUILAR VASQUEZ GIAN CARLO</v>
      </c>
      <c r="B376" s="83">
        <f>WEEKNUM(BD_ControlRegimen[[#This Row],[FECHA]],2)</f>
        <v>53</v>
      </c>
      <c r="C376" s="7">
        <v>45290</v>
      </c>
      <c r="D376" s="3" t="s">
        <v>74</v>
      </c>
      <c r="E376" s="3"/>
      <c r="F376" s="3"/>
    </row>
    <row r="377" spans="1:6" hidden="1" x14ac:dyDescent="0.3">
      <c r="A377" s="7" t="str">
        <f>BD_ControlRegimen[[#This Row],[FECHA]]&amp;BD_ControlRegimen[[#This Row],[NOMBRE]]</f>
        <v>45291AGUILAR VASQUEZ GIAN CARLO</v>
      </c>
      <c r="B377" s="83">
        <f>WEEKNUM(BD_ControlRegimen[[#This Row],[FECHA]],2)</f>
        <v>53</v>
      </c>
      <c r="C377" s="7">
        <v>45291</v>
      </c>
      <c r="D377" s="3" t="s">
        <v>74</v>
      </c>
      <c r="E377" s="3"/>
      <c r="F377" s="3"/>
    </row>
    <row r="378" spans="1:6" hidden="1" x14ac:dyDescent="0.3">
      <c r="A378" s="99" t="str">
        <f>BD_ControlRegimen[[#This Row],[FECHA]]&amp;BD_ControlRegimen[[#This Row],[NOMBRE]]</f>
        <v>44927ALVARADO CASTILLO AARON MARIO</v>
      </c>
      <c r="B378" s="100">
        <f>WEEKNUM(BD_ControlRegimen[[#This Row],[FECHA]],2)</f>
        <v>1</v>
      </c>
      <c r="C378" s="99">
        <v>44927</v>
      </c>
      <c r="D378" s="3" t="s">
        <v>71</v>
      </c>
      <c r="E378" s="101"/>
      <c r="F378" s="101"/>
    </row>
    <row r="379" spans="1:6" hidden="1" x14ac:dyDescent="0.3">
      <c r="A379" s="99" t="str">
        <f>BD_ControlRegimen[[#This Row],[FECHA]]&amp;BD_ControlRegimen[[#This Row],[NOMBRE]]</f>
        <v>44928ALVARADO CASTILLO AARON MARIO</v>
      </c>
      <c r="B379" s="100">
        <f>WEEKNUM(BD_ControlRegimen[[#This Row],[FECHA]],2)</f>
        <v>2</v>
      </c>
      <c r="C379" s="99">
        <v>44928</v>
      </c>
      <c r="D379" s="3" t="s">
        <v>71</v>
      </c>
      <c r="E379" s="101"/>
      <c r="F379" s="101"/>
    </row>
    <row r="380" spans="1:6" hidden="1" x14ac:dyDescent="0.3">
      <c r="A380" s="99" t="str">
        <f>BD_ControlRegimen[[#This Row],[FECHA]]&amp;BD_ControlRegimen[[#This Row],[NOMBRE]]</f>
        <v>44929ALVARADO CASTILLO AARON MARIO</v>
      </c>
      <c r="B380" s="100">
        <f>WEEKNUM(BD_ControlRegimen[[#This Row],[FECHA]],2)</f>
        <v>2</v>
      </c>
      <c r="C380" s="99">
        <v>44929</v>
      </c>
      <c r="D380" s="3" t="s">
        <v>71</v>
      </c>
      <c r="E380" s="101"/>
      <c r="F380" s="101"/>
    </row>
    <row r="381" spans="1:6" hidden="1" x14ac:dyDescent="0.3">
      <c r="A381" s="99" t="str">
        <f>BD_ControlRegimen[[#This Row],[FECHA]]&amp;BD_ControlRegimen[[#This Row],[NOMBRE]]</f>
        <v>44930ALVARADO CASTILLO AARON MARIO</v>
      </c>
      <c r="B381" s="100">
        <f>WEEKNUM(BD_ControlRegimen[[#This Row],[FECHA]],2)</f>
        <v>2</v>
      </c>
      <c r="C381" s="99">
        <v>44930</v>
      </c>
      <c r="D381" s="3" t="s">
        <v>71</v>
      </c>
      <c r="E381" s="101"/>
      <c r="F381" s="101"/>
    </row>
    <row r="382" spans="1:6" hidden="1" x14ac:dyDescent="0.3">
      <c r="A382" s="99" t="str">
        <f>BD_ControlRegimen[[#This Row],[FECHA]]&amp;BD_ControlRegimen[[#This Row],[NOMBRE]]</f>
        <v>44931ALVARADO CASTILLO AARON MARIO</v>
      </c>
      <c r="B382" s="100">
        <f>WEEKNUM(BD_ControlRegimen[[#This Row],[FECHA]],2)</f>
        <v>2</v>
      </c>
      <c r="C382" s="99">
        <v>44931</v>
      </c>
      <c r="D382" s="3" t="s">
        <v>71</v>
      </c>
      <c r="E382" s="101"/>
      <c r="F382" s="101"/>
    </row>
    <row r="383" spans="1:6" hidden="1" x14ac:dyDescent="0.3">
      <c r="A383" s="99" t="str">
        <f>BD_ControlRegimen[[#This Row],[FECHA]]&amp;BD_ControlRegimen[[#This Row],[NOMBRE]]</f>
        <v>44932ALVARADO CASTILLO AARON MARIO</v>
      </c>
      <c r="B383" s="100">
        <f>WEEKNUM(BD_ControlRegimen[[#This Row],[FECHA]],2)</f>
        <v>2</v>
      </c>
      <c r="C383" s="99">
        <v>44932</v>
      </c>
      <c r="D383" s="3" t="s">
        <v>71</v>
      </c>
      <c r="E383" s="101"/>
      <c r="F383" s="101"/>
    </row>
    <row r="384" spans="1:6" hidden="1" x14ac:dyDescent="0.3">
      <c r="A384" s="99" t="str">
        <f>BD_ControlRegimen[[#This Row],[FECHA]]&amp;BD_ControlRegimen[[#This Row],[NOMBRE]]</f>
        <v>44933ALVARADO CASTILLO AARON MARIO</v>
      </c>
      <c r="B384" s="100">
        <f>WEEKNUM(BD_ControlRegimen[[#This Row],[FECHA]],2)</f>
        <v>2</v>
      </c>
      <c r="C384" s="99">
        <v>44933</v>
      </c>
      <c r="D384" s="3" t="s">
        <v>71</v>
      </c>
      <c r="E384" s="101"/>
      <c r="F384" s="101"/>
    </row>
    <row r="385" spans="1:6" hidden="1" x14ac:dyDescent="0.3">
      <c r="A385" s="99" t="str">
        <f>BD_ControlRegimen[[#This Row],[FECHA]]&amp;BD_ControlRegimen[[#This Row],[NOMBRE]]</f>
        <v>44934ALVARADO CASTILLO AARON MARIO</v>
      </c>
      <c r="B385" s="100">
        <f>WEEKNUM(BD_ControlRegimen[[#This Row],[FECHA]],2)</f>
        <v>2</v>
      </c>
      <c r="C385" s="99">
        <v>44934</v>
      </c>
      <c r="D385" s="3" t="s">
        <v>71</v>
      </c>
      <c r="E385" s="101"/>
      <c r="F385" s="101"/>
    </row>
    <row r="386" spans="1:6" hidden="1" x14ac:dyDescent="0.3">
      <c r="A386" s="99" t="str">
        <f>BD_ControlRegimen[[#This Row],[FECHA]]&amp;BD_ControlRegimen[[#This Row],[NOMBRE]]</f>
        <v>44935ALVARADO CASTILLO AARON MARIO</v>
      </c>
      <c r="B386" s="100">
        <f>WEEKNUM(BD_ControlRegimen[[#This Row],[FECHA]],2)</f>
        <v>3</v>
      </c>
      <c r="C386" s="99">
        <v>44935</v>
      </c>
      <c r="D386" s="3" t="s">
        <v>71</v>
      </c>
      <c r="E386" s="101"/>
      <c r="F386" s="101"/>
    </row>
    <row r="387" spans="1:6" hidden="1" x14ac:dyDescent="0.3">
      <c r="A387" s="99" t="str">
        <f>BD_ControlRegimen[[#This Row],[FECHA]]&amp;BD_ControlRegimen[[#This Row],[NOMBRE]]</f>
        <v>44936ALVARADO CASTILLO AARON MARIO</v>
      </c>
      <c r="B387" s="100">
        <f>WEEKNUM(BD_ControlRegimen[[#This Row],[FECHA]],2)</f>
        <v>3</v>
      </c>
      <c r="C387" s="99">
        <v>44936</v>
      </c>
      <c r="D387" s="3" t="s">
        <v>71</v>
      </c>
      <c r="E387" s="101"/>
      <c r="F387" s="101"/>
    </row>
    <row r="388" spans="1:6" hidden="1" x14ac:dyDescent="0.3">
      <c r="A388" s="99" t="str">
        <f>BD_ControlRegimen[[#This Row],[FECHA]]&amp;BD_ControlRegimen[[#This Row],[NOMBRE]]</f>
        <v>44937ALVARADO CASTILLO AARON MARIO</v>
      </c>
      <c r="B388" s="100">
        <f>WEEKNUM(BD_ControlRegimen[[#This Row],[FECHA]],2)</f>
        <v>3</v>
      </c>
      <c r="C388" s="99">
        <v>44937</v>
      </c>
      <c r="D388" s="3" t="s">
        <v>71</v>
      </c>
      <c r="E388" s="101"/>
      <c r="F388" s="101"/>
    </row>
    <row r="389" spans="1:6" hidden="1" x14ac:dyDescent="0.3">
      <c r="A389" s="99" t="str">
        <f>BD_ControlRegimen[[#This Row],[FECHA]]&amp;BD_ControlRegimen[[#This Row],[NOMBRE]]</f>
        <v>44938ALVARADO CASTILLO AARON MARIO</v>
      </c>
      <c r="B389" s="100">
        <f>WEEKNUM(BD_ControlRegimen[[#This Row],[FECHA]],2)</f>
        <v>3</v>
      </c>
      <c r="C389" s="99">
        <v>44938</v>
      </c>
      <c r="D389" s="3" t="s">
        <v>71</v>
      </c>
      <c r="E389" s="101"/>
      <c r="F389" s="101"/>
    </row>
    <row r="390" spans="1:6" hidden="1" x14ac:dyDescent="0.3">
      <c r="A390" s="99" t="str">
        <f>BD_ControlRegimen[[#This Row],[FECHA]]&amp;BD_ControlRegimen[[#This Row],[NOMBRE]]</f>
        <v>44939ALVARADO CASTILLO AARON MARIO</v>
      </c>
      <c r="B390" s="100">
        <f>WEEKNUM(BD_ControlRegimen[[#This Row],[FECHA]],2)</f>
        <v>3</v>
      </c>
      <c r="C390" s="99">
        <v>44939</v>
      </c>
      <c r="D390" s="3" t="s">
        <v>71</v>
      </c>
      <c r="E390" s="101"/>
      <c r="F390" s="101"/>
    </row>
    <row r="391" spans="1:6" hidden="1" x14ac:dyDescent="0.3">
      <c r="A391" s="99" t="str">
        <f>BD_ControlRegimen[[#This Row],[FECHA]]&amp;BD_ControlRegimen[[#This Row],[NOMBRE]]</f>
        <v>44940ALVARADO CASTILLO AARON MARIO</v>
      </c>
      <c r="B391" s="100">
        <f>WEEKNUM(BD_ControlRegimen[[#This Row],[FECHA]],2)</f>
        <v>3</v>
      </c>
      <c r="C391" s="99">
        <v>44940</v>
      </c>
      <c r="D391" s="3" t="s">
        <v>71</v>
      </c>
      <c r="E391" s="101"/>
      <c r="F391" s="101"/>
    </row>
    <row r="392" spans="1:6" hidden="1" x14ac:dyDescent="0.3">
      <c r="A392" s="99" t="str">
        <f>BD_ControlRegimen[[#This Row],[FECHA]]&amp;BD_ControlRegimen[[#This Row],[NOMBRE]]</f>
        <v>44941ALVARADO CASTILLO AARON MARIO</v>
      </c>
      <c r="B392" s="100">
        <f>WEEKNUM(BD_ControlRegimen[[#This Row],[FECHA]],2)</f>
        <v>3</v>
      </c>
      <c r="C392" s="99">
        <v>44941</v>
      </c>
      <c r="D392" s="3" t="s">
        <v>71</v>
      </c>
      <c r="E392" s="101"/>
      <c r="F392" s="101"/>
    </row>
    <row r="393" spans="1:6" hidden="1" x14ac:dyDescent="0.3">
      <c r="A393" s="99" t="str">
        <f>BD_ControlRegimen[[#This Row],[FECHA]]&amp;BD_ControlRegimen[[#This Row],[NOMBRE]]</f>
        <v>44942ALVARADO CASTILLO AARON MARIO</v>
      </c>
      <c r="B393" s="100">
        <f>WEEKNUM(BD_ControlRegimen[[#This Row],[FECHA]],2)</f>
        <v>4</v>
      </c>
      <c r="C393" s="99">
        <v>44942</v>
      </c>
      <c r="D393" s="3" t="s">
        <v>71</v>
      </c>
      <c r="E393" s="101"/>
      <c r="F393" s="101"/>
    </row>
    <row r="394" spans="1:6" hidden="1" x14ac:dyDescent="0.3">
      <c r="A394" s="99" t="str">
        <f>BD_ControlRegimen[[#This Row],[FECHA]]&amp;BD_ControlRegimen[[#This Row],[NOMBRE]]</f>
        <v>44943ALVARADO CASTILLO AARON MARIO</v>
      </c>
      <c r="B394" s="100">
        <f>WEEKNUM(BD_ControlRegimen[[#This Row],[FECHA]],2)</f>
        <v>4</v>
      </c>
      <c r="C394" s="99">
        <v>44943</v>
      </c>
      <c r="D394" s="3" t="s">
        <v>71</v>
      </c>
      <c r="E394" s="101"/>
      <c r="F394" s="101"/>
    </row>
    <row r="395" spans="1:6" hidden="1" x14ac:dyDescent="0.3">
      <c r="A395" s="99" t="str">
        <f>BD_ControlRegimen[[#This Row],[FECHA]]&amp;BD_ControlRegimen[[#This Row],[NOMBRE]]</f>
        <v>44944ALVARADO CASTILLO AARON MARIO</v>
      </c>
      <c r="B395" s="100">
        <f>WEEKNUM(BD_ControlRegimen[[#This Row],[FECHA]],2)</f>
        <v>4</v>
      </c>
      <c r="C395" s="99">
        <v>44944</v>
      </c>
      <c r="D395" s="3" t="s">
        <v>71</v>
      </c>
      <c r="E395" s="101"/>
      <c r="F395" s="101"/>
    </row>
    <row r="396" spans="1:6" hidden="1" x14ac:dyDescent="0.3">
      <c r="A396" s="99" t="str">
        <f>BD_ControlRegimen[[#This Row],[FECHA]]&amp;BD_ControlRegimen[[#This Row],[NOMBRE]]</f>
        <v>44945ALVARADO CASTILLO AARON MARIO</v>
      </c>
      <c r="B396" s="100">
        <f>WEEKNUM(BD_ControlRegimen[[#This Row],[FECHA]],2)</f>
        <v>4</v>
      </c>
      <c r="C396" s="99">
        <v>44945</v>
      </c>
      <c r="D396" s="3" t="s">
        <v>71</v>
      </c>
      <c r="E396" s="101"/>
      <c r="F396" s="101"/>
    </row>
    <row r="397" spans="1:6" hidden="1" x14ac:dyDescent="0.3">
      <c r="A397" s="99" t="str">
        <f>BD_ControlRegimen[[#This Row],[FECHA]]&amp;BD_ControlRegimen[[#This Row],[NOMBRE]]</f>
        <v>44946ALVARADO CASTILLO AARON MARIO</v>
      </c>
      <c r="B397" s="100">
        <f>WEEKNUM(BD_ControlRegimen[[#This Row],[FECHA]],2)</f>
        <v>4</v>
      </c>
      <c r="C397" s="99">
        <v>44946</v>
      </c>
      <c r="D397" s="3" t="s">
        <v>71</v>
      </c>
      <c r="E397" s="101"/>
      <c r="F397" s="101"/>
    </row>
    <row r="398" spans="1:6" hidden="1" x14ac:dyDescent="0.3">
      <c r="A398" s="99" t="str">
        <f>BD_ControlRegimen[[#This Row],[FECHA]]&amp;BD_ControlRegimen[[#This Row],[NOMBRE]]</f>
        <v>44947ALVARADO CASTILLO AARON MARIO</v>
      </c>
      <c r="B398" s="100">
        <f>WEEKNUM(BD_ControlRegimen[[#This Row],[FECHA]],2)</f>
        <v>4</v>
      </c>
      <c r="C398" s="99">
        <v>44947</v>
      </c>
      <c r="D398" s="3" t="s">
        <v>71</v>
      </c>
      <c r="E398" s="101"/>
      <c r="F398" s="101"/>
    </row>
    <row r="399" spans="1:6" hidden="1" x14ac:dyDescent="0.3">
      <c r="A399" s="99" t="str">
        <f>BD_ControlRegimen[[#This Row],[FECHA]]&amp;BD_ControlRegimen[[#This Row],[NOMBRE]]</f>
        <v>44948ALVARADO CASTILLO AARON MARIO</v>
      </c>
      <c r="B399" s="100">
        <f>WEEKNUM(BD_ControlRegimen[[#This Row],[FECHA]],2)</f>
        <v>4</v>
      </c>
      <c r="C399" s="99">
        <v>44948</v>
      </c>
      <c r="D399" s="3" t="s">
        <v>71</v>
      </c>
      <c r="E399" s="101"/>
      <c r="F399" s="101"/>
    </row>
    <row r="400" spans="1:6" hidden="1" x14ac:dyDescent="0.3">
      <c r="A400" s="99" t="str">
        <f>BD_ControlRegimen[[#This Row],[FECHA]]&amp;BD_ControlRegimen[[#This Row],[NOMBRE]]</f>
        <v>44949ALVARADO CASTILLO AARON MARIO</v>
      </c>
      <c r="B400" s="100">
        <f>WEEKNUM(BD_ControlRegimen[[#This Row],[FECHA]],2)</f>
        <v>5</v>
      </c>
      <c r="C400" s="99">
        <v>44949</v>
      </c>
      <c r="D400" s="3" t="s">
        <v>71</v>
      </c>
      <c r="E400" s="101"/>
      <c r="F400" s="101"/>
    </row>
    <row r="401" spans="1:6" hidden="1" x14ac:dyDescent="0.3">
      <c r="A401" s="99" t="str">
        <f>BD_ControlRegimen[[#This Row],[FECHA]]&amp;BD_ControlRegimen[[#This Row],[NOMBRE]]</f>
        <v>44950ALVARADO CASTILLO AARON MARIO</v>
      </c>
      <c r="B401" s="100">
        <f>WEEKNUM(BD_ControlRegimen[[#This Row],[FECHA]],2)</f>
        <v>5</v>
      </c>
      <c r="C401" s="99">
        <v>44950</v>
      </c>
      <c r="D401" s="3" t="s">
        <v>71</v>
      </c>
      <c r="E401" s="101"/>
      <c r="F401" s="101"/>
    </row>
    <row r="402" spans="1:6" hidden="1" x14ac:dyDescent="0.3">
      <c r="A402" s="99" t="str">
        <f>BD_ControlRegimen[[#This Row],[FECHA]]&amp;BD_ControlRegimen[[#This Row],[NOMBRE]]</f>
        <v>44951ALVARADO CASTILLO AARON MARIO</v>
      </c>
      <c r="B402" s="100">
        <f>WEEKNUM(BD_ControlRegimen[[#This Row],[FECHA]],2)</f>
        <v>5</v>
      </c>
      <c r="C402" s="99">
        <v>44951</v>
      </c>
      <c r="D402" s="3" t="s">
        <v>71</v>
      </c>
      <c r="E402" s="101"/>
      <c r="F402" s="101"/>
    </row>
    <row r="403" spans="1:6" hidden="1" x14ac:dyDescent="0.3">
      <c r="A403" s="99" t="str">
        <f>BD_ControlRegimen[[#This Row],[FECHA]]&amp;BD_ControlRegimen[[#This Row],[NOMBRE]]</f>
        <v>44952ALVARADO CASTILLO AARON MARIO</v>
      </c>
      <c r="B403" s="100">
        <f>WEEKNUM(BD_ControlRegimen[[#This Row],[FECHA]],2)</f>
        <v>5</v>
      </c>
      <c r="C403" s="99">
        <v>44952</v>
      </c>
      <c r="D403" s="3" t="s">
        <v>71</v>
      </c>
      <c r="E403" s="101"/>
      <c r="F403" s="101"/>
    </row>
    <row r="404" spans="1:6" hidden="1" x14ac:dyDescent="0.3">
      <c r="A404" s="99" t="str">
        <f>BD_ControlRegimen[[#This Row],[FECHA]]&amp;BD_ControlRegimen[[#This Row],[NOMBRE]]</f>
        <v>44953ALVARADO CASTILLO AARON MARIO</v>
      </c>
      <c r="B404" s="100">
        <f>WEEKNUM(BD_ControlRegimen[[#This Row],[FECHA]],2)</f>
        <v>5</v>
      </c>
      <c r="C404" s="99">
        <v>44953</v>
      </c>
      <c r="D404" s="3" t="s">
        <v>71</v>
      </c>
      <c r="E404" s="101"/>
      <c r="F404" s="101"/>
    </row>
    <row r="405" spans="1:6" hidden="1" x14ac:dyDescent="0.3">
      <c r="A405" s="99" t="str">
        <f>BD_ControlRegimen[[#This Row],[FECHA]]&amp;BD_ControlRegimen[[#This Row],[NOMBRE]]</f>
        <v>44954ALVARADO CASTILLO AARON MARIO</v>
      </c>
      <c r="B405" s="100">
        <f>WEEKNUM(BD_ControlRegimen[[#This Row],[FECHA]],2)</f>
        <v>5</v>
      </c>
      <c r="C405" s="99">
        <v>44954</v>
      </c>
      <c r="D405" s="3" t="s">
        <v>71</v>
      </c>
      <c r="E405" s="101"/>
      <c r="F405" s="101"/>
    </row>
    <row r="406" spans="1:6" hidden="1" x14ac:dyDescent="0.3">
      <c r="A406" s="99" t="str">
        <f>BD_ControlRegimen[[#This Row],[FECHA]]&amp;BD_ControlRegimen[[#This Row],[NOMBRE]]</f>
        <v>44955ALVARADO CASTILLO AARON MARIO</v>
      </c>
      <c r="B406" s="100">
        <f>WEEKNUM(BD_ControlRegimen[[#This Row],[FECHA]],2)</f>
        <v>5</v>
      </c>
      <c r="C406" s="99">
        <v>44955</v>
      </c>
      <c r="D406" s="3" t="s">
        <v>71</v>
      </c>
      <c r="E406" s="101"/>
      <c r="F406" s="101"/>
    </row>
    <row r="407" spans="1:6" hidden="1" x14ac:dyDescent="0.3">
      <c r="A407" s="99" t="str">
        <f>BD_ControlRegimen[[#This Row],[FECHA]]&amp;BD_ControlRegimen[[#This Row],[NOMBRE]]</f>
        <v>44956ALVARADO CASTILLO AARON MARIO</v>
      </c>
      <c r="B407" s="100">
        <f>WEEKNUM(BD_ControlRegimen[[#This Row],[FECHA]],2)</f>
        <v>6</v>
      </c>
      <c r="C407" s="99">
        <v>44956</v>
      </c>
      <c r="D407" s="3" t="s">
        <v>71</v>
      </c>
      <c r="E407" s="101"/>
      <c r="F407" s="101"/>
    </row>
    <row r="408" spans="1:6" hidden="1" x14ac:dyDescent="0.3">
      <c r="A408" s="99" t="str">
        <f>BD_ControlRegimen[[#This Row],[FECHA]]&amp;BD_ControlRegimen[[#This Row],[NOMBRE]]</f>
        <v>44957ALVARADO CASTILLO AARON MARIO</v>
      </c>
      <c r="B408" s="100">
        <f>WEEKNUM(BD_ControlRegimen[[#This Row],[FECHA]],2)</f>
        <v>6</v>
      </c>
      <c r="C408" s="99">
        <v>44957</v>
      </c>
      <c r="D408" s="3" t="s">
        <v>71</v>
      </c>
      <c r="E408" s="101"/>
      <c r="F408" s="101"/>
    </row>
    <row r="409" spans="1:6" hidden="1" x14ac:dyDescent="0.3">
      <c r="A409" s="99" t="str">
        <f>BD_ControlRegimen[[#This Row],[FECHA]]&amp;BD_ControlRegimen[[#This Row],[NOMBRE]]</f>
        <v>44958ALVARADO CASTILLO AARON MARIO</v>
      </c>
      <c r="B409" s="100">
        <f>WEEKNUM(BD_ControlRegimen[[#This Row],[FECHA]],2)</f>
        <v>6</v>
      </c>
      <c r="C409" s="99">
        <v>44958</v>
      </c>
      <c r="D409" s="3" t="s">
        <v>71</v>
      </c>
      <c r="E409" s="101"/>
      <c r="F409" s="101"/>
    </row>
    <row r="410" spans="1:6" hidden="1" x14ac:dyDescent="0.3">
      <c r="A410" s="99" t="str">
        <f>BD_ControlRegimen[[#This Row],[FECHA]]&amp;BD_ControlRegimen[[#This Row],[NOMBRE]]</f>
        <v>44959ALVARADO CASTILLO AARON MARIO</v>
      </c>
      <c r="B410" s="100">
        <f>WEEKNUM(BD_ControlRegimen[[#This Row],[FECHA]],2)</f>
        <v>6</v>
      </c>
      <c r="C410" s="99">
        <v>44959</v>
      </c>
      <c r="D410" s="3" t="s">
        <v>71</v>
      </c>
      <c r="E410" s="101"/>
      <c r="F410" s="101"/>
    </row>
    <row r="411" spans="1:6" hidden="1" x14ac:dyDescent="0.3">
      <c r="A411" s="99" t="str">
        <f>BD_ControlRegimen[[#This Row],[FECHA]]&amp;BD_ControlRegimen[[#This Row],[NOMBRE]]</f>
        <v>44960ALVARADO CASTILLO AARON MARIO</v>
      </c>
      <c r="B411" s="100">
        <f>WEEKNUM(BD_ControlRegimen[[#This Row],[FECHA]],2)</f>
        <v>6</v>
      </c>
      <c r="C411" s="99">
        <v>44960</v>
      </c>
      <c r="D411" s="3" t="s">
        <v>71</v>
      </c>
      <c r="E411" s="101"/>
      <c r="F411" s="101"/>
    </row>
    <row r="412" spans="1:6" hidden="1" x14ac:dyDescent="0.3">
      <c r="A412" s="99" t="str">
        <f>BD_ControlRegimen[[#This Row],[FECHA]]&amp;BD_ControlRegimen[[#This Row],[NOMBRE]]</f>
        <v>44961ALVARADO CASTILLO AARON MARIO</v>
      </c>
      <c r="B412" s="100">
        <f>WEEKNUM(BD_ControlRegimen[[#This Row],[FECHA]],2)</f>
        <v>6</v>
      </c>
      <c r="C412" s="99">
        <v>44961</v>
      </c>
      <c r="D412" s="3" t="s">
        <v>71</v>
      </c>
      <c r="E412" s="101"/>
      <c r="F412" s="101"/>
    </row>
    <row r="413" spans="1:6" hidden="1" x14ac:dyDescent="0.3">
      <c r="A413" s="99" t="str">
        <f>BD_ControlRegimen[[#This Row],[FECHA]]&amp;BD_ControlRegimen[[#This Row],[NOMBRE]]</f>
        <v>44962ALVARADO CASTILLO AARON MARIO</v>
      </c>
      <c r="B413" s="100">
        <f>WEEKNUM(BD_ControlRegimen[[#This Row],[FECHA]],2)</f>
        <v>6</v>
      </c>
      <c r="C413" s="99">
        <v>44962</v>
      </c>
      <c r="D413" s="3" t="s">
        <v>71</v>
      </c>
      <c r="E413" s="101"/>
      <c r="F413" s="101"/>
    </row>
    <row r="414" spans="1:6" hidden="1" x14ac:dyDescent="0.3">
      <c r="A414" s="99" t="str">
        <f>BD_ControlRegimen[[#This Row],[FECHA]]&amp;BD_ControlRegimen[[#This Row],[NOMBRE]]</f>
        <v>44963ALVARADO CASTILLO AARON MARIO</v>
      </c>
      <c r="B414" s="100">
        <f>WEEKNUM(BD_ControlRegimen[[#This Row],[FECHA]],2)</f>
        <v>7</v>
      </c>
      <c r="C414" s="99">
        <v>44963</v>
      </c>
      <c r="D414" s="3" t="s">
        <v>71</v>
      </c>
      <c r="E414" s="101"/>
      <c r="F414" s="101"/>
    </row>
    <row r="415" spans="1:6" hidden="1" x14ac:dyDescent="0.3">
      <c r="A415" s="99" t="str">
        <f>BD_ControlRegimen[[#This Row],[FECHA]]&amp;BD_ControlRegimen[[#This Row],[NOMBRE]]</f>
        <v>44964ALVARADO CASTILLO AARON MARIO</v>
      </c>
      <c r="B415" s="100">
        <f>WEEKNUM(BD_ControlRegimen[[#This Row],[FECHA]],2)</f>
        <v>7</v>
      </c>
      <c r="C415" s="99">
        <v>44964</v>
      </c>
      <c r="D415" s="3" t="s">
        <v>71</v>
      </c>
      <c r="E415" s="101"/>
      <c r="F415" s="101"/>
    </row>
    <row r="416" spans="1:6" hidden="1" x14ac:dyDescent="0.3">
      <c r="A416" s="99" t="str">
        <f>BD_ControlRegimen[[#This Row],[FECHA]]&amp;BD_ControlRegimen[[#This Row],[NOMBRE]]</f>
        <v>44965ALVARADO CASTILLO AARON MARIO</v>
      </c>
      <c r="B416" s="100">
        <f>WEEKNUM(BD_ControlRegimen[[#This Row],[FECHA]],2)</f>
        <v>7</v>
      </c>
      <c r="C416" s="99">
        <v>44965</v>
      </c>
      <c r="D416" s="3" t="s">
        <v>71</v>
      </c>
      <c r="E416" s="101"/>
      <c r="F416" s="101"/>
    </row>
    <row r="417" spans="1:6" hidden="1" x14ac:dyDescent="0.3">
      <c r="A417" s="99" t="str">
        <f>BD_ControlRegimen[[#This Row],[FECHA]]&amp;BD_ControlRegimen[[#This Row],[NOMBRE]]</f>
        <v>44966ALVARADO CASTILLO AARON MARIO</v>
      </c>
      <c r="B417" s="100">
        <f>WEEKNUM(BD_ControlRegimen[[#This Row],[FECHA]],2)</f>
        <v>7</v>
      </c>
      <c r="C417" s="99">
        <v>44966</v>
      </c>
      <c r="D417" s="3" t="s">
        <v>71</v>
      </c>
      <c r="E417" s="101"/>
      <c r="F417" s="101"/>
    </row>
    <row r="418" spans="1:6" hidden="1" x14ac:dyDescent="0.3">
      <c r="A418" s="99" t="str">
        <f>BD_ControlRegimen[[#This Row],[FECHA]]&amp;BD_ControlRegimen[[#This Row],[NOMBRE]]</f>
        <v>44967ALVARADO CASTILLO AARON MARIO</v>
      </c>
      <c r="B418" s="100">
        <f>WEEKNUM(BD_ControlRegimen[[#This Row],[FECHA]],2)</f>
        <v>7</v>
      </c>
      <c r="C418" s="99">
        <v>44967</v>
      </c>
      <c r="D418" s="3" t="s">
        <v>71</v>
      </c>
      <c r="E418" s="101"/>
      <c r="F418" s="101"/>
    </row>
    <row r="419" spans="1:6" hidden="1" x14ac:dyDescent="0.3">
      <c r="A419" s="99" t="str">
        <f>BD_ControlRegimen[[#This Row],[FECHA]]&amp;BD_ControlRegimen[[#This Row],[NOMBRE]]</f>
        <v>44968ALVARADO CASTILLO AARON MARIO</v>
      </c>
      <c r="B419" s="100">
        <f>WEEKNUM(BD_ControlRegimen[[#This Row],[FECHA]],2)</f>
        <v>7</v>
      </c>
      <c r="C419" s="99">
        <v>44968</v>
      </c>
      <c r="D419" s="3" t="s">
        <v>71</v>
      </c>
      <c r="E419" s="101"/>
      <c r="F419" s="101"/>
    </row>
    <row r="420" spans="1:6" hidden="1" x14ac:dyDescent="0.3">
      <c r="A420" s="99" t="str">
        <f>BD_ControlRegimen[[#This Row],[FECHA]]&amp;BD_ControlRegimen[[#This Row],[NOMBRE]]</f>
        <v>44969ALVARADO CASTILLO AARON MARIO</v>
      </c>
      <c r="B420" s="100">
        <f>WEEKNUM(BD_ControlRegimen[[#This Row],[FECHA]],2)</f>
        <v>7</v>
      </c>
      <c r="C420" s="99">
        <v>44969</v>
      </c>
      <c r="D420" s="3" t="s">
        <v>71</v>
      </c>
      <c r="E420" s="101"/>
      <c r="F420" s="101"/>
    </row>
    <row r="421" spans="1:6" hidden="1" x14ac:dyDescent="0.3">
      <c r="A421" s="99" t="str">
        <f>BD_ControlRegimen[[#This Row],[FECHA]]&amp;BD_ControlRegimen[[#This Row],[NOMBRE]]</f>
        <v>44970ALVARADO CASTILLO AARON MARIO</v>
      </c>
      <c r="B421" s="100">
        <f>WEEKNUM(BD_ControlRegimen[[#This Row],[FECHA]],2)</f>
        <v>8</v>
      </c>
      <c r="C421" s="99">
        <v>44970</v>
      </c>
      <c r="D421" s="3" t="s">
        <v>71</v>
      </c>
      <c r="E421" s="101"/>
      <c r="F421" s="101"/>
    </row>
    <row r="422" spans="1:6" hidden="1" x14ac:dyDescent="0.3">
      <c r="A422" s="99" t="str">
        <f>BD_ControlRegimen[[#This Row],[FECHA]]&amp;BD_ControlRegimen[[#This Row],[NOMBRE]]</f>
        <v>44971ALVARADO CASTILLO AARON MARIO</v>
      </c>
      <c r="B422" s="100">
        <f>WEEKNUM(BD_ControlRegimen[[#This Row],[FECHA]],2)</f>
        <v>8</v>
      </c>
      <c r="C422" s="99">
        <v>44971</v>
      </c>
      <c r="D422" s="3" t="s">
        <v>71</v>
      </c>
      <c r="E422" s="101"/>
      <c r="F422" s="101"/>
    </row>
    <row r="423" spans="1:6" hidden="1" x14ac:dyDescent="0.3">
      <c r="A423" s="99" t="str">
        <f>BD_ControlRegimen[[#This Row],[FECHA]]&amp;BD_ControlRegimen[[#This Row],[NOMBRE]]</f>
        <v>44972ALVARADO CASTILLO AARON MARIO</v>
      </c>
      <c r="B423" s="100">
        <f>WEEKNUM(BD_ControlRegimen[[#This Row],[FECHA]],2)</f>
        <v>8</v>
      </c>
      <c r="C423" s="99">
        <v>44972</v>
      </c>
      <c r="D423" s="3" t="s">
        <v>71</v>
      </c>
      <c r="E423" s="101"/>
      <c r="F423" s="101"/>
    </row>
    <row r="424" spans="1:6" hidden="1" x14ac:dyDescent="0.3">
      <c r="A424" s="99" t="str">
        <f>BD_ControlRegimen[[#This Row],[FECHA]]&amp;BD_ControlRegimen[[#This Row],[NOMBRE]]</f>
        <v>44973ALVARADO CASTILLO AARON MARIO</v>
      </c>
      <c r="B424" s="100">
        <f>WEEKNUM(BD_ControlRegimen[[#This Row],[FECHA]],2)</f>
        <v>8</v>
      </c>
      <c r="C424" s="99">
        <v>44973</v>
      </c>
      <c r="D424" s="3" t="s">
        <v>71</v>
      </c>
      <c r="E424" s="101"/>
      <c r="F424" s="101"/>
    </row>
    <row r="425" spans="1:6" hidden="1" x14ac:dyDescent="0.3">
      <c r="A425" s="99" t="str">
        <f>BD_ControlRegimen[[#This Row],[FECHA]]&amp;BD_ControlRegimen[[#This Row],[NOMBRE]]</f>
        <v>44974ALVARADO CASTILLO AARON MARIO</v>
      </c>
      <c r="B425" s="100">
        <f>WEEKNUM(BD_ControlRegimen[[#This Row],[FECHA]],2)</f>
        <v>8</v>
      </c>
      <c r="C425" s="99">
        <v>44974</v>
      </c>
      <c r="D425" s="3" t="s">
        <v>71</v>
      </c>
      <c r="E425" s="101"/>
      <c r="F425" s="101"/>
    </row>
    <row r="426" spans="1:6" hidden="1" x14ac:dyDescent="0.3">
      <c r="A426" s="99" t="str">
        <f>BD_ControlRegimen[[#This Row],[FECHA]]&amp;BD_ControlRegimen[[#This Row],[NOMBRE]]</f>
        <v>44975ALVARADO CASTILLO AARON MARIO</v>
      </c>
      <c r="B426" s="100">
        <f>WEEKNUM(BD_ControlRegimen[[#This Row],[FECHA]],2)</f>
        <v>8</v>
      </c>
      <c r="C426" s="99">
        <v>44975</v>
      </c>
      <c r="D426" s="3" t="s">
        <v>71</v>
      </c>
      <c r="E426" s="101"/>
      <c r="F426" s="101"/>
    </row>
    <row r="427" spans="1:6" hidden="1" x14ac:dyDescent="0.3">
      <c r="A427" s="99" t="str">
        <f>BD_ControlRegimen[[#This Row],[FECHA]]&amp;BD_ControlRegimen[[#This Row],[NOMBRE]]</f>
        <v>44976ALVARADO CASTILLO AARON MARIO</v>
      </c>
      <c r="B427" s="100">
        <f>WEEKNUM(BD_ControlRegimen[[#This Row],[FECHA]],2)</f>
        <v>8</v>
      </c>
      <c r="C427" s="99">
        <v>44976</v>
      </c>
      <c r="D427" s="3" t="s">
        <v>71</v>
      </c>
      <c r="E427" s="101"/>
      <c r="F427" s="101"/>
    </row>
    <row r="428" spans="1:6" hidden="1" x14ac:dyDescent="0.3">
      <c r="A428" s="99" t="str">
        <f>BD_ControlRegimen[[#This Row],[FECHA]]&amp;BD_ControlRegimen[[#This Row],[NOMBRE]]</f>
        <v>44977ALVARADO CASTILLO AARON MARIO</v>
      </c>
      <c r="B428" s="100">
        <f>WEEKNUM(BD_ControlRegimen[[#This Row],[FECHA]],2)</f>
        <v>9</v>
      </c>
      <c r="C428" s="99">
        <v>44977</v>
      </c>
      <c r="D428" s="3" t="s">
        <v>71</v>
      </c>
      <c r="E428" s="101"/>
      <c r="F428" s="101"/>
    </row>
    <row r="429" spans="1:6" hidden="1" x14ac:dyDescent="0.3">
      <c r="A429" s="99" t="str">
        <f>BD_ControlRegimen[[#This Row],[FECHA]]&amp;BD_ControlRegimen[[#This Row],[NOMBRE]]</f>
        <v>44978ALVARADO CASTILLO AARON MARIO</v>
      </c>
      <c r="B429" s="100">
        <f>WEEKNUM(BD_ControlRegimen[[#This Row],[FECHA]],2)</f>
        <v>9</v>
      </c>
      <c r="C429" s="99">
        <v>44978</v>
      </c>
      <c r="D429" s="3" t="s">
        <v>71</v>
      </c>
      <c r="E429" s="101"/>
      <c r="F429" s="101"/>
    </row>
    <row r="430" spans="1:6" hidden="1" x14ac:dyDescent="0.3">
      <c r="A430" s="99" t="str">
        <f>BD_ControlRegimen[[#This Row],[FECHA]]&amp;BD_ControlRegimen[[#This Row],[NOMBRE]]</f>
        <v>44979ALVARADO CASTILLO AARON MARIO</v>
      </c>
      <c r="B430" s="100">
        <f>WEEKNUM(BD_ControlRegimen[[#This Row],[FECHA]],2)</f>
        <v>9</v>
      </c>
      <c r="C430" s="99">
        <v>44979</v>
      </c>
      <c r="D430" s="3" t="s">
        <v>71</v>
      </c>
      <c r="E430" s="101"/>
      <c r="F430" s="101"/>
    </row>
    <row r="431" spans="1:6" hidden="1" x14ac:dyDescent="0.3">
      <c r="A431" s="99" t="str">
        <f>BD_ControlRegimen[[#This Row],[FECHA]]&amp;BD_ControlRegimen[[#This Row],[NOMBRE]]</f>
        <v>44980ALVARADO CASTILLO AARON MARIO</v>
      </c>
      <c r="B431" s="100">
        <f>WEEKNUM(BD_ControlRegimen[[#This Row],[FECHA]],2)</f>
        <v>9</v>
      </c>
      <c r="C431" s="99">
        <v>44980</v>
      </c>
      <c r="D431" s="3" t="s">
        <v>71</v>
      </c>
      <c r="E431" s="101"/>
      <c r="F431" s="101"/>
    </row>
    <row r="432" spans="1:6" hidden="1" x14ac:dyDescent="0.3">
      <c r="A432" s="99" t="str">
        <f>BD_ControlRegimen[[#This Row],[FECHA]]&amp;BD_ControlRegimen[[#This Row],[NOMBRE]]</f>
        <v>44981ALVARADO CASTILLO AARON MARIO</v>
      </c>
      <c r="B432" s="100">
        <f>WEEKNUM(BD_ControlRegimen[[#This Row],[FECHA]],2)</f>
        <v>9</v>
      </c>
      <c r="C432" s="99">
        <v>44981</v>
      </c>
      <c r="D432" s="3" t="s">
        <v>71</v>
      </c>
      <c r="E432" s="101"/>
      <c r="F432" s="101"/>
    </row>
    <row r="433" spans="1:6" hidden="1" x14ac:dyDescent="0.3">
      <c r="A433" s="99" t="str">
        <f>BD_ControlRegimen[[#This Row],[FECHA]]&amp;BD_ControlRegimen[[#This Row],[NOMBRE]]</f>
        <v>44982ALVARADO CASTILLO AARON MARIO</v>
      </c>
      <c r="B433" s="100">
        <f>WEEKNUM(BD_ControlRegimen[[#This Row],[FECHA]],2)</f>
        <v>9</v>
      </c>
      <c r="C433" s="99">
        <v>44982</v>
      </c>
      <c r="D433" s="3" t="s">
        <v>71</v>
      </c>
      <c r="E433" s="101"/>
      <c r="F433" s="101"/>
    </row>
    <row r="434" spans="1:6" hidden="1" x14ac:dyDescent="0.3">
      <c r="A434" s="99" t="str">
        <f>BD_ControlRegimen[[#This Row],[FECHA]]&amp;BD_ControlRegimen[[#This Row],[NOMBRE]]</f>
        <v>44983ALVARADO CASTILLO AARON MARIO</v>
      </c>
      <c r="B434" s="100">
        <f>WEEKNUM(BD_ControlRegimen[[#This Row],[FECHA]],2)</f>
        <v>9</v>
      </c>
      <c r="C434" s="99">
        <v>44983</v>
      </c>
      <c r="D434" s="3" t="s">
        <v>71</v>
      </c>
      <c r="E434" s="101"/>
      <c r="F434" s="101"/>
    </row>
    <row r="435" spans="1:6" hidden="1" x14ac:dyDescent="0.3">
      <c r="A435" s="99" t="str">
        <f>BD_ControlRegimen[[#This Row],[FECHA]]&amp;BD_ControlRegimen[[#This Row],[NOMBRE]]</f>
        <v>44984ALVARADO CASTILLO AARON MARIO</v>
      </c>
      <c r="B435" s="100">
        <f>WEEKNUM(BD_ControlRegimen[[#This Row],[FECHA]],2)</f>
        <v>10</v>
      </c>
      <c r="C435" s="99">
        <v>44984</v>
      </c>
      <c r="D435" s="3" t="s">
        <v>71</v>
      </c>
      <c r="E435" s="101"/>
      <c r="F435" s="101"/>
    </row>
    <row r="436" spans="1:6" hidden="1" x14ac:dyDescent="0.3">
      <c r="A436" s="99" t="str">
        <f>BD_ControlRegimen[[#This Row],[FECHA]]&amp;BD_ControlRegimen[[#This Row],[NOMBRE]]</f>
        <v>44985ALVARADO CASTILLO AARON MARIO</v>
      </c>
      <c r="B436" s="100">
        <f>WEEKNUM(BD_ControlRegimen[[#This Row],[FECHA]],2)</f>
        <v>10</v>
      </c>
      <c r="C436" s="99">
        <v>44985</v>
      </c>
      <c r="D436" s="3" t="s">
        <v>71</v>
      </c>
      <c r="E436" s="101"/>
      <c r="F436" s="101"/>
    </row>
    <row r="437" spans="1:6" hidden="1" x14ac:dyDescent="0.3">
      <c r="A437" s="99" t="str">
        <f>BD_ControlRegimen[[#This Row],[FECHA]]&amp;BD_ControlRegimen[[#This Row],[NOMBRE]]</f>
        <v>44986ALVARADO CASTILLO AARON MARIO</v>
      </c>
      <c r="B437" s="100">
        <f>WEEKNUM(BD_ControlRegimen[[#This Row],[FECHA]],2)</f>
        <v>10</v>
      </c>
      <c r="C437" s="99">
        <v>44986</v>
      </c>
      <c r="D437" s="3" t="s">
        <v>71</v>
      </c>
      <c r="E437" s="101"/>
      <c r="F437" s="101"/>
    </row>
    <row r="438" spans="1:6" hidden="1" x14ac:dyDescent="0.3">
      <c r="A438" s="99" t="str">
        <f>BD_ControlRegimen[[#This Row],[FECHA]]&amp;BD_ControlRegimen[[#This Row],[NOMBRE]]</f>
        <v>44987ALVARADO CASTILLO AARON MARIO</v>
      </c>
      <c r="B438" s="100">
        <f>WEEKNUM(BD_ControlRegimen[[#This Row],[FECHA]],2)</f>
        <v>10</v>
      </c>
      <c r="C438" s="99">
        <v>44987</v>
      </c>
      <c r="D438" s="3" t="s">
        <v>71</v>
      </c>
      <c r="E438" s="101"/>
      <c r="F438" s="101"/>
    </row>
    <row r="439" spans="1:6" hidden="1" x14ac:dyDescent="0.3">
      <c r="A439" s="99" t="str">
        <f>BD_ControlRegimen[[#This Row],[FECHA]]&amp;BD_ControlRegimen[[#This Row],[NOMBRE]]</f>
        <v>44988ALVARADO CASTILLO AARON MARIO</v>
      </c>
      <c r="B439" s="100">
        <f>WEEKNUM(BD_ControlRegimen[[#This Row],[FECHA]],2)</f>
        <v>10</v>
      </c>
      <c r="C439" s="99">
        <v>44988</v>
      </c>
      <c r="D439" s="3" t="s">
        <v>71</v>
      </c>
      <c r="E439" s="101"/>
      <c r="F439" s="101"/>
    </row>
    <row r="440" spans="1:6" hidden="1" x14ac:dyDescent="0.3">
      <c r="A440" s="99" t="str">
        <f>BD_ControlRegimen[[#This Row],[FECHA]]&amp;BD_ControlRegimen[[#This Row],[NOMBRE]]</f>
        <v>44989ALVARADO CASTILLO AARON MARIO</v>
      </c>
      <c r="B440" s="100">
        <f>WEEKNUM(BD_ControlRegimen[[#This Row],[FECHA]],2)</f>
        <v>10</v>
      </c>
      <c r="C440" s="99">
        <v>44989</v>
      </c>
      <c r="D440" s="3" t="s">
        <v>71</v>
      </c>
      <c r="E440" s="101"/>
      <c r="F440" s="101"/>
    </row>
    <row r="441" spans="1:6" hidden="1" x14ac:dyDescent="0.3">
      <c r="A441" s="99" t="str">
        <f>BD_ControlRegimen[[#This Row],[FECHA]]&amp;BD_ControlRegimen[[#This Row],[NOMBRE]]</f>
        <v>44990ALVARADO CASTILLO AARON MARIO</v>
      </c>
      <c r="B441" s="100">
        <f>WEEKNUM(BD_ControlRegimen[[#This Row],[FECHA]],2)</f>
        <v>10</v>
      </c>
      <c r="C441" s="99">
        <v>44990</v>
      </c>
      <c r="D441" s="3" t="s">
        <v>71</v>
      </c>
      <c r="E441" s="101"/>
      <c r="F441" s="101"/>
    </row>
    <row r="442" spans="1:6" hidden="1" x14ac:dyDescent="0.3">
      <c r="A442" s="99" t="str">
        <f>BD_ControlRegimen[[#This Row],[FECHA]]&amp;BD_ControlRegimen[[#This Row],[NOMBRE]]</f>
        <v>44991ALVARADO CASTILLO AARON MARIO</v>
      </c>
      <c r="B442" s="100">
        <f>WEEKNUM(BD_ControlRegimen[[#This Row],[FECHA]],2)</f>
        <v>11</v>
      </c>
      <c r="C442" s="99">
        <v>44991</v>
      </c>
      <c r="D442" s="3" t="s">
        <v>71</v>
      </c>
      <c r="E442" s="101"/>
      <c r="F442" s="101"/>
    </row>
    <row r="443" spans="1:6" hidden="1" x14ac:dyDescent="0.3">
      <c r="A443" s="99" t="str">
        <f>BD_ControlRegimen[[#This Row],[FECHA]]&amp;BD_ControlRegimen[[#This Row],[NOMBRE]]</f>
        <v>44992ALVARADO CASTILLO AARON MARIO</v>
      </c>
      <c r="B443" s="100">
        <f>WEEKNUM(BD_ControlRegimen[[#This Row],[FECHA]],2)</f>
        <v>11</v>
      </c>
      <c r="C443" s="99">
        <v>44992</v>
      </c>
      <c r="D443" s="3" t="s">
        <v>71</v>
      </c>
      <c r="E443" s="101"/>
      <c r="F443" s="101"/>
    </row>
    <row r="444" spans="1:6" hidden="1" x14ac:dyDescent="0.3">
      <c r="A444" s="99" t="str">
        <f>BD_ControlRegimen[[#This Row],[FECHA]]&amp;BD_ControlRegimen[[#This Row],[NOMBRE]]</f>
        <v>44993ALVARADO CASTILLO AARON MARIO</v>
      </c>
      <c r="B444" s="100">
        <f>WEEKNUM(BD_ControlRegimen[[#This Row],[FECHA]],2)</f>
        <v>11</v>
      </c>
      <c r="C444" s="99">
        <v>44993</v>
      </c>
      <c r="D444" s="3" t="s">
        <v>71</v>
      </c>
      <c r="E444" s="101"/>
      <c r="F444" s="101"/>
    </row>
    <row r="445" spans="1:6" hidden="1" x14ac:dyDescent="0.3">
      <c r="A445" s="99" t="str">
        <f>BD_ControlRegimen[[#This Row],[FECHA]]&amp;BD_ControlRegimen[[#This Row],[NOMBRE]]</f>
        <v>44994ALVARADO CASTILLO AARON MARIO</v>
      </c>
      <c r="B445" s="100">
        <f>WEEKNUM(BD_ControlRegimen[[#This Row],[FECHA]],2)</f>
        <v>11</v>
      </c>
      <c r="C445" s="99">
        <v>44994</v>
      </c>
      <c r="D445" s="3" t="s">
        <v>71</v>
      </c>
      <c r="E445" s="101"/>
      <c r="F445" s="101"/>
    </row>
    <row r="446" spans="1:6" hidden="1" x14ac:dyDescent="0.3">
      <c r="A446" s="99" t="str">
        <f>BD_ControlRegimen[[#This Row],[FECHA]]&amp;BD_ControlRegimen[[#This Row],[NOMBRE]]</f>
        <v>44995ALVARADO CASTILLO AARON MARIO</v>
      </c>
      <c r="B446" s="100">
        <f>WEEKNUM(BD_ControlRegimen[[#This Row],[FECHA]],2)</f>
        <v>11</v>
      </c>
      <c r="C446" s="99">
        <v>44995</v>
      </c>
      <c r="D446" s="3" t="s">
        <v>71</v>
      </c>
      <c r="E446" s="101"/>
      <c r="F446" s="101"/>
    </row>
    <row r="447" spans="1:6" hidden="1" x14ac:dyDescent="0.3">
      <c r="A447" s="99" t="str">
        <f>BD_ControlRegimen[[#This Row],[FECHA]]&amp;BD_ControlRegimen[[#This Row],[NOMBRE]]</f>
        <v>44996ALVARADO CASTILLO AARON MARIO</v>
      </c>
      <c r="B447" s="100">
        <f>WEEKNUM(BD_ControlRegimen[[#This Row],[FECHA]],2)</f>
        <v>11</v>
      </c>
      <c r="C447" s="99">
        <v>44996</v>
      </c>
      <c r="D447" s="3" t="s">
        <v>71</v>
      </c>
      <c r="E447" s="101"/>
      <c r="F447" s="101"/>
    </row>
    <row r="448" spans="1:6" hidden="1" x14ac:dyDescent="0.3">
      <c r="A448" s="99" t="str">
        <f>BD_ControlRegimen[[#This Row],[FECHA]]&amp;BD_ControlRegimen[[#This Row],[NOMBRE]]</f>
        <v>44997ALVARADO CASTILLO AARON MARIO</v>
      </c>
      <c r="B448" s="100">
        <f>WEEKNUM(BD_ControlRegimen[[#This Row],[FECHA]],2)</f>
        <v>11</v>
      </c>
      <c r="C448" s="99">
        <v>44997</v>
      </c>
      <c r="D448" s="3" t="s">
        <v>71</v>
      </c>
      <c r="E448" s="101"/>
      <c r="F448" s="101"/>
    </row>
    <row r="449" spans="1:6" hidden="1" x14ac:dyDescent="0.3">
      <c r="A449" s="99" t="str">
        <f>BD_ControlRegimen[[#This Row],[FECHA]]&amp;BD_ControlRegimen[[#This Row],[NOMBRE]]</f>
        <v>44998ALVARADO CASTILLO AARON MARIO</v>
      </c>
      <c r="B449" s="100">
        <f>WEEKNUM(BD_ControlRegimen[[#This Row],[FECHA]],2)</f>
        <v>12</v>
      </c>
      <c r="C449" s="99">
        <v>44998</v>
      </c>
      <c r="D449" s="3" t="s">
        <v>71</v>
      </c>
      <c r="E449" s="101"/>
      <c r="F449" s="101"/>
    </row>
    <row r="450" spans="1:6" hidden="1" x14ac:dyDescent="0.3">
      <c r="A450" s="99" t="str">
        <f>BD_ControlRegimen[[#This Row],[FECHA]]&amp;BD_ControlRegimen[[#This Row],[NOMBRE]]</f>
        <v>44999ALVARADO CASTILLO AARON MARIO</v>
      </c>
      <c r="B450" s="100">
        <f>WEEKNUM(BD_ControlRegimen[[#This Row],[FECHA]],2)</f>
        <v>12</v>
      </c>
      <c r="C450" s="99">
        <v>44999</v>
      </c>
      <c r="D450" s="3" t="s">
        <v>71</v>
      </c>
      <c r="E450" s="101"/>
      <c r="F450" s="101"/>
    </row>
    <row r="451" spans="1:6" hidden="1" x14ac:dyDescent="0.3">
      <c r="A451" s="99" t="str">
        <f>BD_ControlRegimen[[#This Row],[FECHA]]&amp;BD_ControlRegimen[[#This Row],[NOMBRE]]</f>
        <v>45000ALVARADO CASTILLO AARON MARIO</v>
      </c>
      <c r="B451" s="100">
        <f>WEEKNUM(BD_ControlRegimen[[#This Row],[FECHA]],2)</f>
        <v>12</v>
      </c>
      <c r="C451" s="99">
        <v>45000</v>
      </c>
      <c r="D451" s="3" t="s">
        <v>71</v>
      </c>
      <c r="E451" s="101"/>
      <c r="F451" s="101"/>
    </row>
    <row r="452" spans="1:6" hidden="1" x14ac:dyDescent="0.3">
      <c r="A452" s="99" t="str">
        <f>BD_ControlRegimen[[#This Row],[FECHA]]&amp;BD_ControlRegimen[[#This Row],[NOMBRE]]</f>
        <v>45001ALVARADO CASTILLO AARON MARIO</v>
      </c>
      <c r="B452" s="100">
        <f>WEEKNUM(BD_ControlRegimen[[#This Row],[FECHA]],2)</f>
        <v>12</v>
      </c>
      <c r="C452" s="99">
        <v>45001</v>
      </c>
      <c r="D452" s="3" t="s">
        <v>71</v>
      </c>
      <c r="E452" s="101"/>
      <c r="F452" s="101"/>
    </row>
    <row r="453" spans="1:6" hidden="1" x14ac:dyDescent="0.3">
      <c r="A453" s="99" t="str">
        <f>BD_ControlRegimen[[#This Row],[FECHA]]&amp;BD_ControlRegimen[[#This Row],[NOMBRE]]</f>
        <v>45002ALVARADO CASTILLO AARON MARIO</v>
      </c>
      <c r="B453" s="100">
        <f>WEEKNUM(BD_ControlRegimen[[#This Row],[FECHA]],2)</f>
        <v>12</v>
      </c>
      <c r="C453" s="99">
        <v>45002</v>
      </c>
      <c r="D453" s="3" t="s">
        <v>71</v>
      </c>
      <c r="E453" s="101"/>
      <c r="F453" s="101"/>
    </row>
    <row r="454" spans="1:6" hidden="1" x14ac:dyDescent="0.3">
      <c r="A454" s="99" t="str">
        <f>BD_ControlRegimen[[#This Row],[FECHA]]&amp;BD_ControlRegimen[[#This Row],[NOMBRE]]</f>
        <v>45003ALVARADO CASTILLO AARON MARIO</v>
      </c>
      <c r="B454" s="100">
        <f>WEEKNUM(BD_ControlRegimen[[#This Row],[FECHA]],2)</f>
        <v>12</v>
      </c>
      <c r="C454" s="99">
        <v>45003</v>
      </c>
      <c r="D454" s="3" t="s">
        <v>71</v>
      </c>
      <c r="E454" s="101"/>
      <c r="F454" s="101"/>
    </row>
    <row r="455" spans="1:6" hidden="1" x14ac:dyDescent="0.3">
      <c r="A455" s="99" t="str">
        <f>BD_ControlRegimen[[#This Row],[FECHA]]&amp;BD_ControlRegimen[[#This Row],[NOMBRE]]</f>
        <v>45004ALVARADO CASTILLO AARON MARIO</v>
      </c>
      <c r="B455" s="100">
        <f>WEEKNUM(BD_ControlRegimen[[#This Row],[FECHA]],2)</f>
        <v>12</v>
      </c>
      <c r="C455" s="99">
        <v>45004</v>
      </c>
      <c r="D455" s="3" t="s">
        <v>71</v>
      </c>
      <c r="E455" s="101"/>
      <c r="F455" s="101"/>
    </row>
    <row r="456" spans="1:6" hidden="1" x14ac:dyDescent="0.3">
      <c r="A456" s="99" t="str">
        <f>BD_ControlRegimen[[#This Row],[FECHA]]&amp;BD_ControlRegimen[[#This Row],[NOMBRE]]</f>
        <v>45005ALVARADO CASTILLO AARON MARIO</v>
      </c>
      <c r="B456" s="100">
        <f>WEEKNUM(BD_ControlRegimen[[#This Row],[FECHA]],2)</f>
        <v>13</v>
      </c>
      <c r="C456" s="99">
        <v>45005</v>
      </c>
      <c r="D456" s="3" t="s">
        <v>71</v>
      </c>
      <c r="E456" s="101"/>
      <c r="F456" s="101"/>
    </row>
    <row r="457" spans="1:6" hidden="1" x14ac:dyDescent="0.3">
      <c r="A457" s="99" t="str">
        <f>BD_ControlRegimen[[#This Row],[FECHA]]&amp;BD_ControlRegimen[[#This Row],[NOMBRE]]</f>
        <v>45006ALVARADO CASTILLO AARON MARIO</v>
      </c>
      <c r="B457" s="100">
        <f>WEEKNUM(BD_ControlRegimen[[#This Row],[FECHA]],2)</f>
        <v>13</v>
      </c>
      <c r="C457" s="99">
        <v>45006</v>
      </c>
      <c r="D457" s="3" t="s">
        <v>71</v>
      </c>
      <c r="E457" s="101"/>
      <c r="F457" s="101"/>
    </row>
    <row r="458" spans="1:6" hidden="1" x14ac:dyDescent="0.3">
      <c r="A458" s="99" t="str">
        <f>BD_ControlRegimen[[#This Row],[FECHA]]&amp;BD_ControlRegimen[[#This Row],[NOMBRE]]</f>
        <v>45007ALVARADO CASTILLO AARON MARIO</v>
      </c>
      <c r="B458" s="100">
        <f>WEEKNUM(BD_ControlRegimen[[#This Row],[FECHA]],2)</f>
        <v>13</v>
      </c>
      <c r="C458" s="99">
        <v>45007</v>
      </c>
      <c r="D458" s="3" t="s">
        <v>71</v>
      </c>
      <c r="E458" s="101"/>
      <c r="F458" s="101"/>
    </row>
    <row r="459" spans="1:6" hidden="1" x14ac:dyDescent="0.3">
      <c r="A459" s="99" t="str">
        <f>BD_ControlRegimen[[#This Row],[FECHA]]&amp;BD_ControlRegimen[[#This Row],[NOMBRE]]</f>
        <v>45008ALVARADO CASTILLO AARON MARIO</v>
      </c>
      <c r="B459" s="100">
        <f>WEEKNUM(BD_ControlRegimen[[#This Row],[FECHA]],2)</f>
        <v>13</v>
      </c>
      <c r="C459" s="99">
        <v>45008</v>
      </c>
      <c r="D459" s="3" t="s">
        <v>71</v>
      </c>
      <c r="E459" s="101"/>
      <c r="F459" s="101"/>
    </row>
    <row r="460" spans="1:6" hidden="1" x14ac:dyDescent="0.3">
      <c r="A460" s="99" t="str">
        <f>BD_ControlRegimen[[#This Row],[FECHA]]&amp;BD_ControlRegimen[[#This Row],[NOMBRE]]</f>
        <v>45009ALVARADO CASTILLO AARON MARIO</v>
      </c>
      <c r="B460" s="100">
        <f>WEEKNUM(BD_ControlRegimen[[#This Row],[FECHA]],2)</f>
        <v>13</v>
      </c>
      <c r="C460" s="99">
        <v>45009</v>
      </c>
      <c r="D460" s="3" t="s">
        <v>71</v>
      </c>
      <c r="E460" s="101"/>
      <c r="F460" s="101"/>
    </row>
    <row r="461" spans="1:6" hidden="1" x14ac:dyDescent="0.3">
      <c r="A461" s="99" t="str">
        <f>BD_ControlRegimen[[#This Row],[FECHA]]&amp;BD_ControlRegimen[[#This Row],[NOMBRE]]</f>
        <v>45010ALVARADO CASTILLO AARON MARIO</v>
      </c>
      <c r="B461" s="100">
        <f>WEEKNUM(BD_ControlRegimen[[#This Row],[FECHA]],2)</f>
        <v>13</v>
      </c>
      <c r="C461" s="99">
        <v>45010</v>
      </c>
      <c r="D461" s="3" t="s">
        <v>71</v>
      </c>
      <c r="E461" s="101"/>
      <c r="F461" s="101"/>
    </row>
    <row r="462" spans="1:6" hidden="1" x14ac:dyDescent="0.3">
      <c r="A462" s="99" t="str">
        <f>BD_ControlRegimen[[#This Row],[FECHA]]&amp;BD_ControlRegimen[[#This Row],[NOMBRE]]</f>
        <v>45011ALVARADO CASTILLO AARON MARIO</v>
      </c>
      <c r="B462" s="100">
        <f>WEEKNUM(BD_ControlRegimen[[#This Row],[FECHA]],2)</f>
        <v>13</v>
      </c>
      <c r="C462" s="99">
        <v>45011</v>
      </c>
      <c r="D462" s="3" t="s">
        <v>71</v>
      </c>
      <c r="E462" s="101"/>
      <c r="F462" s="101"/>
    </row>
    <row r="463" spans="1:6" hidden="1" x14ac:dyDescent="0.3">
      <c r="A463" s="7" t="str">
        <f>BD_ControlRegimen[[#This Row],[FECHA]]&amp;BD_ControlRegimen[[#This Row],[NOMBRE]]</f>
        <v>45012ALVARADO CASTILLO AARON MARIO</v>
      </c>
      <c r="B463" s="83">
        <f>WEEKNUM(BD_ControlRegimen[[#This Row],[FECHA]],2)</f>
        <v>14</v>
      </c>
      <c r="C463" s="7">
        <v>45012</v>
      </c>
      <c r="D463" s="3" t="s">
        <v>71</v>
      </c>
      <c r="E463" s="3"/>
      <c r="F463" s="3"/>
    </row>
    <row r="464" spans="1:6" hidden="1" x14ac:dyDescent="0.3">
      <c r="A464" s="7" t="str">
        <f>BD_ControlRegimen[[#This Row],[FECHA]]&amp;BD_ControlRegimen[[#This Row],[NOMBRE]]</f>
        <v>45013ALVARADO CASTILLO AARON MARIO</v>
      </c>
      <c r="B464" s="83">
        <f>WEEKNUM(BD_ControlRegimen[[#This Row],[FECHA]],2)</f>
        <v>14</v>
      </c>
      <c r="C464" s="7">
        <v>45013</v>
      </c>
      <c r="D464" s="3" t="s">
        <v>71</v>
      </c>
      <c r="E464" s="3"/>
      <c r="F464" s="3"/>
    </row>
    <row r="465" spans="1:6" hidden="1" x14ac:dyDescent="0.3">
      <c r="A465" s="7" t="str">
        <f>BD_ControlRegimen[[#This Row],[FECHA]]&amp;BD_ControlRegimen[[#This Row],[NOMBRE]]</f>
        <v>45014ALVARADO CASTILLO AARON MARIO</v>
      </c>
      <c r="B465" s="83">
        <f>WEEKNUM(BD_ControlRegimen[[#This Row],[FECHA]],2)</f>
        <v>14</v>
      </c>
      <c r="C465" s="7">
        <v>45014</v>
      </c>
      <c r="D465" s="3" t="s">
        <v>71</v>
      </c>
      <c r="E465" s="3"/>
      <c r="F465" s="3"/>
    </row>
    <row r="466" spans="1:6" hidden="1" x14ac:dyDescent="0.3">
      <c r="A466" s="7" t="str">
        <f>BD_ControlRegimen[[#This Row],[FECHA]]&amp;BD_ControlRegimen[[#This Row],[NOMBRE]]</f>
        <v>45015ALVARADO CASTILLO AARON MARIO</v>
      </c>
      <c r="B466" s="83">
        <f>WEEKNUM(BD_ControlRegimen[[#This Row],[FECHA]],2)</f>
        <v>14</v>
      </c>
      <c r="C466" s="7">
        <v>45015</v>
      </c>
      <c r="D466" s="3" t="s">
        <v>71</v>
      </c>
      <c r="E466" s="3"/>
      <c r="F466" s="3"/>
    </row>
    <row r="467" spans="1:6" hidden="1" x14ac:dyDescent="0.3">
      <c r="A467" s="7" t="str">
        <f>BD_ControlRegimen[[#This Row],[FECHA]]&amp;BD_ControlRegimen[[#This Row],[NOMBRE]]</f>
        <v>45016ALVARADO CASTILLO AARON MARIO</v>
      </c>
      <c r="B467" s="83">
        <f>WEEKNUM(BD_ControlRegimen[[#This Row],[FECHA]],2)</f>
        <v>14</v>
      </c>
      <c r="C467" s="7">
        <v>45016</v>
      </c>
      <c r="D467" s="3" t="s">
        <v>71</v>
      </c>
      <c r="E467" s="3"/>
      <c r="F467" s="3"/>
    </row>
    <row r="468" spans="1:6" hidden="1" x14ac:dyDescent="0.3">
      <c r="A468" s="7" t="str">
        <f>BD_ControlRegimen[[#This Row],[FECHA]]&amp;BD_ControlRegimen[[#This Row],[NOMBRE]]</f>
        <v>45017ALVARADO CASTILLO AARON MARIO</v>
      </c>
      <c r="B468" s="83">
        <f>WEEKNUM(BD_ControlRegimen[[#This Row],[FECHA]],2)</f>
        <v>14</v>
      </c>
      <c r="C468" s="7">
        <v>45017</v>
      </c>
      <c r="D468" s="3" t="s">
        <v>71</v>
      </c>
      <c r="E468" s="3"/>
      <c r="F468" s="3"/>
    </row>
    <row r="469" spans="1:6" hidden="1" x14ac:dyDescent="0.3">
      <c r="A469" s="7" t="str">
        <f>BD_ControlRegimen[[#This Row],[FECHA]]&amp;BD_ControlRegimen[[#This Row],[NOMBRE]]</f>
        <v>45018ALVARADO CASTILLO AARON MARIO</v>
      </c>
      <c r="B469" s="83">
        <f>WEEKNUM(BD_ControlRegimen[[#This Row],[FECHA]],2)</f>
        <v>14</v>
      </c>
      <c r="C469" s="7">
        <v>45018</v>
      </c>
      <c r="D469" s="3" t="s">
        <v>71</v>
      </c>
      <c r="E469" s="3"/>
      <c r="F469" s="3"/>
    </row>
    <row r="470" spans="1:6" hidden="1" x14ac:dyDescent="0.3">
      <c r="A470" s="7" t="str">
        <f>BD_ControlRegimen[[#This Row],[FECHA]]&amp;BD_ControlRegimen[[#This Row],[NOMBRE]]</f>
        <v>45019ALVARADO CASTILLO AARON MARIO</v>
      </c>
      <c r="B470" s="83">
        <f>WEEKNUM(BD_ControlRegimen[[#This Row],[FECHA]],2)</f>
        <v>15</v>
      </c>
      <c r="C470" s="7">
        <v>45019</v>
      </c>
      <c r="D470" s="3" t="s">
        <v>71</v>
      </c>
      <c r="E470" s="3"/>
      <c r="F470" s="3"/>
    </row>
    <row r="471" spans="1:6" hidden="1" x14ac:dyDescent="0.3">
      <c r="A471" s="7" t="str">
        <f>BD_ControlRegimen[[#This Row],[FECHA]]&amp;BD_ControlRegimen[[#This Row],[NOMBRE]]</f>
        <v>45020ALVARADO CASTILLO AARON MARIO</v>
      </c>
      <c r="B471" s="83">
        <f>WEEKNUM(BD_ControlRegimen[[#This Row],[FECHA]],2)</f>
        <v>15</v>
      </c>
      <c r="C471" s="7">
        <v>45020</v>
      </c>
      <c r="D471" s="3" t="s">
        <v>71</v>
      </c>
      <c r="E471" s="3"/>
      <c r="F471" s="3"/>
    </row>
    <row r="472" spans="1:6" hidden="1" x14ac:dyDescent="0.3">
      <c r="A472" s="7" t="str">
        <f>BD_ControlRegimen[[#This Row],[FECHA]]&amp;BD_ControlRegimen[[#This Row],[NOMBRE]]</f>
        <v>45021ALVARADO CASTILLO AARON MARIO</v>
      </c>
      <c r="B472" s="83">
        <f>WEEKNUM(BD_ControlRegimen[[#This Row],[FECHA]],2)</f>
        <v>15</v>
      </c>
      <c r="C472" s="7">
        <v>45021</v>
      </c>
      <c r="D472" s="3" t="s">
        <v>71</v>
      </c>
      <c r="E472" s="3"/>
      <c r="F472" s="3"/>
    </row>
    <row r="473" spans="1:6" hidden="1" x14ac:dyDescent="0.3">
      <c r="A473" s="7" t="str">
        <f>BD_ControlRegimen[[#This Row],[FECHA]]&amp;BD_ControlRegimen[[#This Row],[NOMBRE]]</f>
        <v>45022ALVARADO CASTILLO AARON MARIO</v>
      </c>
      <c r="B473" s="83">
        <f>WEEKNUM(BD_ControlRegimen[[#This Row],[FECHA]],2)</f>
        <v>15</v>
      </c>
      <c r="C473" s="7">
        <v>45022</v>
      </c>
      <c r="D473" s="3" t="s">
        <v>71</v>
      </c>
      <c r="E473" s="3"/>
      <c r="F473" s="3"/>
    </row>
    <row r="474" spans="1:6" hidden="1" x14ac:dyDescent="0.3">
      <c r="A474" s="7" t="str">
        <f>BD_ControlRegimen[[#This Row],[FECHA]]&amp;BD_ControlRegimen[[#This Row],[NOMBRE]]</f>
        <v>45023ALVARADO CASTILLO AARON MARIO</v>
      </c>
      <c r="B474" s="83">
        <f>WEEKNUM(BD_ControlRegimen[[#This Row],[FECHA]],2)</f>
        <v>15</v>
      </c>
      <c r="C474" s="7">
        <v>45023</v>
      </c>
      <c r="D474" s="3" t="s">
        <v>71</v>
      </c>
      <c r="E474" s="3"/>
      <c r="F474" s="3"/>
    </row>
    <row r="475" spans="1:6" hidden="1" x14ac:dyDescent="0.3">
      <c r="A475" s="7" t="str">
        <f>BD_ControlRegimen[[#This Row],[FECHA]]&amp;BD_ControlRegimen[[#This Row],[NOMBRE]]</f>
        <v>45024ALVARADO CASTILLO AARON MARIO</v>
      </c>
      <c r="B475" s="83">
        <f>WEEKNUM(BD_ControlRegimen[[#This Row],[FECHA]],2)</f>
        <v>15</v>
      </c>
      <c r="C475" s="7">
        <v>45024</v>
      </c>
      <c r="D475" s="3" t="s">
        <v>71</v>
      </c>
      <c r="E475" s="3"/>
      <c r="F475" s="3"/>
    </row>
    <row r="476" spans="1:6" hidden="1" x14ac:dyDescent="0.3">
      <c r="A476" s="7" t="str">
        <f>BD_ControlRegimen[[#This Row],[FECHA]]&amp;BD_ControlRegimen[[#This Row],[NOMBRE]]</f>
        <v>45025ALVARADO CASTILLO AARON MARIO</v>
      </c>
      <c r="B476" s="83">
        <f>WEEKNUM(BD_ControlRegimen[[#This Row],[FECHA]],2)</f>
        <v>15</v>
      </c>
      <c r="C476" s="7">
        <v>45025</v>
      </c>
      <c r="D476" s="3" t="s">
        <v>71</v>
      </c>
      <c r="E476" s="3"/>
      <c r="F476" s="3"/>
    </row>
    <row r="477" spans="1:6" hidden="1" x14ac:dyDescent="0.3">
      <c r="A477" s="7" t="str">
        <f>BD_ControlRegimen[[#This Row],[FECHA]]&amp;BD_ControlRegimen[[#This Row],[NOMBRE]]</f>
        <v>45026ALVARADO CASTILLO AARON MARIO</v>
      </c>
      <c r="B477" s="83">
        <f>WEEKNUM(BD_ControlRegimen[[#This Row],[FECHA]],2)</f>
        <v>16</v>
      </c>
      <c r="C477" s="7">
        <v>45026</v>
      </c>
      <c r="D477" s="3" t="s">
        <v>71</v>
      </c>
      <c r="E477" s="3"/>
      <c r="F477" s="3"/>
    </row>
    <row r="478" spans="1:6" hidden="1" x14ac:dyDescent="0.3">
      <c r="A478" s="7" t="str">
        <f>BD_ControlRegimen[[#This Row],[FECHA]]&amp;BD_ControlRegimen[[#This Row],[NOMBRE]]</f>
        <v>45027ALVARADO CASTILLO AARON MARIO</v>
      </c>
      <c r="B478" s="83">
        <f>WEEKNUM(BD_ControlRegimen[[#This Row],[FECHA]],2)</f>
        <v>16</v>
      </c>
      <c r="C478" s="7">
        <v>45027</v>
      </c>
      <c r="D478" s="3" t="s">
        <v>71</v>
      </c>
      <c r="E478" s="3"/>
      <c r="F478" s="3"/>
    </row>
    <row r="479" spans="1:6" hidden="1" x14ac:dyDescent="0.3">
      <c r="A479" s="7" t="str">
        <f>BD_ControlRegimen[[#This Row],[FECHA]]&amp;BD_ControlRegimen[[#This Row],[NOMBRE]]</f>
        <v>45028ALVARADO CASTILLO AARON MARIO</v>
      </c>
      <c r="B479" s="83">
        <f>WEEKNUM(BD_ControlRegimen[[#This Row],[FECHA]],2)</f>
        <v>16</v>
      </c>
      <c r="C479" s="7">
        <v>45028</v>
      </c>
      <c r="D479" s="3" t="s">
        <v>71</v>
      </c>
      <c r="E479" s="3"/>
      <c r="F479" s="3"/>
    </row>
    <row r="480" spans="1:6" hidden="1" x14ac:dyDescent="0.3">
      <c r="A480" s="7" t="str">
        <f>BD_ControlRegimen[[#This Row],[FECHA]]&amp;BD_ControlRegimen[[#This Row],[NOMBRE]]</f>
        <v>45029ALVARADO CASTILLO AARON MARIO</v>
      </c>
      <c r="B480" s="83">
        <f>WEEKNUM(BD_ControlRegimen[[#This Row],[FECHA]],2)</f>
        <v>16</v>
      </c>
      <c r="C480" s="7">
        <v>45029</v>
      </c>
      <c r="D480" s="3" t="s">
        <v>71</v>
      </c>
      <c r="E480" s="3"/>
      <c r="F480" s="3"/>
    </row>
    <row r="481" spans="1:6" hidden="1" x14ac:dyDescent="0.3">
      <c r="A481" s="7" t="str">
        <f>BD_ControlRegimen[[#This Row],[FECHA]]&amp;BD_ControlRegimen[[#This Row],[NOMBRE]]</f>
        <v>45030ALVARADO CASTILLO AARON MARIO</v>
      </c>
      <c r="B481" s="83">
        <f>WEEKNUM(BD_ControlRegimen[[#This Row],[FECHA]],2)</f>
        <v>16</v>
      </c>
      <c r="C481" s="7">
        <v>45030</v>
      </c>
      <c r="D481" s="3" t="s">
        <v>71</v>
      </c>
      <c r="E481" s="3"/>
      <c r="F481" s="3"/>
    </row>
    <row r="482" spans="1:6" hidden="1" x14ac:dyDescent="0.3">
      <c r="A482" s="7" t="str">
        <f>BD_ControlRegimen[[#This Row],[FECHA]]&amp;BD_ControlRegimen[[#This Row],[NOMBRE]]</f>
        <v>45031ALVARADO CASTILLO AARON MARIO</v>
      </c>
      <c r="B482" s="83">
        <f>WEEKNUM(BD_ControlRegimen[[#This Row],[FECHA]],2)</f>
        <v>16</v>
      </c>
      <c r="C482" s="7">
        <v>45031</v>
      </c>
      <c r="D482" s="3" t="s">
        <v>71</v>
      </c>
      <c r="E482" s="3"/>
      <c r="F482" s="3"/>
    </row>
    <row r="483" spans="1:6" hidden="1" x14ac:dyDescent="0.3">
      <c r="A483" s="7" t="str">
        <f>BD_ControlRegimen[[#This Row],[FECHA]]&amp;BD_ControlRegimen[[#This Row],[NOMBRE]]</f>
        <v>45032ALVARADO CASTILLO AARON MARIO</v>
      </c>
      <c r="B483" s="83">
        <f>WEEKNUM(BD_ControlRegimen[[#This Row],[FECHA]],2)</f>
        <v>16</v>
      </c>
      <c r="C483" s="7">
        <v>45032</v>
      </c>
      <c r="D483" s="3" t="s">
        <v>71</v>
      </c>
      <c r="E483" s="3"/>
      <c r="F483" s="3"/>
    </row>
    <row r="484" spans="1:6" x14ac:dyDescent="0.3">
      <c r="A484" s="7" t="str">
        <f>BD_ControlRegimen[[#This Row],[FECHA]]&amp;BD_ControlRegimen[[#This Row],[NOMBRE]]</f>
        <v>45033ALVARADO CASTILLO AARON MARIO</v>
      </c>
      <c r="B484" s="83">
        <f>WEEKNUM(BD_ControlRegimen[[#This Row],[FECHA]],2)</f>
        <v>17</v>
      </c>
      <c r="C484" s="7">
        <v>45033</v>
      </c>
      <c r="D484" s="3" t="s">
        <v>71</v>
      </c>
      <c r="E484" s="3" t="s">
        <v>154</v>
      </c>
      <c r="F484" s="3"/>
    </row>
    <row r="485" spans="1:6" x14ac:dyDescent="0.3">
      <c r="A485" s="7" t="str">
        <f>BD_ControlRegimen[[#This Row],[FECHA]]&amp;BD_ControlRegimen[[#This Row],[NOMBRE]]</f>
        <v>45034ALVARADO CASTILLO AARON MARIO</v>
      </c>
      <c r="B485" s="83">
        <f>WEEKNUM(BD_ControlRegimen[[#This Row],[FECHA]],2)</f>
        <v>17</v>
      </c>
      <c r="C485" s="7">
        <v>45034</v>
      </c>
      <c r="D485" s="3" t="s">
        <v>71</v>
      </c>
      <c r="E485" s="3" t="s">
        <v>154</v>
      </c>
      <c r="F485" s="3"/>
    </row>
    <row r="486" spans="1:6" x14ac:dyDescent="0.3">
      <c r="A486" s="7" t="str">
        <f>BD_ControlRegimen[[#This Row],[FECHA]]&amp;BD_ControlRegimen[[#This Row],[NOMBRE]]</f>
        <v>45035ALVARADO CASTILLO AARON MARIO</v>
      </c>
      <c r="B486" s="83">
        <f>WEEKNUM(BD_ControlRegimen[[#This Row],[FECHA]],2)</f>
        <v>17</v>
      </c>
      <c r="C486" s="7">
        <v>45035</v>
      </c>
      <c r="D486" s="3" t="s">
        <v>71</v>
      </c>
      <c r="E486" s="3" t="s">
        <v>154</v>
      </c>
      <c r="F486" s="3"/>
    </row>
    <row r="487" spans="1:6" x14ac:dyDescent="0.3">
      <c r="A487" s="7" t="str">
        <f>BD_ControlRegimen[[#This Row],[FECHA]]&amp;BD_ControlRegimen[[#This Row],[NOMBRE]]</f>
        <v>45036ALVARADO CASTILLO AARON MARIO</v>
      </c>
      <c r="B487" s="83">
        <f>WEEKNUM(BD_ControlRegimen[[#This Row],[FECHA]],2)</f>
        <v>17</v>
      </c>
      <c r="C487" s="7">
        <v>45036</v>
      </c>
      <c r="D487" s="3" t="s">
        <v>71</v>
      </c>
      <c r="E487" s="3" t="s">
        <v>154</v>
      </c>
      <c r="F487" s="3"/>
    </row>
    <row r="488" spans="1:6" x14ac:dyDescent="0.3">
      <c r="A488" s="7" t="str">
        <f>BD_ControlRegimen[[#This Row],[FECHA]]&amp;BD_ControlRegimen[[#This Row],[NOMBRE]]</f>
        <v>45037ALVARADO CASTILLO AARON MARIO</v>
      </c>
      <c r="B488" s="83">
        <f>WEEKNUM(BD_ControlRegimen[[#This Row],[FECHA]],2)</f>
        <v>17</v>
      </c>
      <c r="C488" s="7">
        <v>45037</v>
      </c>
      <c r="D488" s="3" t="s">
        <v>71</v>
      </c>
      <c r="E488" s="3" t="s">
        <v>154</v>
      </c>
      <c r="F488" s="3"/>
    </row>
    <row r="489" spans="1:6" x14ac:dyDescent="0.3">
      <c r="A489" s="7" t="str">
        <f>BD_ControlRegimen[[#This Row],[FECHA]]&amp;BD_ControlRegimen[[#This Row],[NOMBRE]]</f>
        <v>45038ALVARADO CASTILLO AARON MARIO</v>
      </c>
      <c r="B489" s="83">
        <f>WEEKNUM(BD_ControlRegimen[[#This Row],[FECHA]],2)</f>
        <v>17</v>
      </c>
      <c r="C489" s="7">
        <v>45038</v>
      </c>
      <c r="D489" s="3" t="s">
        <v>71</v>
      </c>
      <c r="E489" s="3" t="s">
        <v>154</v>
      </c>
      <c r="F489" s="3"/>
    </row>
    <row r="490" spans="1:6" x14ac:dyDescent="0.3">
      <c r="A490" s="7" t="str">
        <f>BD_ControlRegimen[[#This Row],[FECHA]]&amp;BD_ControlRegimen[[#This Row],[NOMBRE]]</f>
        <v>45039ALVARADO CASTILLO AARON MARIO</v>
      </c>
      <c r="B490" s="83">
        <f>WEEKNUM(BD_ControlRegimen[[#This Row],[FECHA]],2)</f>
        <v>17</v>
      </c>
      <c r="C490" s="7">
        <v>45039</v>
      </c>
      <c r="D490" s="3" t="s">
        <v>71</v>
      </c>
      <c r="E490" s="3" t="s">
        <v>154</v>
      </c>
      <c r="F490" s="3"/>
    </row>
    <row r="491" spans="1:6" x14ac:dyDescent="0.3">
      <c r="A491" s="7" t="str">
        <f>BD_ControlRegimen[[#This Row],[FECHA]]&amp;BD_ControlRegimen[[#This Row],[NOMBRE]]</f>
        <v>45040ALVARADO CASTILLO AARON MARIO</v>
      </c>
      <c r="B491" s="83">
        <f>WEEKNUM(BD_ControlRegimen[[#This Row],[FECHA]],2)</f>
        <v>18</v>
      </c>
      <c r="C491" s="7">
        <v>45040</v>
      </c>
      <c r="D491" s="3" t="s">
        <v>71</v>
      </c>
      <c r="E491" s="3" t="s">
        <v>154</v>
      </c>
      <c r="F491" s="3"/>
    </row>
    <row r="492" spans="1:6" x14ac:dyDescent="0.3">
      <c r="A492" s="7" t="str">
        <f>BD_ControlRegimen[[#This Row],[FECHA]]&amp;BD_ControlRegimen[[#This Row],[NOMBRE]]</f>
        <v>45041ALVARADO CASTILLO AARON MARIO</v>
      </c>
      <c r="B492" s="83">
        <f>WEEKNUM(BD_ControlRegimen[[#This Row],[FECHA]],2)</f>
        <v>18</v>
      </c>
      <c r="C492" s="7">
        <v>45041</v>
      </c>
      <c r="D492" s="3" t="s">
        <v>71</v>
      </c>
      <c r="E492" s="3" t="s">
        <v>154</v>
      </c>
      <c r="F492" s="3"/>
    </row>
    <row r="493" spans="1:6" x14ac:dyDescent="0.3">
      <c r="A493" s="7" t="str">
        <f>BD_ControlRegimen[[#This Row],[FECHA]]&amp;BD_ControlRegimen[[#This Row],[NOMBRE]]</f>
        <v>45042ALVARADO CASTILLO AARON MARIO</v>
      </c>
      <c r="B493" s="83">
        <f>WEEKNUM(BD_ControlRegimen[[#This Row],[FECHA]],2)</f>
        <v>18</v>
      </c>
      <c r="C493" s="7">
        <v>45042</v>
      </c>
      <c r="D493" s="3" t="s">
        <v>71</v>
      </c>
      <c r="E493" s="3" t="s">
        <v>154</v>
      </c>
      <c r="F493" s="3"/>
    </row>
    <row r="494" spans="1:6" x14ac:dyDescent="0.3">
      <c r="A494" s="7" t="str">
        <f>BD_ControlRegimen[[#This Row],[FECHA]]&amp;BD_ControlRegimen[[#This Row],[NOMBRE]]</f>
        <v>45043ALVARADO CASTILLO AARON MARIO</v>
      </c>
      <c r="B494" s="83">
        <f>WEEKNUM(BD_ControlRegimen[[#This Row],[FECHA]],2)</f>
        <v>18</v>
      </c>
      <c r="C494" s="7">
        <v>45043</v>
      </c>
      <c r="D494" s="3" t="s">
        <v>71</v>
      </c>
      <c r="E494" s="3" t="s">
        <v>154</v>
      </c>
      <c r="F494" s="3"/>
    </row>
    <row r="495" spans="1:6" x14ac:dyDescent="0.3">
      <c r="A495" s="7" t="str">
        <f>BD_ControlRegimen[[#This Row],[FECHA]]&amp;BD_ControlRegimen[[#This Row],[NOMBRE]]</f>
        <v>45044ALVARADO CASTILLO AARON MARIO</v>
      </c>
      <c r="B495" s="83">
        <f>WEEKNUM(BD_ControlRegimen[[#This Row],[FECHA]],2)</f>
        <v>18</v>
      </c>
      <c r="C495" s="7">
        <v>45044</v>
      </c>
      <c r="D495" s="3" t="s">
        <v>71</v>
      </c>
      <c r="E495" s="3" t="s">
        <v>154</v>
      </c>
      <c r="F495" s="3"/>
    </row>
    <row r="496" spans="1:6" x14ac:dyDescent="0.3">
      <c r="A496" s="7" t="str">
        <f>BD_ControlRegimen[[#This Row],[FECHA]]&amp;BD_ControlRegimen[[#This Row],[NOMBRE]]</f>
        <v>45045ALVARADO CASTILLO AARON MARIO</v>
      </c>
      <c r="B496" s="83">
        <f>WEEKNUM(BD_ControlRegimen[[#This Row],[FECHA]],2)</f>
        <v>18</v>
      </c>
      <c r="C496" s="7">
        <v>45045</v>
      </c>
      <c r="D496" s="3" t="s">
        <v>71</v>
      </c>
      <c r="E496" s="3" t="s">
        <v>154</v>
      </c>
      <c r="F496" s="3"/>
    </row>
    <row r="497" spans="1:6" x14ac:dyDescent="0.3">
      <c r="A497" s="7" t="str">
        <f>BD_ControlRegimen[[#This Row],[FECHA]]&amp;BD_ControlRegimen[[#This Row],[NOMBRE]]</f>
        <v>45046ALVARADO CASTILLO AARON MARIO</v>
      </c>
      <c r="B497" s="83">
        <f>WEEKNUM(BD_ControlRegimen[[#This Row],[FECHA]],2)</f>
        <v>18</v>
      </c>
      <c r="C497" s="7">
        <v>45046</v>
      </c>
      <c r="D497" s="3" t="s">
        <v>71</v>
      </c>
      <c r="E497" s="3" t="s">
        <v>154</v>
      </c>
      <c r="F497" s="3"/>
    </row>
    <row r="498" spans="1:6" x14ac:dyDescent="0.3">
      <c r="A498" s="7" t="str">
        <f>BD_ControlRegimen[[#This Row],[FECHA]]&amp;BD_ControlRegimen[[#This Row],[NOMBRE]]</f>
        <v>45047ALVARADO CASTILLO AARON MARIO</v>
      </c>
      <c r="B498" s="83">
        <f>WEEKNUM(BD_ControlRegimen[[#This Row],[FECHA]],2)</f>
        <v>19</v>
      </c>
      <c r="C498" s="7">
        <v>45047</v>
      </c>
      <c r="D498" s="3" t="s">
        <v>71</v>
      </c>
      <c r="E498" s="3" t="s">
        <v>154</v>
      </c>
      <c r="F498" s="3"/>
    </row>
    <row r="499" spans="1:6" x14ac:dyDescent="0.3">
      <c r="A499" s="7" t="str">
        <f>BD_ControlRegimen[[#This Row],[FECHA]]&amp;BD_ControlRegimen[[#This Row],[NOMBRE]]</f>
        <v>45048ALVARADO CASTILLO AARON MARIO</v>
      </c>
      <c r="B499" s="83">
        <f>WEEKNUM(BD_ControlRegimen[[#This Row],[FECHA]],2)</f>
        <v>19</v>
      </c>
      <c r="C499" s="7">
        <v>45048</v>
      </c>
      <c r="D499" s="3" t="s">
        <v>71</v>
      </c>
      <c r="E499" s="3" t="s">
        <v>154</v>
      </c>
      <c r="F499" s="3"/>
    </row>
    <row r="500" spans="1:6" x14ac:dyDescent="0.3">
      <c r="A500" s="7" t="str">
        <f>BD_ControlRegimen[[#This Row],[FECHA]]&amp;BD_ControlRegimen[[#This Row],[NOMBRE]]</f>
        <v>45049ALVARADO CASTILLO AARON MARIO</v>
      </c>
      <c r="B500" s="83">
        <f>WEEKNUM(BD_ControlRegimen[[#This Row],[FECHA]],2)</f>
        <v>19</v>
      </c>
      <c r="C500" s="7">
        <v>45049</v>
      </c>
      <c r="D500" s="3" t="s">
        <v>71</v>
      </c>
      <c r="E500" s="3" t="s">
        <v>154</v>
      </c>
      <c r="F500" s="3"/>
    </row>
    <row r="501" spans="1:6" x14ac:dyDescent="0.3">
      <c r="A501" s="7" t="str">
        <f>BD_ControlRegimen[[#This Row],[FECHA]]&amp;BD_ControlRegimen[[#This Row],[NOMBRE]]</f>
        <v>45050ALVARADO CASTILLO AARON MARIO</v>
      </c>
      <c r="B501" s="83">
        <f>WEEKNUM(BD_ControlRegimen[[#This Row],[FECHA]],2)</f>
        <v>19</v>
      </c>
      <c r="C501" s="7">
        <v>45050</v>
      </c>
      <c r="D501" s="3" t="s">
        <v>71</v>
      </c>
      <c r="E501" s="3" t="s">
        <v>154</v>
      </c>
      <c r="F501" s="3"/>
    </row>
    <row r="502" spans="1:6" x14ac:dyDescent="0.3">
      <c r="A502" s="7" t="str">
        <f>BD_ControlRegimen[[#This Row],[FECHA]]&amp;BD_ControlRegimen[[#This Row],[NOMBRE]]</f>
        <v>45051ALVARADO CASTILLO AARON MARIO</v>
      </c>
      <c r="B502" s="83">
        <f>WEEKNUM(BD_ControlRegimen[[#This Row],[FECHA]],2)</f>
        <v>19</v>
      </c>
      <c r="C502" s="7">
        <v>45051</v>
      </c>
      <c r="D502" s="3" t="s">
        <v>71</v>
      </c>
      <c r="E502" s="3" t="s">
        <v>154</v>
      </c>
      <c r="F502" s="3"/>
    </row>
    <row r="503" spans="1:6" x14ac:dyDescent="0.3">
      <c r="A503" s="7" t="str">
        <f>BD_ControlRegimen[[#This Row],[FECHA]]&amp;BD_ControlRegimen[[#This Row],[NOMBRE]]</f>
        <v>45052ALVARADO CASTILLO AARON MARIO</v>
      </c>
      <c r="B503" s="83">
        <f>WEEKNUM(BD_ControlRegimen[[#This Row],[FECHA]],2)</f>
        <v>19</v>
      </c>
      <c r="C503" s="7">
        <v>45052</v>
      </c>
      <c r="D503" s="3" t="s">
        <v>71</v>
      </c>
      <c r="E503" s="3" t="s">
        <v>154</v>
      </c>
      <c r="F503" s="3"/>
    </row>
    <row r="504" spans="1:6" x14ac:dyDescent="0.3">
      <c r="A504" s="7" t="str">
        <f>BD_ControlRegimen[[#This Row],[FECHA]]&amp;BD_ControlRegimen[[#This Row],[NOMBRE]]</f>
        <v>45053ALVARADO CASTILLO AARON MARIO</v>
      </c>
      <c r="B504" s="83">
        <f>WEEKNUM(BD_ControlRegimen[[#This Row],[FECHA]],2)</f>
        <v>19</v>
      </c>
      <c r="C504" s="7">
        <v>45053</v>
      </c>
      <c r="D504" s="3" t="s">
        <v>71</v>
      </c>
      <c r="E504" s="3" t="s">
        <v>154</v>
      </c>
      <c r="F504" s="3"/>
    </row>
    <row r="505" spans="1:6" x14ac:dyDescent="0.3">
      <c r="A505" s="7" t="str">
        <f>BD_ControlRegimen[[#This Row],[FECHA]]&amp;BD_ControlRegimen[[#This Row],[NOMBRE]]</f>
        <v>45054ALVARADO CASTILLO AARON MARIO</v>
      </c>
      <c r="B505" s="83">
        <f>WEEKNUM(BD_ControlRegimen[[#This Row],[FECHA]],2)</f>
        <v>20</v>
      </c>
      <c r="C505" s="7">
        <v>45054</v>
      </c>
      <c r="D505" s="3" t="s">
        <v>71</v>
      </c>
      <c r="E505" s="3" t="s">
        <v>155</v>
      </c>
      <c r="F505" s="3"/>
    </row>
    <row r="506" spans="1:6" x14ac:dyDescent="0.3">
      <c r="A506" s="7" t="str">
        <f>BD_ControlRegimen[[#This Row],[FECHA]]&amp;BD_ControlRegimen[[#This Row],[NOMBRE]]</f>
        <v>45055ALVARADO CASTILLO AARON MARIO</v>
      </c>
      <c r="B506" s="83">
        <f>WEEKNUM(BD_ControlRegimen[[#This Row],[FECHA]],2)</f>
        <v>20</v>
      </c>
      <c r="C506" s="7">
        <v>45055</v>
      </c>
      <c r="D506" s="3" t="s">
        <v>71</v>
      </c>
      <c r="E506" s="3" t="s">
        <v>155</v>
      </c>
      <c r="F506" s="3"/>
    </row>
    <row r="507" spans="1:6" x14ac:dyDescent="0.3">
      <c r="A507" s="7" t="str">
        <f>BD_ControlRegimen[[#This Row],[FECHA]]&amp;BD_ControlRegimen[[#This Row],[NOMBRE]]</f>
        <v>45056ALVARADO CASTILLO AARON MARIO</v>
      </c>
      <c r="B507" s="83">
        <f>WEEKNUM(BD_ControlRegimen[[#This Row],[FECHA]],2)</f>
        <v>20</v>
      </c>
      <c r="C507" s="7">
        <v>45056</v>
      </c>
      <c r="D507" s="3" t="s">
        <v>71</v>
      </c>
      <c r="E507" s="3" t="s">
        <v>155</v>
      </c>
      <c r="F507" s="3"/>
    </row>
    <row r="508" spans="1:6" x14ac:dyDescent="0.3">
      <c r="A508" s="7" t="str">
        <f>BD_ControlRegimen[[#This Row],[FECHA]]&amp;BD_ControlRegimen[[#This Row],[NOMBRE]]</f>
        <v>45057ALVARADO CASTILLO AARON MARIO</v>
      </c>
      <c r="B508" s="83">
        <f>WEEKNUM(BD_ControlRegimen[[#This Row],[FECHA]],2)</f>
        <v>20</v>
      </c>
      <c r="C508" s="7">
        <v>45057</v>
      </c>
      <c r="D508" s="3" t="s">
        <v>71</v>
      </c>
      <c r="E508" s="3" t="s">
        <v>155</v>
      </c>
      <c r="F508" s="3"/>
    </row>
    <row r="509" spans="1:6" x14ac:dyDescent="0.3">
      <c r="A509" s="7" t="str">
        <f>BD_ControlRegimen[[#This Row],[FECHA]]&amp;BD_ControlRegimen[[#This Row],[NOMBRE]]</f>
        <v>45058ALVARADO CASTILLO AARON MARIO</v>
      </c>
      <c r="B509" s="83">
        <f>WEEKNUM(BD_ControlRegimen[[#This Row],[FECHA]],2)</f>
        <v>20</v>
      </c>
      <c r="C509" s="7">
        <v>45058</v>
      </c>
      <c r="D509" s="3" t="s">
        <v>71</v>
      </c>
      <c r="E509" s="3" t="s">
        <v>155</v>
      </c>
      <c r="F509" s="3"/>
    </row>
    <row r="510" spans="1:6" x14ac:dyDescent="0.3">
      <c r="A510" s="7" t="str">
        <f>BD_ControlRegimen[[#This Row],[FECHA]]&amp;BD_ControlRegimen[[#This Row],[NOMBRE]]</f>
        <v>45059ALVARADO CASTILLO AARON MARIO</v>
      </c>
      <c r="B510" s="83">
        <f>WEEKNUM(BD_ControlRegimen[[#This Row],[FECHA]],2)</f>
        <v>20</v>
      </c>
      <c r="C510" s="7">
        <v>45059</v>
      </c>
      <c r="D510" s="3" t="s">
        <v>71</v>
      </c>
      <c r="E510" s="3" t="s">
        <v>155</v>
      </c>
      <c r="F510" s="3"/>
    </row>
    <row r="511" spans="1:6" x14ac:dyDescent="0.3">
      <c r="A511" s="7" t="str">
        <f>BD_ControlRegimen[[#This Row],[FECHA]]&amp;BD_ControlRegimen[[#This Row],[NOMBRE]]</f>
        <v>45060ALVARADO CASTILLO AARON MARIO</v>
      </c>
      <c r="B511" s="83">
        <f>WEEKNUM(BD_ControlRegimen[[#This Row],[FECHA]],2)</f>
        <v>20</v>
      </c>
      <c r="C511" s="7">
        <v>45060</v>
      </c>
      <c r="D511" s="3" t="s">
        <v>71</v>
      </c>
      <c r="E511" s="3" t="s">
        <v>155</v>
      </c>
      <c r="F511" s="3"/>
    </row>
    <row r="512" spans="1:6" hidden="1" x14ac:dyDescent="0.3">
      <c r="A512" s="7" t="str">
        <f>BD_ControlRegimen[[#This Row],[FECHA]]&amp;BD_ControlRegimen[[#This Row],[NOMBRE]]</f>
        <v>45061ALVARADO CASTILLO AARON MARIO</v>
      </c>
      <c r="B512" s="83">
        <f>WEEKNUM(BD_ControlRegimen[[#This Row],[FECHA]],2)</f>
        <v>21</v>
      </c>
      <c r="C512" s="7">
        <v>45061</v>
      </c>
      <c r="D512" s="3" t="s">
        <v>71</v>
      </c>
      <c r="E512" s="3"/>
      <c r="F512" s="3"/>
    </row>
    <row r="513" spans="1:6" hidden="1" x14ac:dyDescent="0.3">
      <c r="A513" s="7" t="str">
        <f>BD_ControlRegimen[[#This Row],[FECHA]]&amp;BD_ControlRegimen[[#This Row],[NOMBRE]]</f>
        <v>45062ALVARADO CASTILLO AARON MARIO</v>
      </c>
      <c r="B513" s="83">
        <f>WEEKNUM(BD_ControlRegimen[[#This Row],[FECHA]],2)</f>
        <v>21</v>
      </c>
      <c r="C513" s="7">
        <v>45062</v>
      </c>
      <c r="D513" s="3" t="s">
        <v>71</v>
      </c>
      <c r="E513" s="3"/>
      <c r="F513" s="3"/>
    </row>
    <row r="514" spans="1:6" hidden="1" x14ac:dyDescent="0.3">
      <c r="A514" s="7" t="str">
        <f>BD_ControlRegimen[[#This Row],[FECHA]]&amp;BD_ControlRegimen[[#This Row],[NOMBRE]]</f>
        <v>45063ALVARADO CASTILLO AARON MARIO</v>
      </c>
      <c r="B514" s="83">
        <f>WEEKNUM(BD_ControlRegimen[[#This Row],[FECHA]],2)</f>
        <v>21</v>
      </c>
      <c r="C514" s="7">
        <v>45063</v>
      </c>
      <c r="D514" s="3" t="s">
        <v>71</v>
      </c>
      <c r="E514" s="3"/>
      <c r="F514" s="3"/>
    </row>
    <row r="515" spans="1:6" hidden="1" x14ac:dyDescent="0.3">
      <c r="A515" s="7" t="str">
        <f>BD_ControlRegimen[[#This Row],[FECHA]]&amp;BD_ControlRegimen[[#This Row],[NOMBRE]]</f>
        <v>45064ALVARADO CASTILLO AARON MARIO</v>
      </c>
      <c r="B515" s="83">
        <f>WEEKNUM(BD_ControlRegimen[[#This Row],[FECHA]],2)</f>
        <v>21</v>
      </c>
      <c r="C515" s="7">
        <v>45064</v>
      </c>
      <c r="D515" s="3" t="s">
        <v>71</v>
      </c>
      <c r="E515" s="3"/>
      <c r="F515" s="3"/>
    </row>
    <row r="516" spans="1:6" hidden="1" x14ac:dyDescent="0.3">
      <c r="A516" s="7" t="str">
        <f>BD_ControlRegimen[[#This Row],[FECHA]]&amp;BD_ControlRegimen[[#This Row],[NOMBRE]]</f>
        <v>45065ALVARADO CASTILLO AARON MARIO</v>
      </c>
      <c r="B516" s="83">
        <f>WEEKNUM(BD_ControlRegimen[[#This Row],[FECHA]],2)</f>
        <v>21</v>
      </c>
      <c r="C516" s="7">
        <v>45065</v>
      </c>
      <c r="D516" s="3" t="s">
        <v>71</v>
      </c>
      <c r="E516" s="3"/>
      <c r="F516" s="3"/>
    </row>
    <row r="517" spans="1:6" hidden="1" x14ac:dyDescent="0.3">
      <c r="A517" s="7" t="str">
        <f>BD_ControlRegimen[[#This Row],[FECHA]]&amp;BD_ControlRegimen[[#This Row],[NOMBRE]]</f>
        <v>45066ALVARADO CASTILLO AARON MARIO</v>
      </c>
      <c r="B517" s="83">
        <f>WEEKNUM(BD_ControlRegimen[[#This Row],[FECHA]],2)</f>
        <v>21</v>
      </c>
      <c r="C517" s="7">
        <v>45066</v>
      </c>
      <c r="D517" s="3" t="s">
        <v>71</v>
      </c>
      <c r="E517" s="3"/>
      <c r="F517" s="3"/>
    </row>
    <row r="518" spans="1:6" hidden="1" x14ac:dyDescent="0.3">
      <c r="A518" s="7" t="str">
        <f>BD_ControlRegimen[[#This Row],[FECHA]]&amp;BD_ControlRegimen[[#This Row],[NOMBRE]]</f>
        <v>45067ALVARADO CASTILLO AARON MARIO</v>
      </c>
      <c r="B518" s="83">
        <f>WEEKNUM(BD_ControlRegimen[[#This Row],[FECHA]],2)</f>
        <v>21</v>
      </c>
      <c r="C518" s="7">
        <v>45067</v>
      </c>
      <c r="D518" s="3" t="s">
        <v>71</v>
      </c>
      <c r="E518" s="3"/>
      <c r="F518" s="3"/>
    </row>
    <row r="519" spans="1:6" hidden="1" x14ac:dyDescent="0.3">
      <c r="A519" s="7" t="str">
        <f>BD_ControlRegimen[[#This Row],[FECHA]]&amp;BD_ControlRegimen[[#This Row],[NOMBRE]]</f>
        <v>45068ALVARADO CASTILLO AARON MARIO</v>
      </c>
      <c r="B519" s="83">
        <f>WEEKNUM(BD_ControlRegimen[[#This Row],[FECHA]],2)</f>
        <v>22</v>
      </c>
      <c r="C519" s="7">
        <v>45068</v>
      </c>
      <c r="D519" s="3" t="s">
        <v>71</v>
      </c>
      <c r="E519" s="3"/>
      <c r="F519" s="3"/>
    </row>
    <row r="520" spans="1:6" hidden="1" x14ac:dyDescent="0.3">
      <c r="A520" s="7" t="str">
        <f>BD_ControlRegimen[[#This Row],[FECHA]]&amp;BD_ControlRegimen[[#This Row],[NOMBRE]]</f>
        <v>45069ALVARADO CASTILLO AARON MARIO</v>
      </c>
      <c r="B520" s="83">
        <f>WEEKNUM(BD_ControlRegimen[[#This Row],[FECHA]],2)</f>
        <v>22</v>
      </c>
      <c r="C520" s="7">
        <v>45069</v>
      </c>
      <c r="D520" s="3" t="s">
        <v>71</v>
      </c>
      <c r="E520" s="3"/>
      <c r="F520" s="3"/>
    </row>
    <row r="521" spans="1:6" hidden="1" x14ac:dyDescent="0.3">
      <c r="A521" s="7" t="str">
        <f>BD_ControlRegimen[[#This Row],[FECHA]]&amp;BD_ControlRegimen[[#This Row],[NOMBRE]]</f>
        <v>45070ALVARADO CASTILLO AARON MARIO</v>
      </c>
      <c r="B521" s="83">
        <f>WEEKNUM(BD_ControlRegimen[[#This Row],[FECHA]],2)</f>
        <v>22</v>
      </c>
      <c r="C521" s="7">
        <v>45070</v>
      </c>
      <c r="D521" s="3" t="s">
        <v>71</v>
      </c>
      <c r="E521" s="3"/>
      <c r="F521" s="3"/>
    </row>
    <row r="522" spans="1:6" hidden="1" x14ac:dyDescent="0.3">
      <c r="A522" s="7" t="str">
        <f>BD_ControlRegimen[[#This Row],[FECHA]]&amp;BD_ControlRegimen[[#This Row],[NOMBRE]]</f>
        <v>45071ALVARADO CASTILLO AARON MARIO</v>
      </c>
      <c r="B522" s="83">
        <f>WEEKNUM(BD_ControlRegimen[[#This Row],[FECHA]],2)</f>
        <v>22</v>
      </c>
      <c r="C522" s="7">
        <v>45071</v>
      </c>
      <c r="D522" s="3" t="s">
        <v>71</v>
      </c>
      <c r="E522" s="3"/>
      <c r="F522" s="3"/>
    </row>
    <row r="523" spans="1:6" hidden="1" x14ac:dyDescent="0.3">
      <c r="A523" s="7" t="str">
        <f>BD_ControlRegimen[[#This Row],[FECHA]]&amp;BD_ControlRegimen[[#This Row],[NOMBRE]]</f>
        <v>45072ALVARADO CASTILLO AARON MARIO</v>
      </c>
      <c r="B523" s="83">
        <f>WEEKNUM(BD_ControlRegimen[[#This Row],[FECHA]],2)</f>
        <v>22</v>
      </c>
      <c r="C523" s="7">
        <v>45072</v>
      </c>
      <c r="D523" s="3" t="s">
        <v>71</v>
      </c>
      <c r="E523" s="3"/>
      <c r="F523" s="3"/>
    </row>
    <row r="524" spans="1:6" hidden="1" x14ac:dyDescent="0.3">
      <c r="A524" s="7" t="str">
        <f>BD_ControlRegimen[[#This Row],[FECHA]]&amp;BD_ControlRegimen[[#This Row],[NOMBRE]]</f>
        <v>45073ALVARADO CASTILLO AARON MARIO</v>
      </c>
      <c r="B524" s="83">
        <f>WEEKNUM(BD_ControlRegimen[[#This Row],[FECHA]],2)</f>
        <v>22</v>
      </c>
      <c r="C524" s="7">
        <v>45073</v>
      </c>
      <c r="D524" s="3" t="s">
        <v>71</v>
      </c>
      <c r="E524" s="3"/>
      <c r="F524" s="3"/>
    </row>
    <row r="525" spans="1:6" hidden="1" x14ac:dyDescent="0.3">
      <c r="A525" s="7" t="str">
        <f>BD_ControlRegimen[[#This Row],[FECHA]]&amp;BD_ControlRegimen[[#This Row],[NOMBRE]]</f>
        <v>45074ALVARADO CASTILLO AARON MARIO</v>
      </c>
      <c r="B525" s="83">
        <f>WEEKNUM(BD_ControlRegimen[[#This Row],[FECHA]],2)</f>
        <v>22</v>
      </c>
      <c r="C525" s="7">
        <v>45074</v>
      </c>
      <c r="D525" s="3" t="s">
        <v>71</v>
      </c>
      <c r="E525" s="3"/>
      <c r="F525" s="3"/>
    </row>
    <row r="526" spans="1:6" hidden="1" x14ac:dyDescent="0.3">
      <c r="A526" s="7" t="str">
        <f>BD_ControlRegimen[[#This Row],[FECHA]]&amp;BD_ControlRegimen[[#This Row],[NOMBRE]]</f>
        <v>45075ALVARADO CASTILLO AARON MARIO</v>
      </c>
      <c r="B526" s="83">
        <f>WEEKNUM(BD_ControlRegimen[[#This Row],[FECHA]],2)</f>
        <v>23</v>
      </c>
      <c r="C526" s="7">
        <v>45075</v>
      </c>
      <c r="D526" s="3" t="s">
        <v>71</v>
      </c>
      <c r="E526" s="3"/>
      <c r="F526" s="3"/>
    </row>
    <row r="527" spans="1:6" hidden="1" x14ac:dyDescent="0.3">
      <c r="A527" s="7" t="str">
        <f>BD_ControlRegimen[[#This Row],[FECHA]]&amp;BD_ControlRegimen[[#This Row],[NOMBRE]]</f>
        <v>45076ALVARADO CASTILLO AARON MARIO</v>
      </c>
      <c r="B527" s="83">
        <f>WEEKNUM(BD_ControlRegimen[[#This Row],[FECHA]],2)</f>
        <v>23</v>
      </c>
      <c r="C527" s="7">
        <v>45076</v>
      </c>
      <c r="D527" s="3" t="s">
        <v>71</v>
      </c>
      <c r="E527" s="3"/>
      <c r="F527" s="3"/>
    </row>
    <row r="528" spans="1:6" hidden="1" x14ac:dyDescent="0.3">
      <c r="A528" s="7" t="str">
        <f>BD_ControlRegimen[[#This Row],[FECHA]]&amp;BD_ControlRegimen[[#This Row],[NOMBRE]]</f>
        <v>45077ALVARADO CASTILLO AARON MARIO</v>
      </c>
      <c r="B528" s="83">
        <f>WEEKNUM(BD_ControlRegimen[[#This Row],[FECHA]],2)</f>
        <v>23</v>
      </c>
      <c r="C528" s="7">
        <v>45077</v>
      </c>
      <c r="D528" s="3" t="s">
        <v>71</v>
      </c>
      <c r="E528" s="3"/>
      <c r="F528" s="3"/>
    </row>
    <row r="529" spans="1:6" hidden="1" x14ac:dyDescent="0.3">
      <c r="A529" s="7" t="str">
        <f>BD_ControlRegimen[[#This Row],[FECHA]]&amp;BD_ControlRegimen[[#This Row],[NOMBRE]]</f>
        <v>45078ALVARADO CASTILLO AARON MARIO</v>
      </c>
      <c r="B529" s="83">
        <f>WEEKNUM(BD_ControlRegimen[[#This Row],[FECHA]],2)</f>
        <v>23</v>
      </c>
      <c r="C529" s="7">
        <v>45078</v>
      </c>
      <c r="D529" s="3" t="s">
        <v>71</v>
      </c>
      <c r="E529" s="3"/>
      <c r="F529" s="3"/>
    </row>
    <row r="530" spans="1:6" hidden="1" x14ac:dyDescent="0.3">
      <c r="A530" s="7" t="str">
        <f>BD_ControlRegimen[[#This Row],[FECHA]]&amp;BD_ControlRegimen[[#This Row],[NOMBRE]]</f>
        <v>45079ALVARADO CASTILLO AARON MARIO</v>
      </c>
      <c r="B530" s="83">
        <f>WEEKNUM(BD_ControlRegimen[[#This Row],[FECHA]],2)</f>
        <v>23</v>
      </c>
      <c r="C530" s="7">
        <v>45079</v>
      </c>
      <c r="D530" s="3" t="s">
        <v>71</v>
      </c>
      <c r="E530" s="3"/>
      <c r="F530" s="3"/>
    </row>
    <row r="531" spans="1:6" hidden="1" x14ac:dyDescent="0.3">
      <c r="A531" s="7" t="str">
        <f>BD_ControlRegimen[[#This Row],[FECHA]]&amp;BD_ControlRegimen[[#This Row],[NOMBRE]]</f>
        <v>45080ALVARADO CASTILLO AARON MARIO</v>
      </c>
      <c r="B531" s="83">
        <f>WEEKNUM(BD_ControlRegimen[[#This Row],[FECHA]],2)</f>
        <v>23</v>
      </c>
      <c r="C531" s="7">
        <v>45080</v>
      </c>
      <c r="D531" s="3" t="s">
        <v>71</v>
      </c>
      <c r="E531" s="3"/>
      <c r="F531" s="3"/>
    </row>
    <row r="532" spans="1:6" hidden="1" x14ac:dyDescent="0.3">
      <c r="A532" s="7" t="str">
        <f>BD_ControlRegimen[[#This Row],[FECHA]]&amp;BD_ControlRegimen[[#This Row],[NOMBRE]]</f>
        <v>45081ALVARADO CASTILLO AARON MARIO</v>
      </c>
      <c r="B532" s="83">
        <f>WEEKNUM(BD_ControlRegimen[[#This Row],[FECHA]],2)</f>
        <v>23</v>
      </c>
      <c r="C532" s="7">
        <v>45081</v>
      </c>
      <c r="D532" s="3" t="s">
        <v>71</v>
      </c>
      <c r="E532" s="3"/>
      <c r="F532" s="3"/>
    </row>
    <row r="533" spans="1:6" hidden="1" x14ac:dyDescent="0.3">
      <c r="A533" s="7" t="str">
        <f>BD_ControlRegimen[[#This Row],[FECHA]]&amp;BD_ControlRegimen[[#This Row],[NOMBRE]]</f>
        <v>45082ALVARADO CASTILLO AARON MARIO</v>
      </c>
      <c r="B533" s="83">
        <f>WEEKNUM(BD_ControlRegimen[[#This Row],[FECHA]],2)</f>
        <v>24</v>
      </c>
      <c r="C533" s="7">
        <v>45082</v>
      </c>
      <c r="D533" s="3" t="s">
        <v>71</v>
      </c>
      <c r="E533" s="3"/>
      <c r="F533" s="3"/>
    </row>
    <row r="534" spans="1:6" hidden="1" x14ac:dyDescent="0.3">
      <c r="A534" s="7" t="str">
        <f>BD_ControlRegimen[[#This Row],[FECHA]]&amp;BD_ControlRegimen[[#This Row],[NOMBRE]]</f>
        <v>45083ALVARADO CASTILLO AARON MARIO</v>
      </c>
      <c r="B534" s="83">
        <f>WEEKNUM(BD_ControlRegimen[[#This Row],[FECHA]],2)</f>
        <v>24</v>
      </c>
      <c r="C534" s="7">
        <v>45083</v>
      </c>
      <c r="D534" s="3" t="s">
        <v>71</v>
      </c>
      <c r="E534" s="3"/>
      <c r="F534" s="3"/>
    </row>
    <row r="535" spans="1:6" hidden="1" x14ac:dyDescent="0.3">
      <c r="A535" s="7" t="str">
        <f>BD_ControlRegimen[[#This Row],[FECHA]]&amp;BD_ControlRegimen[[#This Row],[NOMBRE]]</f>
        <v>45084ALVARADO CASTILLO AARON MARIO</v>
      </c>
      <c r="B535" s="83">
        <f>WEEKNUM(BD_ControlRegimen[[#This Row],[FECHA]],2)</f>
        <v>24</v>
      </c>
      <c r="C535" s="7">
        <v>45084</v>
      </c>
      <c r="D535" s="3" t="s">
        <v>71</v>
      </c>
      <c r="E535" s="3"/>
      <c r="F535" s="3"/>
    </row>
    <row r="536" spans="1:6" hidden="1" x14ac:dyDescent="0.3">
      <c r="A536" s="7" t="str">
        <f>BD_ControlRegimen[[#This Row],[FECHA]]&amp;BD_ControlRegimen[[#This Row],[NOMBRE]]</f>
        <v>45085ALVARADO CASTILLO AARON MARIO</v>
      </c>
      <c r="B536" s="83">
        <f>WEEKNUM(BD_ControlRegimen[[#This Row],[FECHA]],2)</f>
        <v>24</v>
      </c>
      <c r="C536" s="7">
        <v>45085</v>
      </c>
      <c r="D536" s="3" t="s">
        <v>71</v>
      </c>
      <c r="E536" s="3"/>
      <c r="F536" s="3"/>
    </row>
    <row r="537" spans="1:6" hidden="1" x14ac:dyDescent="0.3">
      <c r="A537" s="7" t="str">
        <f>BD_ControlRegimen[[#This Row],[FECHA]]&amp;BD_ControlRegimen[[#This Row],[NOMBRE]]</f>
        <v>45086ALVARADO CASTILLO AARON MARIO</v>
      </c>
      <c r="B537" s="83">
        <f>WEEKNUM(BD_ControlRegimen[[#This Row],[FECHA]],2)</f>
        <v>24</v>
      </c>
      <c r="C537" s="7">
        <v>45086</v>
      </c>
      <c r="D537" s="3" t="s">
        <v>71</v>
      </c>
      <c r="E537" s="3"/>
      <c r="F537" s="3"/>
    </row>
    <row r="538" spans="1:6" hidden="1" x14ac:dyDescent="0.3">
      <c r="A538" s="7" t="str">
        <f>BD_ControlRegimen[[#This Row],[FECHA]]&amp;BD_ControlRegimen[[#This Row],[NOMBRE]]</f>
        <v>45087ALVARADO CASTILLO AARON MARIO</v>
      </c>
      <c r="B538" s="83">
        <f>WEEKNUM(BD_ControlRegimen[[#This Row],[FECHA]],2)</f>
        <v>24</v>
      </c>
      <c r="C538" s="7">
        <v>45087</v>
      </c>
      <c r="D538" s="3" t="s">
        <v>71</v>
      </c>
      <c r="E538" s="3"/>
      <c r="F538" s="3"/>
    </row>
    <row r="539" spans="1:6" hidden="1" x14ac:dyDescent="0.3">
      <c r="A539" s="7" t="str">
        <f>BD_ControlRegimen[[#This Row],[FECHA]]&amp;BD_ControlRegimen[[#This Row],[NOMBRE]]</f>
        <v>45088ALVARADO CASTILLO AARON MARIO</v>
      </c>
      <c r="B539" s="83">
        <f>WEEKNUM(BD_ControlRegimen[[#This Row],[FECHA]],2)</f>
        <v>24</v>
      </c>
      <c r="C539" s="7">
        <v>45088</v>
      </c>
      <c r="D539" s="3" t="s">
        <v>71</v>
      </c>
      <c r="E539" s="3"/>
      <c r="F539" s="3"/>
    </row>
    <row r="540" spans="1:6" hidden="1" x14ac:dyDescent="0.3">
      <c r="A540" s="7" t="str">
        <f>BD_ControlRegimen[[#This Row],[FECHA]]&amp;BD_ControlRegimen[[#This Row],[NOMBRE]]</f>
        <v>45089ALVARADO CASTILLO AARON MARIO</v>
      </c>
      <c r="B540" s="83">
        <f>WEEKNUM(BD_ControlRegimen[[#This Row],[FECHA]],2)</f>
        <v>25</v>
      </c>
      <c r="C540" s="7">
        <v>45089</v>
      </c>
      <c r="D540" s="3" t="s">
        <v>71</v>
      </c>
      <c r="E540" s="3"/>
      <c r="F540" s="3"/>
    </row>
    <row r="541" spans="1:6" hidden="1" x14ac:dyDescent="0.3">
      <c r="A541" s="7" t="str">
        <f>BD_ControlRegimen[[#This Row],[FECHA]]&amp;BD_ControlRegimen[[#This Row],[NOMBRE]]</f>
        <v>45090ALVARADO CASTILLO AARON MARIO</v>
      </c>
      <c r="B541" s="83">
        <f>WEEKNUM(BD_ControlRegimen[[#This Row],[FECHA]],2)</f>
        <v>25</v>
      </c>
      <c r="C541" s="7">
        <v>45090</v>
      </c>
      <c r="D541" s="3" t="s">
        <v>71</v>
      </c>
      <c r="E541" s="3"/>
      <c r="F541" s="3"/>
    </row>
    <row r="542" spans="1:6" hidden="1" x14ac:dyDescent="0.3">
      <c r="A542" s="7" t="str">
        <f>BD_ControlRegimen[[#This Row],[FECHA]]&amp;BD_ControlRegimen[[#This Row],[NOMBRE]]</f>
        <v>45091ALVARADO CASTILLO AARON MARIO</v>
      </c>
      <c r="B542" s="83">
        <f>WEEKNUM(BD_ControlRegimen[[#This Row],[FECHA]],2)</f>
        <v>25</v>
      </c>
      <c r="C542" s="7">
        <v>45091</v>
      </c>
      <c r="D542" s="3" t="s">
        <v>71</v>
      </c>
      <c r="E542" s="3"/>
      <c r="F542" s="3"/>
    </row>
    <row r="543" spans="1:6" hidden="1" x14ac:dyDescent="0.3">
      <c r="A543" s="7" t="str">
        <f>BD_ControlRegimen[[#This Row],[FECHA]]&amp;BD_ControlRegimen[[#This Row],[NOMBRE]]</f>
        <v>45092ALVARADO CASTILLO AARON MARIO</v>
      </c>
      <c r="B543" s="83">
        <f>WEEKNUM(BD_ControlRegimen[[#This Row],[FECHA]],2)</f>
        <v>25</v>
      </c>
      <c r="C543" s="7">
        <v>45092</v>
      </c>
      <c r="D543" s="3" t="s">
        <v>71</v>
      </c>
      <c r="E543" s="3"/>
      <c r="F543" s="3"/>
    </row>
    <row r="544" spans="1:6" hidden="1" x14ac:dyDescent="0.3">
      <c r="A544" s="7" t="str">
        <f>BD_ControlRegimen[[#This Row],[FECHA]]&amp;BD_ControlRegimen[[#This Row],[NOMBRE]]</f>
        <v>45093ALVARADO CASTILLO AARON MARIO</v>
      </c>
      <c r="B544" s="83">
        <f>WEEKNUM(BD_ControlRegimen[[#This Row],[FECHA]],2)</f>
        <v>25</v>
      </c>
      <c r="C544" s="7">
        <v>45093</v>
      </c>
      <c r="D544" s="3" t="s">
        <v>71</v>
      </c>
      <c r="E544" s="3"/>
      <c r="F544" s="3"/>
    </row>
    <row r="545" spans="1:6" hidden="1" x14ac:dyDescent="0.3">
      <c r="A545" s="7" t="str">
        <f>BD_ControlRegimen[[#This Row],[FECHA]]&amp;BD_ControlRegimen[[#This Row],[NOMBRE]]</f>
        <v>45094ALVARADO CASTILLO AARON MARIO</v>
      </c>
      <c r="B545" s="83">
        <f>WEEKNUM(BD_ControlRegimen[[#This Row],[FECHA]],2)</f>
        <v>25</v>
      </c>
      <c r="C545" s="7">
        <v>45094</v>
      </c>
      <c r="D545" s="3" t="s">
        <v>71</v>
      </c>
      <c r="E545" s="3"/>
      <c r="F545" s="3"/>
    </row>
    <row r="546" spans="1:6" hidden="1" x14ac:dyDescent="0.3">
      <c r="A546" s="7" t="str">
        <f>BD_ControlRegimen[[#This Row],[FECHA]]&amp;BD_ControlRegimen[[#This Row],[NOMBRE]]</f>
        <v>45095ALVARADO CASTILLO AARON MARIO</v>
      </c>
      <c r="B546" s="83">
        <f>WEEKNUM(BD_ControlRegimen[[#This Row],[FECHA]],2)</f>
        <v>25</v>
      </c>
      <c r="C546" s="7">
        <v>45095</v>
      </c>
      <c r="D546" s="3" t="s">
        <v>71</v>
      </c>
      <c r="E546" s="3"/>
      <c r="F546" s="3"/>
    </row>
    <row r="547" spans="1:6" hidden="1" x14ac:dyDescent="0.3">
      <c r="A547" s="7" t="str">
        <f>BD_ControlRegimen[[#This Row],[FECHA]]&amp;BD_ControlRegimen[[#This Row],[NOMBRE]]</f>
        <v>45096ALVARADO CASTILLO AARON MARIO</v>
      </c>
      <c r="B547" s="83">
        <f>WEEKNUM(BD_ControlRegimen[[#This Row],[FECHA]],2)</f>
        <v>26</v>
      </c>
      <c r="C547" s="7">
        <v>45096</v>
      </c>
      <c r="D547" s="3" t="s">
        <v>71</v>
      </c>
      <c r="E547" s="3"/>
      <c r="F547" s="3"/>
    </row>
    <row r="548" spans="1:6" hidden="1" x14ac:dyDescent="0.3">
      <c r="A548" s="7" t="str">
        <f>BD_ControlRegimen[[#This Row],[FECHA]]&amp;BD_ControlRegimen[[#This Row],[NOMBRE]]</f>
        <v>45097ALVARADO CASTILLO AARON MARIO</v>
      </c>
      <c r="B548" s="83">
        <f>WEEKNUM(BD_ControlRegimen[[#This Row],[FECHA]],2)</f>
        <v>26</v>
      </c>
      <c r="C548" s="7">
        <v>45097</v>
      </c>
      <c r="D548" s="3" t="s">
        <v>71</v>
      </c>
      <c r="E548" s="3"/>
      <c r="F548" s="3"/>
    </row>
    <row r="549" spans="1:6" hidden="1" x14ac:dyDescent="0.3">
      <c r="A549" s="7" t="str">
        <f>BD_ControlRegimen[[#This Row],[FECHA]]&amp;BD_ControlRegimen[[#This Row],[NOMBRE]]</f>
        <v>45098ALVARADO CASTILLO AARON MARIO</v>
      </c>
      <c r="B549" s="83">
        <f>WEEKNUM(BD_ControlRegimen[[#This Row],[FECHA]],2)</f>
        <v>26</v>
      </c>
      <c r="C549" s="7">
        <v>45098</v>
      </c>
      <c r="D549" s="3" t="s">
        <v>71</v>
      </c>
      <c r="E549" s="3"/>
      <c r="F549" s="3"/>
    </row>
    <row r="550" spans="1:6" hidden="1" x14ac:dyDescent="0.3">
      <c r="A550" s="7" t="str">
        <f>BD_ControlRegimen[[#This Row],[FECHA]]&amp;BD_ControlRegimen[[#This Row],[NOMBRE]]</f>
        <v>45099ALVARADO CASTILLO AARON MARIO</v>
      </c>
      <c r="B550" s="83">
        <f>WEEKNUM(BD_ControlRegimen[[#This Row],[FECHA]],2)</f>
        <v>26</v>
      </c>
      <c r="C550" s="7">
        <v>45099</v>
      </c>
      <c r="D550" s="3" t="s">
        <v>71</v>
      </c>
      <c r="E550" s="3"/>
      <c r="F550" s="3"/>
    </row>
    <row r="551" spans="1:6" hidden="1" x14ac:dyDescent="0.3">
      <c r="A551" s="7" t="str">
        <f>BD_ControlRegimen[[#This Row],[FECHA]]&amp;BD_ControlRegimen[[#This Row],[NOMBRE]]</f>
        <v>45100ALVARADO CASTILLO AARON MARIO</v>
      </c>
      <c r="B551" s="83">
        <f>WEEKNUM(BD_ControlRegimen[[#This Row],[FECHA]],2)</f>
        <v>26</v>
      </c>
      <c r="C551" s="7">
        <v>45100</v>
      </c>
      <c r="D551" s="3" t="s">
        <v>71</v>
      </c>
      <c r="E551" s="3"/>
      <c r="F551" s="3"/>
    </row>
    <row r="552" spans="1:6" hidden="1" x14ac:dyDescent="0.3">
      <c r="A552" s="7" t="str">
        <f>BD_ControlRegimen[[#This Row],[FECHA]]&amp;BD_ControlRegimen[[#This Row],[NOMBRE]]</f>
        <v>45101ALVARADO CASTILLO AARON MARIO</v>
      </c>
      <c r="B552" s="83">
        <f>WEEKNUM(BD_ControlRegimen[[#This Row],[FECHA]],2)</f>
        <v>26</v>
      </c>
      <c r="C552" s="7">
        <v>45101</v>
      </c>
      <c r="D552" s="3" t="s">
        <v>71</v>
      </c>
      <c r="E552" s="3"/>
      <c r="F552" s="3"/>
    </row>
    <row r="553" spans="1:6" hidden="1" x14ac:dyDescent="0.3">
      <c r="A553" s="7" t="str">
        <f>BD_ControlRegimen[[#This Row],[FECHA]]&amp;BD_ControlRegimen[[#This Row],[NOMBRE]]</f>
        <v>45102ALVARADO CASTILLO AARON MARIO</v>
      </c>
      <c r="B553" s="83">
        <f>WEEKNUM(BD_ControlRegimen[[#This Row],[FECHA]],2)</f>
        <v>26</v>
      </c>
      <c r="C553" s="7">
        <v>45102</v>
      </c>
      <c r="D553" s="3" t="s">
        <v>71</v>
      </c>
      <c r="E553" s="3"/>
      <c r="F553" s="3"/>
    </row>
    <row r="554" spans="1:6" hidden="1" x14ac:dyDescent="0.3">
      <c r="A554" s="7" t="str">
        <f>BD_ControlRegimen[[#This Row],[FECHA]]&amp;BD_ControlRegimen[[#This Row],[NOMBRE]]</f>
        <v>45103ALVARADO CASTILLO AARON MARIO</v>
      </c>
      <c r="B554" s="83">
        <f>WEEKNUM(BD_ControlRegimen[[#This Row],[FECHA]],2)</f>
        <v>27</v>
      </c>
      <c r="C554" s="7">
        <v>45103</v>
      </c>
      <c r="D554" s="3" t="s">
        <v>71</v>
      </c>
      <c r="E554" s="3"/>
      <c r="F554" s="3"/>
    </row>
    <row r="555" spans="1:6" hidden="1" x14ac:dyDescent="0.3">
      <c r="A555" s="7" t="str">
        <f>BD_ControlRegimen[[#This Row],[FECHA]]&amp;BD_ControlRegimen[[#This Row],[NOMBRE]]</f>
        <v>45104ALVARADO CASTILLO AARON MARIO</v>
      </c>
      <c r="B555" s="83">
        <f>WEEKNUM(BD_ControlRegimen[[#This Row],[FECHA]],2)</f>
        <v>27</v>
      </c>
      <c r="C555" s="7">
        <v>45104</v>
      </c>
      <c r="D555" s="3" t="s">
        <v>71</v>
      </c>
      <c r="E555" s="3"/>
      <c r="F555" s="3"/>
    </row>
    <row r="556" spans="1:6" hidden="1" x14ac:dyDescent="0.3">
      <c r="A556" s="7" t="str">
        <f>BD_ControlRegimen[[#This Row],[FECHA]]&amp;BD_ControlRegimen[[#This Row],[NOMBRE]]</f>
        <v>45105ALVARADO CASTILLO AARON MARIO</v>
      </c>
      <c r="B556" s="83">
        <f>WEEKNUM(BD_ControlRegimen[[#This Row],[FECHA]],2)</f>
        <v>27</v>
      </c>
      <c r="C556" s="7">
        <v>45105</v>
      </c>
      <c r="D556" s="3" t="s">
        <v>71</v>
      </c>
      <c r="E556" s="3"/>
      <c r="F556" s="3"/>
    </row>
    <row r="557" spans="1:6" hidden="1" x14ac:dyDescent="0.3">
      <c r="A557" s="7" t="str">
        <f>BD_ControlRegimen[[#This Row],[FECHA]]&amp;BD_ControlRegimen[[#This Row],[NOMBRE]]</f>
        <v>45106ALVARADO CASTILLO AARON MARIO</v>
      </c>
      <c r="B557" s="83">
        <f>WEEKNUM(BD_ControlRegimen[[#This Row],[FECHA]],2)</f>
        <v>27</v>
      </c>
      <c r="C557" s="7">
        <v>45106</v>
      </c>
      <c r="D557" s="3" t="s">
        <v>71</v>
      </c>
      <c r="E557" s="3"/>
      <c r="F557" s="3"/>
    </row>
    <row r="558" spans="1:6" hidden="1" x14ac:dyDescent="0.3">
      <c r="A558" s="7" t="str">
        <f>BD_ControlRegimen[[#This Row],[FECHA]]&amp;BD_ControlRegimen[[#This Row],[NOMBRE]]</f>
        <v>45107ALVARADO CASTILLO AARON MARIO</v>
      </c>
      <c r="B558" s="83">
        <f>WEEKNUM(BD_ControlRegimen[[#This Row],[FECHA]],2)</f>
        <v>27</v>
      </c>
      <c r="C558" s="7">
        <v>45107</v>
      </c>
      <c r="D558" s="3" t="s">
        <v>71</v>
      </c>
      <c r="E558" s="3"/>
      <c r="F558" s="3"/>
    </row>
    <row r="559" spans="1:6" hidden="1" x14ac:dyDescent="0.3">
      <c r="A559" s="7" t="str">
        <f>BD_ControlRegimen[[#This Row],[FECHA]]&amp;BD_ControlRegimen[[#This Row],[NOMBRE]]</f>
        <v>45108ALVARADO CASTILLO AARON MARIO</v>
      </c>
      <c r="B559" s="83">
        <f>WEEKNUM(BD_ControlRegimen[[#This Row],[FECHA]],2)</f>
        <v>27</v>
      </c>
      <c r="C559" s="7">
        <v>45108</v>
      </c>
      <c r="D559" s="3" t="s">
        <v>71</v>
      </c>
      <c r="E559" s="3"/>
      <c r="F559" s="3"/>
    </row>
    <row r="560" spans="1:6" hidden="1" x14ac:dyDescent="0.3">
      <c r="A560" s="7" t="str">
        <f>BD_ControlRegimen[[#This Row],[FECHA]]&amp;BD_ControlRegimen[[#This Row],[NOMBRE]]</f>
        <v>45109ALVARADO CASTILLO AARON MARIO</v>
      </c>
      <c r="B560" s="83">
        <f>WEEKNUM(BD_ControlRegimen[[#This Row],[FECHA]],2)</f>
        <v>27</v>
      </c>
      <c r="C560" s="7">
        <v>45109</v>
      </c>
      <c r="D560" s="3" t="s">
        <v>71</v>
      </c>
      <c r="E560" s="3"/>
      <c r="F560" s="3"/>
    </row>
    <row r="561" spans="1:6" hidden="1" x14ac:dyDescent="0.3">
      <c r="A561" s="7" t="str">
        <f>BD_ControlRegimen[[#This Row],[FECHA]]&amp;BD_ControlRegimen[[#This Row],[NOMBRE]]</f>
        <v>45110ALVARADO CASTILLO AARON MARIO</v>
      </c>
      <c r="B561" s="83">
        <f>WEEKNUM(BD_ControlRegimen[[#This Row],[FECHA]],2)</f>
        <v>28</v>
      </c>
      <c r="C561" s="7">
        <v>45110</v>
      </c>
      <c r="D561" s="3" t="s">
        <v>71</v>
      </c>
      <c r="E561" s="3"/>
      <c r="F561" s="3"/>
    </row>
    <row r="562" spans="1:6" hidden="1" x14ac:dyDescent="0.3">
      <c r="A562" s="7" t="str">
        <f>BD_ControlRegimen[[#This Row],[FECHA]]&amp;BD_ControlRegimen[[#This Row],[NOMBRE]]</f>
        <v>45111ALVARADO CASTILLO AARON MARIO</v>
      </c>
      <c r="B562" s="83">
        <f>WEEKNUM(BD_ControlRegimen[[#This Row],[FECHA]],2)</f>
        <v>28</v>
      </c>
      <c r="C562" s="7">
        <v>45111</v>
      </c>
      <c r="D562" s="3" t="s">
        <v>71</v>
      </c>
      <c r="E562" s="3"/>
      <c r="F562" s="3"/>
    </row>
    <row r="563" spans="1:6" hidden="1" x14ac:dyDescent="0.3">
      <c r="A563" s="7" t="str">
        <f>BD_ControlRegimen[[#This Row],[FECHA]]&amp;BD_ControlRegimen[[#This Row],[NOMBRE]]</f>
        <v>45112ALVARADO CASTILLO AARON MARIO</v>
      </c>
      <c r="B563" s="83">
        <f>WEEKNUM(BD_ControlRegimen[[#This Row],[FECHA]],2)</f>
        <v>28</v>
      </c>
      <c r="C563" s="7">
        <v>45112</v>
      </c>
      <c r="D563" s="3" t="s">
        <v>71</v>
      </c>
      <c r="E563" s="3"/>
      <c r="F563" s="3"/>
    </row>
    <row r="564" spans="1:6" hidden="1" x14ac:dyDescent="0.3">
      <c r="A564" s="7" t="str">
        <f>BD_ControlRegimen[[#This Row],[FECHA]]&amp;BD_ControlRegimen[[#This Row],[NOMBRE]]</f>
        <v>45113ALVARADO CASTILLO AARON MARIO</v>
      </c>
      <c r="B564" s="83">
        <f>WEEKNUM(BD_ControlRegimen[[#This Row],[FECHA]],2)</f>
        <v>28</v>
      </c>
      <c r="C564" s="7">
        <v>45113</v>
      </c>
      <c r="D564" s="3" t="s">
        <v>71</v>
      </c>
      <c r="E564" s="3"/>
      <c r="F564" s="3"/>
    </row>
    <row r="565" spans="1:6" hidden="1" x14ac:dyDescent="0.3">
      <c r="A565" s="7" t="str">
        <f>BD_ControlRegimen[[#This Row],[FECHA]]&amp;BD_ControlRegimen[[#This Row],[NOMBRE]]</f>
        <v>45114ALVARADO CASTILLO AARON MARIO</v>
      </c>
      <c r="B565" s="83">
        <f>WEEKNUM(BD_ControlRegimen[[#This Row],[FECHA]],2)</f>
        <v>28</v>
      </c>
      <c r="C565" s="7">
        <v>45114</v>
      </c>
      <c r="D565" s="3" t="s">
        <v>71</v>
      </c>
      <c r="E565" s="3"/>
      <c r="F565" s="3"/>
    </row>
    <row r="566" spans="1:6" hidden="1" x14ac:dyDescent="0.3">
      <c r="A566" s="7" t="str">
        <f>BD_ControlRegimen[[#This Row],[FECHA]]&amp;BD_ControlRegimen[[#This Row],[NOMBRE]]</f>
        <v>45115ALVARADO CASTILLO AARON MARIO</v>
      </c>
      <c r="B566" s="83">
        <f>WEEKNUM(BD_ControlRegimen[[#This Row],[FECHA]],2)</f>
        <v>28</v>
      </c>
      <c r="C566" s="7">
        <v>45115</v>
      </c>
      <c r="D566" s="3" t="s">
        <v>71</v>
      </c>
      <c r="E566" s="3"/>
      <c r="F566" s="3"/>
    </row>
    <row r="567" spans="1:6" hidden="1" x14ac:dyDescent="0.3">
      <c r="A567" s="7" t="str">
        <f>BD_ControlRegimen[[#This Row],[FECHA]]&amp;BD_ControlRegimen[[#This Row],[NOMBRE]]</f>
        <v>45116ALVARADO CASTILLO AARON MARIO</v>
      </c>
      <c r="B567" s="83">
        <f>WEEKNUM(BD_ControlRegimen[[#This Row],[FECHA]],2)</f>
        <v>28</v>
      </c>
      <c r="C567" s="7">
        <v>45116</v>
      </c>
      <c r="D567" s="3" t="s">
        <v>71</v>
      </c>
      <c r="E567" s="3"/>
      <c r="F567" s="3"/>
    </row>
    <row r="568" spans="1:6" hidden="1" x14ac:dyDescent="0.3">
      <c r="A568" s="7" t="str">
        <f>BD_ControlRegimen[[#This Row],[FECHA]]&amp;BD_ControlRegimen[[#This Row],[NOMBRE]]</f>
        <v>45117ALVARADO CASTILLO AARON MARIO</v>
      </c>
      <c r="B568" s="83">
        <f>WEEKNUM(BD_ControlRegimen[[#This Row],[FECHA]],2)</f>
        <v>29</v>
      </c>
      <c r="C568" s="7">
        <v>45117</v>
      </c>
      <c r="D568" s="3" t="s">
        <v>71</v>
      </c>
      <c r="E568" s="3"/>
      <c r="F568" s="3"/>
    </row>
    <row r="569" spans="1:6" hidden="1" x14ac:dyDescent="0.3">
      <c r="A569" s="7" t="str">
        <f>BD_ControlRegimen[[#This Row],[FECHA]]&amp;BD_ControlRegimen[[#This Row],[NOMBRE]]</f>
        <v>45118ALVARADO CASTILLO AARON MARIO</v>
      </c>
      <c r="B569" s="83">
        <f>WEEKNUM(BD_ControlRegimen[[#This Row],[FECHA]],2)</f>
        <v>29</v>
      </c>
      <c r="C569" s="7">
        <v>45118</v>
      </c>
      <c r="D569" s="3" t="s">
        <v>71</v>
      </c>
      <c r="E569" s="3"/>
      <c r="F569" s="3"/>
    </row>
    <row r="570" spans="1:6" hidden="1" x14ac:dyDescent="0.3">
      <c r="A570" s="7" t="str">
        <f>BD_ControlRegimen[[#This Row],[FECHA]]&amp;BD_ControlRegimen[[#This Row],[NOMBRE]]</f>
        <v>45119ALVARADO CASTILLO AARON MARIO</v>
      </c>
      <c r="B570" s="83">
        <f>WEEKNUM(BD_ControlRegimen[[#This Row],[FECHA]],2)</f>
        <v>29</v>
      </c>
      <c r="C570" s="7">
        <v>45119</v>
      </c>
      <c r="D570" s="3" t="s">
        <v>71</v>
      </c>
      <c r="E570" s="3"/>
      <c r="F570" s="3"/>
    </row>
    <row r="571" spans="1:6" hidden="1" x14ac:dyDescent="0.3">
      <c r="A571" s="7" t="str">
        <f>BD_ControlRegimen[[#This Row],[FECHA]]&amp;BD_ControlRegimen[[#This Row],[NOMBRE]]</f>
        <v>45120ALVARADO CASTILLO AARON MARIO</v>
      </c>
      <c r="B571" s="83">
        <f>WEEKNUM(BD_ControlRegimen[[#This Row],[FECHA]],2)</f>
        <v>29</v>
      </c>
      <c r="C571" s="7">
        <v>45120</v>
      </c>
      <c r="D571" s="3" t="s">
        <v>71</v>
      </c>
      <c r="E571" s="3"/>
      <c r="F571" s="3"/>
    </row>
    <row r="572" spans="1:6" hidden="1" x14ac:dyDescent="0.3">
      <c r="A572" s="7" t="str">
        <f>BD_ControlRegimen[[#This Row],[FECHA]]&amp;BD_ControlRegimen[[#This Row],[NOMBRE]]</f>
        <v>45121ALVARADO CASTILLO AARON MARIO</v>
      </c>
      <c r="B572" s="83">
        <f>WEEKNUM(BD_ControlRegimen[[#This Row],[FECHA]],2)</f>
        <v>29</v>
      </c>
      <c r="C572" s="7">
        <v>45121</v>
      </c>
      <c r="D572" s="3" t="s">
        <v>71</v>
      </c>
      <c r="E572" s="3"/>
      <c r="F572" s="3"/>
    </row>
    <row r="573" spans="1:6" hidden="1" x14ac:dyDescent="0.3">
      <c r="A573" s="7" t="str">
        <f>BD_ControlRegimen[[#This Row],[FECHA]]&amp;BD_ControlRegimen[[#This Row],[NOMBRE]]</f>
        <v>45122ALVARADO CASTILLO AARON MARIO</v>
      </c>
      <c r="B573" s="83">
        <f>WEEKNUM(BD_ControlRegimen[[#This Row],[FECHA]],2)</f>
        <v>29</v>
      </c>
      <c r="C573" s="7">
        <v>45122</v>
      </c>
      <c r="D573" s="3" t="s">
        <v>71</v>
      </c>
      <c r="E573" s="3"/>
      <c r="F573" s="3"/>
    </row>
    <row r="574" spans="1:6" hidden="1" x14ac:dyDescent="0.3">
      <c r="A574" s="7" t="str">
        <f>BD_ControlRegimen[[#This Row],[FECHA]]&amp;BD_ControlRegimen[[#This Row],[NOMBRE]]</f>
        <v>45123ALVARADO CASTILLO AARON MARIO</v>
      </c>
      <c r="B574" s="83">
        <f>WEEKNUM(BD_ControlRegimen[[#This Row],[FECHA]],2)</f>
        <v>29</v>
      </c>
      <c r="C574" s="7">
        <v>45123</v>
      </c>
      <c r="D574" s="3" t="s">
        <v>71</v>
      </c>
      <c r="E574" s="3"/>
      <c r="F574" s="3"/>
    </row>
    <row r="575" spans="1:6" hidden="1" x14ac:dyDescent="0.3">
      <c r="A575" s="7" t="str">
        <f>BD_ControlRegimen[[#This Row],[FECHA]]&amp;BD_ControlRegimen[[#This Row],[NOMBRE]]</f>
        <v>45124ALVARADO CASTILLO AARON MARIO</v>
      </c>
      <c r="B575" s="83">
        <f>WEEKNUM(BD_ControlRegimen[[#This Row],[FECHA]],2)</f>
        <v>30</v>
      </c>
      <c r="C575" s="7">
        <v>45124</v>
      </c>
      <c r="D575" s="3" t="s">
        <v>71</v>
      </c>
      <c r="E575" s="3"/>
      <c r="F575" s="3"/>
    </row>
    <row r="576" spans="1:6" hidden="1" x14ac:dyDescent="0.3">
      <c r="A576" s="7" t="str">
        <f>BD_ControlRegimen[[#This Row],[FECHA]]&amp;BD_ControlRegimen[[#This Row],[NOMBRE]]</f>
        <v>45125ALVARADO CASTILLO AARON MARIO</v>
      </c>
      <c r="B576" s="83">
        <f>WEEKNUM(BD_ControlRegimen[[#This Row],[FECHA]],2)</f>
        <v>30</v>
      </c>
      <c r="C576" s="7">
        <v>45125</v>
      </c>
      <c r="D576" s="3" t="s">
        <v>71</v>
      </c>
      <c r="E576" s="3"/>
      <c r="F576" s="3"/>
    </row>
    <row r="577" spans="1:6" hidden="1" x14ac:dyDescent="0.3">
      <c r="A577" s="7" t="str">
        <f>BD_ControlRegimen[[#This Row],[FECHA]]&amp;BD_ControlRegimen[[#This Row],[NOMBRE]]</f>
        <v>45126ALVARADO CASTILLO AARON MARIO</v>
      </c>
      <c r="B577" s="83">
        <f>WEEKNUM(BD_ControlRegimen[[#This Row],[FECHA]],2)</f>
        <v>30</v>
      </c>
      <c r="C577" s="7">
        <v>45126</v>
      </c>
      <c r="D577" s="3" t="s">
        <v>71</v>
      </c>
      <c r="E577" s="3"/>
      <c r="F577" s="3"/>
    </row>
    <row r="578" spans="1:6" hidden="1" x14ac:dyDescent="0.3">
      <c r="A578" s="7" t="str">
        <f>BD_ControlRegimen[[#This Row],[FECHA]]&amp;BD_ControlRegimen[[#This Row],[NOMBRE]]</f>
        <v>45127ALVARADO CASTILLO AARON MARIO</v>
      </c>
      <c r="B578" s="83">
        <f>WEEKNUM(BD_ControlRegimen[[#This Row],[FECHA]],2)</f>
        <v>30</v>
      </c>
      <c r="C578" s="7">
        <v>45127</v>
      </c>
      <c r="D578" s="3" t="s">
        <v>71</v>
      </c>
      <c r="E578" s="3"/>
      <c r="F578" s="3"/>
    </row>
    <row r="579" spans="1:6" hidden="1" x14ac:dyDescent="0.3">
      <c r="A579" s="7" t="str">
        <f>BD_ControlRegimen[[#This Row],[FECHA]]&amp;BD_ControlRegimen[[#This Row],[NOMBRE]]</f>
        <v>45128ALVARADO CASTILLO AARON MARIO</v>
      </c>
      <c r="B579" s="83">
        <f>WEEKNUM(BD_ControlRegimen[[#This Row],[FECHA]],2)</f>
        <v>30</v>
      </c>
      <c r="C579" s="7">
        <v>45128</v>
      </c>
      <c r="D579" s="3" t="s">
        <v>71</v>
      </c>
      <c r="E579" s="3"/>
      <c r="F579" s="3"/>
    </row>
    <row r="580" spans="1:6" hidden="1" x14ac:dyDescent="0.3">
      <c r="A580" s="7" t="str">
        <f>BD_ControlRegimen[[#This Row],[FECHA]]&amp;BD_ControlRegimen[[#This Row],[NOMBRE]]</f>
        <v>45129ALVARADO CASTILLO AARON MARIO</v>
      </c>
      <c r="B580" s="83">
        <f>WEEKNUM(BD_ControlRegimen[[#This Row],[FECHA]],2)</f>
        <v>30</v>
      </c>
      <c r="C580" s="7">
        <v>45129</v>
      </c>
      <c r="D580" s="3" t="s">
        <v>71</v>
      </c>
      <c r="E580" s="3"/>
      <c r="F580" s="3"/>
    </row>
    <row r="581" spans="1:6" hidden="1" x14ac:dyDescent="0.3">
      <c r="A581" s="7" t="str">
        <f>BD_ControlRegimen[[#This Row],[FECHA]]&amp;BD_ControlRegimen[[#This Row],[NOMBRE]]</f>
        <v>45130ALVARADO CASTILLO AARON MARIO</v>
      </c>
      <c r="B581" s="83">
        <f>WEEKNUM(BD_ControlRegimen[[#This Row],[FECHA]],2)</f>
        <v>30</v>
      </c>
      <c r="C581" s="7">
        <v>45130</v>
      </c>
      <c r="D581" s="3" t="s">
        <v>71</v>
      </c>
      <c r="E581" s="3"/>
      <c r="F581" s="3"/>
    </row>
    <row r="582" spans="1:6" hidden="1" x14ac:dyDescent="0.3">
      <c r="A582" s="7" t="str">
        <f>BD_ControlRegimen[[#This Row],[FECHA]]&amp;BD_ControlRegimen[[#This Row],[NOMBRE]]</f>
        <v>45131ALVARADO CASTILLO AARON MARIO</v>
      </c>
      <c r="B582" s="83">
        <f>WEEKNUM(BD_ControlRegimen[[#This Row],[FECHA]],2)</f>
        <v>31</v>
      </c>
      <c r="C582" s="7">
        <v>45131</v>
      </c>
      <c r="D582" s="3" t="s">
        <v>71</v>
      </c>
      <c r="E582" s="3"/>
      <c r="F582" s="3"/>
    </row>
    <row r="583" spans="1:6" hidden="1" x14ac:dyDescent="0.3">
      <c r="A583" s="7" t="str">
        <f>BD_ControlRegimen[[#This Row],[FECHA]]&amp;BD_ControlRegimen[[#This Row],[NOMBRE]]</f>
        <v>45132ALVARADO CASTILLO AARON MARIO</v>
      </c>
      <c r="B583" s="83">
        <f>WEEKNUM(BD_ControlRegimen[[#This Row],[FECHA]],2)</f>
        <v>31</v>
      </c>
      <c r="C583" s="7">
        <v>45132</v>
      </c>
      <c r="D583" s="3" t="s">
        <v>71</v>
      </c>
      <c r="E583" s="3"/>
      <c r="F583" s="3"/>
    </row>
    <row r="584" spans="1:6" hidden="1" x14ac:dyDescent="0.3">
      <c r="A584" s="7" t="str">
        <f>BD_ControlRegimen[[#This Row],[FECHA]]&amp;BD_ControlRegimen[[#This Row],[NOMBRE]]</f>
        <v>45133ALVARADO CASTILLO AARON MARIO</v>
      </c>
      <c r="B584" s="83">
        <f>WEEKNUM(BD_ControlRegimen[[#This Row],[FECHA]],2)</f>
        <v>31</v>
      </c>
      <c r="C584" s="7">
        <v>45133</v>
      </c>
      <c r="D584" s="3" t="s">
        <v>71</v>
      </c>
      <c r="E584" s="3"/>
      <c r="F584" s="3"/>
    </row>
    <row r="585" spans="1:6" hidden="1" x14ac:dyDescent="0.3">
      <c r="A585" s="7" t="str">
        <f>BD_ControlRegimen[[#This Row],[FECHA]]&amp;BD_ControlRegimen[[#This Row],[NOMBRE]]</f>
        <v>45134ALVARADO CASTILLO AARON MARIO</v>
      </c>
      <c r="B585" s="83">
        <f>WEEKNUM(BD_ControlRegimen[[#This Row],[FECHA]],2)</f>
        <v>31</v>
      </c>
      <c r="C585" s="7">
        <v>45134</v>
      </c>
      <c r="D585" s="3" t="s">
        <v>71</v>
      </c>
      <c r="E585" s="3"/>
      <c r="F585" s="3"/>
    </row>
    <row r="586" spans="1:6" hidden="1" x14ac:dyDescent="0.3">
      <c r="A586" s="7" t="str">
        <f>BD_ControlRegimen[[#This Row],[FECHA]]&amp;BD_ControlRegimen[[#This Row],[NOMBRE]]</f>
        <v>45135ALVARADO CASTILLO AARON MARIO</v>
      </c>
      <c r="B586" s="83">
        <f>WEEKNUM(BD_ControlRegimen[[#This Row],[FECHA]],2)</f>
        <v>31</v>
      </c>
      <c r="C586" s="7">
        <v>45135</v>
      </c>
      <c r="D586" s="3" t="s">
        <v>71</v>
      </c>
      <c r="E586" s="3"/>
      <c r="F586" s="3"/>
    </row>
    <row r="587" spans="1:6" hidden="1" x14ac:dyDescent="0.3">
      <c r="A587" s="7" t="str">
        <f>BD_ControlRegimen[[#This Row],[FECHA]]&amp;BD_ControlRegimen[[#This Row],[NOMBRE]]</f>
        <v>45136ALVARADO CASTILLO AARON MARIO</v>
      </c>
      <c r="B587" s="83">
        <f>WEEKNUM(BD_ControlRegimen[[#This Row],[FECHA]],2)</f>
        <v>31</v>
      </c>
      <c r="C587" s="7">
        <v>45136</v>
      </c>
      <c r="D587" s="3" t="s">
        <v>71</v>
      </c>
      <c r="E587" s="3"/>
      <c r="F587" s="3"/>
    </row>
    <row r="588" spans="1:6" hidden="1" x14ac:dyDescent="0.3">
      <c r="A588" s="7" t="str">
        <f>BD_ControlRegimen[[#This Row],[FECHA]]&amp;BD_ControlRegimen[[#This Row],[NOMBRE]]</f>
        <v>45137ALVARADO CASTILLO AARON MARIO</v>
      </c>
      <c r="B588" s="83">
        <f>WEEKNUM(BD_ControlRegimen[[#This Row],[FECHA]],2)</f>
        <v>31</v>
      </c>
      <c r="C588" s="7">
        <v>45137</v>
      </c>
      <c r="D588" s="3" t="s">
        <v>71</v>
      </c>
      <c r="E588" s="3"/>
      <c r="F588" s="3"/>
    </row>
    <row r="589" spans="1:6" hidden="1" x14ac:dyDescent="0.3">
      <c r="A589" s="7" t="str">
        <f>BD_ControlRegimen[[#This Row],[FECHA]]&amp;BD_ControlRegimen[[#This Row],[NOMBRE]]</f>
        <v>45138ALVARADO CASTILLO AARON MARIO</v>
      </c>
      <c r="B589" s="83">
        <f>WEEKNUM(BD_ControlRegimen[[#This Row],[FECHA]],2)</f>
        <v>32</v>
      </c>
      <c r="C589" s="7">
        <v>45138</v>
      </c>
      <c r="D589" s="3" t="s">
        <v>71</v>
      </c>
      <c r="E589" s="3"/>
      <c r="F589" s="3"/>
    </row>
    <row r="590" spans="1:6" hidden="1" x14ac:dyDescent="0.3">
      <c r="A590" s="7" t="str">
        <f>BD_ControlRegimen[[#This Row],[FECHA]]&amp;BD_ControlRegimen[[#This Row],[NOMBRE]]</f>
        <v>45139ALVARADO CASTILLO AARON MARIO</v>
      </c>
      <c r="B590" s="83">
        <f>WEEKNUM(BD_ControlRegimen[[#This Row],[FECHA]],2)</f>
        <v>32</v>
      </c>
      <c r="C590" s="7">
        <v>45139</v>
      </c>
      <c r="D590" s="3" t="s">
        <v>71</v>
      </c>
      <c r="E590" s="3"/>
      <c r="F590" s="3"/>
    </row>
    <row r="591" spans="1:6" hidden="1" x14ac:dyDescent="0.3">
      <c r="A591" s="7" t="str">
        <f>BD_ControlRegimen[[#This Row],[FECHA]]&amp;BD_ControlRegimen[[#This Row],[NOMBRE]]</f>
        <v>45140ALVARADO CASTILLO AARON MARIO</v>
      </c>
      <c r="B591" s="83">
        <f>WEEKNUM(BD_ControlRegimen[[#This Row],[FECHA]],2)</f>
        <v>32</v>
      </c>
      <c r="C591" s="7">
        <v>45140</v>
      </c>
      <c r="D591" s="3" t="s">
        <v>71</v>
      </c>
      <c r="E591" s="3"/>
      <c r="F591" s="3"/>
    </row>
    <row r="592" spans="1:6" hidden="1" x14ac:dyDescent="0.3">
      <c r="A592" s="7" t="str">
        <f>BD_ControlRegimen[[#This Row],[FECHA]]&amp;BD_ControlRegimen[[#This Row],[NOMBRE]]</f>
        <v>45141ALVARADO CASTILLO AARON MARIO</v>
      </c>
      <c r="B592" s="83">
        <f>WEEKNUM(BD_ControlRegimen[[#This Row],[FECHA]],2)</f>
        <v>32</v>
      </c>
      <c r="C592" s="7">
        <v>45141</v>
      </c>
      <c r="D592" s="3" t="s">
        <v>71</v>
      </c>
      <c r="E592" s="3"/>
      <c r="F592" s="3"/>
    </row>
    <row r="593" spans="1:6" hidden="1" x14ac:dyDescent="0.3">
      <c r="A593" s="7" t="str">
        <f>BD_ControlRegimen[[#This Row],[FECHA]]&amp;BD_ControlRegimen[[#This Row],[NOMBRE]]</f>
        <v>45142ALVARADO CASTILLO AARON MARIO</v>
      </c>
      <c r="B593" s="83">
        <f>WEEKNUM(BD_ControlRegimen[[#This Row],[FECHA]],2)</f>
        <v>32</v>
      </c>
      <c r="C593" s="7">
        <v>45142</v>
      </c>
      <c r="D593" s="3" t="s">
        <v>71</v>
      </c>
      <c r="E593" s="3"/>
      <c r="F593" s="3"/>
    </row>
    <row r="594" spans="1:6" hidden="1" x14ac:dyDescent="0.3">
      <c r="A594" s="7" t="str">
        <f>BD_ControlRegimen[[#This Row],[FECHA]]&amp;BD_ControlRegimen[[#This Row],[NOMBRE]]</f>
        <v>45143ALVARADO CASTILLO AARON MARIO</v>
      </c>
      <c r="B594" s="83">
        <f>WEEKNUM(BD_ControlRegimen[[#This Row],[FECHA]],2)</f>
        <v>32</v>
      </c>
      <c r="C594" s="7">
        <v>45143</v>
      </c>
      <c r="D594" s="3" t="s">
        <v>71</v>
      </c>
      <c r="E594" s="3"/>
      <c r="F594" s="3"/>
    </row>
    <row r="595" spans="1:6" hidden="1" x14ac:dyDescent="0.3">
      <c r="A595" s="7" t="str">
        <f>BD_ControlRegimen[[#This Row],[FECHA]]&amp;BD_ControlRegimen[[#This Row],[NOMBRE]]</f>
        <v>45144ALVARADO CASTILLO AARON MARIO</v>
      </c>
      <c r="B595" s="83">
        <f>WEEKNUM(BD_ControlRegimen[[#This Row],[FECHA]],2)</f>
        <v>32</v>
      </c>
      <c r="C595" s="7">
        <v>45144</v>
      </c>
      <c r="D595" s="3" t="s">
        <v>71</v>
      </c>
      <c r="E595" s="3"/>
      <c r="F595" s="3"/>
    </row>
    <row r="596" spans="1:6" hidden="1" x14ac:dyDescent="0.3">
      <c r="A596" s="7" t="str">
        <f>BD_ControlRegimen[[#This Row],[FECHA]]&amp;BD_ControlRegimen[[#This Row],[NOMBRE]]</f>
        <v>45145ALVARADO CASTILLO AARON MARIO</v>
      </c>
      <c r="B596" s="83">
        <f>WEEKNUM(BD_ControlRegimen[[#This Row],[FECHA]],2)</f>
        <v>33</v>
      </c>
      <c r="C596" s="7">
        <v>45145</v>
      </c>
      <c r="D596" s="3" t="s">
        <v>71</v>
      </c>
      <c r="E596" s="3"/>
      <c r="F596" s="3"/>
    </row>
    <row r="597" spans="1:6" hidden="1" x14ac:dyDescent="0.3">
      <c r="A597" s="7" t="str">
        <f>BD_ControlRegimen[[#This Row],[FECHA]]&amp;BD_ControlRegimen[[#This Row],[NOMBRE]]</f>
        <v>45146ALVARADO CASTILLO AARON MARIO</v>
      </c>
      <c r="B597" s="83">
        <f>WEEKNUM(BD_ControlRegimen[[#This Row],[FECHA]],2)</f>
        <v>33</v>
      </c>
      <c r="C597" s="7">
        <v>45146</v>
      </c>
      <c r="D597" s="3" t="s">
        <v>71</v>
      </c>
      <c r="E597" s="3"/>
      <c r="F597" s="3"/>
    </row>
    <row r="598" spans="1:6" hidden="1" x14ac:dyDescent="0.3">
      <c r="A598" s="7" t="str">
        <f>BD_ControlRegimen[[#This Row],[FECHA]]&amp;BD_ControlRegimen[[#This Row],[NOMBRE]]</f>
        <v>45147ALVARADO CASTILLO AARON MARIO</v>
      </c>
      <c r="B598" s="83">
        <f>WEEKNUM(BD_ControlRegimen[[#This Row],[FECHA]],2)</f>
        <v>33</v>
      </c>
      <c r="C598" s="7">
        <v>45147</v>
      </c>
      <c r="D598" s="3" t="s">
        <v>71</v>
      </c>
      <c r="E598" s="3"/>
      <c r="F598" s="3"/>
    </row>
    <row r="599" spans="1:6" hidden="1" x14ac:dyDescent="0.3">
      <c r="A599" s="7" t="str">
        <f>BD_ControlRegimen[[#This Row],[FECHA]]&amp;BD_ControlRegimen[[#This Row],[NOMBRE]]</f>
        <v>45148ALVARADO CASTILLO AARON MARIO</v>
      </c>
      <c r="B599" s="83">
        <f>WEEKNUM(BD_ControlRegimen[[#This Row],[FECHA]],2)</f>
        <v>33</v>
      </c>
      <c r="C599" s="7">
        <v>45148</v>
      </c>
      <c r="D599" s="3" t="s">
        <v>71</v>
      </c>
      <c r="E599" s="3"/>
      <c r="F599" s="3"/>
    </row>
    <row r="600" spans="1:6" hidden="1" x14ac:dyDescent="0.3">
      <c r="A600" s="7" t="str">
        <f>BD_ControlRegimen[[#This Row],[FECHA]]&amp;BD_ControlRegimen[[#This Row],[NOMBRE]]</f>
        <v>45149ALVARADO CASTILLO AARON MARIO</v>
      </c>
      <c r="B600" s="83">
        <f>WEEKNUM(BD_ControlRegimen[[#This Row],[FECHA]],2)</f>
        <v>33</v>
      </c>
      <c r="C600" s="7">
        <v>45149</v>
      </c>
      <c r="D600" s="3" t="s">
        <v>71</v>
      </c>
      <c r="E600" s="3"/>
      <c r="F600" s="3"/>
    </row>
    <row r="601" spans="1:6" hidden="1" x14ac:dyDescent="0.3">
      <c r="A601" s="7" t="str">
        <f>BD_ControlRegimen[[#This Row],[FECHA]]&amp;BD_ControlRegimen[[#This Row],[NOMBRE]]</f>
        <v>45150ALVARADO CASTILLO AARON MARIO</v>
      </c>
      <c r="B601" s="83">
        <f>WEEKNUM(BD_ControlRegimen[[#This Row],[FECHA]],2)</f>
        <v>33</v>
      </c>
      <c r="C601" s="7">
        <v>45150</v>
      </c>
      <c r="D601" s="3" t="s">
        <v>71</v>
      </c>
      <c r="E601" s="3"/>
      <c r="F601" s="3"/>
    </row>
    <row r="602" spans="1:6" hidden="1" x14ac:dyDescent="0.3">
      <c r="A602" s="7" t="str">
        <f>BD_ControlRegimen[[#This Row],[FECHA]]&amp;BD_ControlRegimen[[#This Row],[NOMBRE]]</f>
        <v>45151ALVARADO CASTILLO AARON MARIO</v>
      </c>
      <c r="B602" s="83">
        <f>WEEKNUM(BD_ControlRegimen[[#This Row],[FECHA]],2)</f>
        <v>33</v>
      </c>
      <c r="C602" s="7">
        <v>45151</v>
      </c>
      <c r="D602" s="3" t="s">
        <v>71</v>
      </c>
      <c r="E602" s="3"/>
      <c r="F602" s="3"/>
    </row>
    <row r="603" spans="1:6" hidden="1" x14ac:dyDescent="0.3">
      <c r="A603" s="7" t="str">
        <f>BD_ControlRegimen[[#This Row],[FECHA]]&amp;BD_ControlRegimen[[#This Row],[NOMBRE]]</f>
        <v>45152ALVARADO CASTILLO AARON MARIO</v>
      </c>
      <c r="B603" s="83">
        <f>WEEKNUM(BD_ControlRegimen[[#This Row],[FECHA]],2)</f>
        <v>34</v>
      </c>
      <c r="C603" s="7">
        <v>45152</v>
      </c>
      <c r="D603" s="3" t="s">
        <v>71</v>
      </c>
      <c r="E603" s="3"/>
      <c r="F603" s="3"/>
    </row>
    <row r="604" spans="1:6" hidden="1" x14ac:dyDescent="0.3">
      <c r="A604" s="7" t="str">
        <f>BD_ControlRegimen[[#This Row],[FECHA]]&amp;BD_ControlRegimen[[#This Row],[NOMBRE]]</f>
        <v>45153ALVARADO CASTILLO AARON MARIO</v>
      </c>
      <c r="B604" s="83">
        <f>WEEKNUM(BD_ControlRegimen[[#This Row],[FECHA]],2)</f>
        <v>34</v>
      </c>
      <c r="C604" s="7">
        <v>45153</v>
      </c>
      <c r="D604" s="3" t="s">
        <v>71</v>
      </c>
      <c r="E604" s="3"/>
      <c r="F604" s="3"/>
    </row>
    <row r="605" spans="1:6" hidden="1" x14ac:dyDescent="0.3">
      <c r="A605" s="7" t="str">
        <f>BD_ControlRegimen[[#This Row],[FECHA]]&amp;BD_ControlRegimen[[#This Row],[NOMBRE]]</f>
        <v>45154ALVARADO CASTILLO AARON MARIO</v>
      </c>
      <c r="B605" s="83">
        <f>WEEKNUM(BD_ControlRegimen[[#This Row],[FECHA]],2)</f>
        <v>34</v>
      </c>
      <c r="C605" s="7">
        <v>45154</v>
      </c>
      <c r="D605" s="3" t="s">
        <v>71</v>
      </c>
      <c r="E605" s="3"/>
      <c r="F605" s="3"/>
    </row>
    <row r="606" spans="1:6" hidden="1" x14ac:dyDescent="0.3">
      <c r="A606" s="7" t="str">
        <f>BD_ControlRegimen[[#This Row],[FECHA]]&amp;BD_ControlRegimen[[#This Row],[NOMBRE]]</f>
        <v>45155ALVARADO CASTILLO AARON MARIO</v>
      </c>
      <c r="B606" s="83">
        <f>WEEKNUM(BD_ControlRegimen[[#This Row],[FECHA]],2)</f>
        <v>34</v>
      </c>
      <c r="C606" s="7">
        <v>45155</v>
      </c>
      <c r="D606" s="3" t="s">
        <v>71</v>
      </c>
      <c r="E606" s="3"/>
      <c r="F606" s="3"/>
    </row>
    <row r="607" spans="1:6" hidden="1" x14ac:dyDescent="0.3">
      <c r="A607" s="7" t="str">
        <f>BD_ControlRegimen[[#This Row],[FECHA]]&amp;BD_ControlRegimen[[#This Row],[NOMBRE]]</f>
        <v>45156ALVARADO CASTILLO AARON MARIO</v>
      </c>
      <c r="B607" s="83">
        <f>WEEKNUM(BD_ControlRegimen[[#This Row],[FECHA]],2)</f>
        <v>34</v>
      </c>
      <c r="C607" s="7">
        <v>45156</v>
      </c>
      <c r="D607" s="3" t="s">
        <v>71</v>
      </c>
      <c r="E607" s="3"/>
      <c r="F607" s="3"/>
    </row>
    <row r="608" spans="1:6" hidden="1" x14ac:dyDescent="0.3">
      <c r="A608" s="7" t="str">
        <f>BD_ControlRegimen[[#This Row],[FECHA]]&amp;BD_ControlRegimen[[#This Row],[NOMBRE]]</f>
        <v>45157ALVARADO CASTILLO AARON MARIO</v>
      </c>
      <c r="B608" s="83">
        <f>WEEKNUM(BD_ControlRegimen[[#This Row],[FECHA]],2)</f>
        <v>34</v>
      </c>
      <c r="C608" s="7">
        <v>45157</v>
      </c>
      <c r="D608" s="3" t="s">
        <v>71</v>
      </c>
      <c r="E608" s="3"/>
      <c r="F608" s="3"/>
    </row>
    <row r="609" spans="1:6" hidden="1" x14ac:dyDescent="0.3">
      <c r="A609" s="7" t="str">
        <f>BD_ControlRegimen[[#This Row],[FECHA]]&amp;BD_ControlRegimen[[#This Row],[NOMBRE]]</f>
        <v>45158ALVARADO CASTILLO AARON MARIO</v>
      </c>
      <c r="B609" s="83">
        <f>WEEKNUM(BD_ControlRegimen[[#This Row],[FECHA]],2)</f>
        <v>34</v>
      </c>
      <c r="C609" s="7">
        <v>45158</v>
      </c>
      <c r="D609" s="3" t="s">
        <v>71</v>
      </c>
      <c r="E609" s="3"/>
      <c r="F609" s="3"/>
    </row>
    <row r="610" spans="1:6" hidden="1" x14ac:dyDescent="0.3">
      <c r="A610" s="7" t="str">
        <f>BD_ControlRegimen[[#This Row],[FECHA]]&amp;BD_ControlRegimen[[#This Row],[NOMBRE]]</f>
        <v>45159ALVARADO CASTILLO AARON MARIO</v>
      </c>
      <c r="B610" s="83">
        <f>WEEKNUM(BD_ControlRegimen[[#This Row],[FECHA]],2)</f>
        <v>35</v>
      </c>
      <c r="C610" s="7">
        <v>45159</v>
      </c>
      <c r="D610" s="3" t="s">
        <v>71</v>
      </c>
      <c r="E610" s="3"/>
      <c r="F610" s="3"/>
    </row>
    <row r="611" spans="1:6" hidden="1" x14ac:dyDescent="0.3">
      <c r="A611" s="7" t="str">
        <f>BD_ControlRegimen[[#This Row],[FECHA]]&amp;BD_ControlRegimen[[#This Row],[NOMBRE]]</f>
        <v>45160ALVARADO CASTILLO AARON MARIO</v>
      </c>
      <c r="B611" s="83">
        <f>WEEKNUM(BD_ControlRegimen[[#This Row],[FECHA]],2)</f>
        <v>35</v>
      </c>
      <c r="C611" s="7">
        <v>45160</v>
      </c>
      <c r="D611" s="3" t="s">
        <v>71</v>
      </c>
      <c r="E611" s="3"/>
      <c r="F611" s="3"/>
    </row>
    <row r="612" spans="1:6" hidden="1" x14ac:dyDescent="0.3">
      <c r="A612" s="7" t="str">
        <f>BD_ControlRegimen[[#This Row],[FECHA]]&amp;BD_ControlRegimen[[#This Row],[NOMBRE]]</f>
        <v>45161ALVARADO CASTILLO AARON MARIO</v>
      </c>
      <c r="B612" s="83">
        <f>WEEKNUM(BD_ControlRegimen[[#This Row],[FECHA]],2)</f>
        <v>35</v>
      </c>
      <c r="C612" s="7">
        <v>45161</v>
      </c>
      <c r="D612" s="3" t="s">
        <v>71</v>
      </c>
      <c r="E612" s="3"/>
      <c r="F612" s="3"/>
    </row>
    <row r="613" spans="1:6" hidden="1" x14ac:dyDescent="0.3">
      <c r="A613" s="7" t="str">
        <f>BD_ControlRegimen[[#This Row],[FECHA]]&amp;BD_ControlRegimen[[#This Row],[NOMBRE]]</f>
        <v>45162ALVARADO CASTILLO AARON MARIO</v>
      </c>
      <c r="B613" s="83">
        <f>WEEKNUM(BD_ControlRegimen[[#This Row],[FECHA]],2)</f>
        <v>35</v>
      </c>
      <c r="C613" s="7">
        <v>45162</v>
      </c>
      <c r="D613" s="3" t="s">
        <v>71</v>
      </c>
      <c r="E613" s="3"/>
      <c r="F613" s="3"/>
    </row>
    <row r="614" spans="1:6" hidden="1" x14ac:dyDescent="0.3">
      <c r="A614" s="7" t="str">
        <f>BD_ControlRegimen[[#This Row],[FECHA]]&amp;BD_ControlRegimen[[#This Row],[NOMBRE]]</f>
        <v>45163ALVARADO CASTILLO AARON MARIO</v>
      </c>
      <c r="B614" s="83">
        <f>WEEKNUM(BD_ControlRegimen[[#This Row],[FECHA]],2)</f>
        <v>35</v>
      </c>
      <c r="C614" s="7">
        <v>45163</v>
      </c>
      <c r="D614" s="3" t="s">
        <v>71</v>
      </c>
      <c r="E614" s="3"/>
      <c r="F614" s="3"/>
    </row>
    <row r="615" spans="1:6" hidden="1" x14ac:dyDescent="0.3">
      <c r="A615" s="7" t="str">
        <f>BD_ControlRegimen[[#This Row],[FECHA]]&amp;BD_ControlRegimen[[#This Row],[NOMBRE]]</f>
        <v>45164ALVARADO CASTILLO AARON MARIO</v>
      </c>
      <c r="B615" s="83">
        <f>WEEKNUM(BD_ControlRegimen[[#This Row],[FECHA]],2)</f>
        <v>35</v>
      </c>
      <c r="C615" s="7">
        <v>45164</v>
      </c>
      <c r="D615" s="3" t="s">
        <v>71</v>
      </c>
      <c r="E615" s="3"/>
      <c r="F615" s="3"/>
    </row>
    <row r="616" spans="1:6" hidden="1" x14ac:dyDescent="0.3">
      <c r="A616" s="7" t="str">
        <f>BD_ControlRegimen[[#This Row],[FECHA]]&amp;BD_ControlRegimen[[#This Row],[NOMBRE]]</f>
        <v>45165ALVARADO CASTILLO AARON MARIO</v>
      </c>
      <c r="B616" s="83">
        <f>WEEKNUM(BD_ControlRegimen[[#This Row],[FECHA]],2)</f>
        <v>35</v>
      </c>
      <c r="C616" s="7">
        <v>45165</v>
      </c>
      <c r="D616" s="3" t="s">
        <v>71</v>
      </c>
      <c r="E616" s="3"/>
      <c r="F616" s="3"/>
    </row>
    <row r="617" spans="1:6" hidden="1" x14ac:dyDescent="0.3">
      <c r="A617" s="7" t="str">
        <f>BD_ControlRegimen[[#This Row],[FECHA]]&amp;BD_ControlRegimen[[#This Row],[NOMBRE]]</f>
        <v>45166ALVARADO CASTILLO AARON MARIO</v>
      </c>
      <c r="B617" s="83">
        <f>WEEKNUM(BD_ControlRegimen[[#This Row],[FECHA]],2)</f>
        <v>36</v>
      </c>
      <c r="C617" s="7">
        <v>45166</v>
      </c>
      <c r="D617" s="3" t="s">
        <v>71</v>
      </c>
      <c r="E617" s="3"/>
      <c r="F617" s="3"/>
    </row>
    <row r="618" spans="1:6" hidden="1" x14ac:dyDescent="0.3">
      <c r="A618" s="7" t="str">
        <f>BD_ControlRegimen[[#This Row],[FECHA]]&amp;BD_ControlRegimen[[#This Row],[NOMBRE]]</f>
        <v>45167ALVARADO CASTILLO AARON MARIO</v>
      </c>
      <c r="B618" s="83">
        <f>WEEKNUM(BD_ControlRegimen[[#This Row],[FECHA]],2)</f>
        <v>36</v>
      </c>
      <c r="C618" s="7">
        <v>45167</v>
      </c>
      <c r="D618" s="3" t="s">
        <v>71</v>
      </c>
      <c r="E618" s="3"/>
      <c r="F618" s="3"/>
    </row>
    <row r="619" spans="1:6" hidden="1" x14ac:dyDescent="0.3">
      <c r="A619" s="7" t="str">
        <f>BD_ControlRegimen[[#This Row],[FECHA]]&amp;BD_ControlRegimen[[#This Row],[NOMBRE]]</f>
        <v>45168ALVARADO CASTILLO AARON MARIO</v>
      </c>
      <c r="B619" s="83">
        <f>WEEKNUM(BD_ControlRegimen[[#This Row],[FECHA]],2)</f>
        <v>36</v>
      </c>
      <c r="C619" s="7">
        <v>45168</v>
      </c>
      <c r="D619" s="3" t="s">
        <v>71</v>
      </c>
      <c r="E619" s="3"/>
      <c r="F619" s="3"/>
    </row>
    <row r="620" spans="1:6" hidden="1" x14ac:dyDescent="0.3">
      <c r="A620" s="7" t="str">
        <f>BD_ControlRegimen[[#This Row],[FECHA]]&amp;BD_ControlRegimen[[#This Row],[NOMBRE]]</f>
        <v>45169ALVARADO CASTILLO AARON MARIO</v>
      </c>
      <c r="B620" s="83">
        <f>WEEKNUM(BD_ControlRegimen[[#This Row],[FECHA]],2)</f>
        <v>36</v>
      </c>
      <c r="C620" s="7">
        <v>45169</v>
      </c>
      <c r="D620" s="3" t="s">
        <v>71</v>
      </c>
      <c r="E620" s="3"/>
      <c r="F620" s="3"/>
    </row>
    <row r="621" spans="1:6" hidden="1" x14ac:dyDescent="0.3">
      <c r="A621" s="7" t="str">
        <f>BD_ControlRegimen[[#This Row],[FECHA]]&amp;BD_ControlRegimen[[#This Row],[NOMBRE]]</f>
        <v>45170ALVARADO CASTILLO AARON MARIO</v>
      </c>
      <c r="B621" s="83">
        <f>WEEKNUM(BD_ControlRegimen[[#This Row],[FECHA]],2)</f>
        <v>36</v>
      </c>
      <c r="C621" s="7">
        <v>45170</v>
      </c>
      <c r="D621" s="3" t="s">
        <v>71</v>
      </c>
      <c r="E621" s="3"/>
      <c r="F621" s="3"/>
    </row>
    <row r="622" spans="1:6" hidden="1" x14ac:dyDescent="0.3">
      <c r="A622" s="7" t="str">
        <f>BD_ControlRegimen[[#This Row],[FECHA]]&amp;BD_ControlRegimen[[#This Row],[NOMBRE]]</f>
        <v>45171ALVARADO CASTILLO AARON MARIO</v>
      </c>
      <c r="B622" s="83">
        <f>WEEKNUM(BD_ControlRegimen[[#This Row],[FECHA]],2)</f>
        <v>36</v>
      </c>
      <c r="C622" s="7">
        <v>45171</v>
      </c>
      <c r="D622" s="3" t="s">
        <v>71</v>
      </c>
      <c r="E622" s="3"/>
      <c r="F622" s="3"/>
    </row>
    <row r="623" spans="1:6" hidden="1" x14ac:dyDescent="0.3">
      <c r="A623" s="7" t="str">
        <f>BD_ControlRegimen[[#This Row],[FECHA]]&amp;BD_ControlRegimen[[#This Row],[NOMBRE]]</f>
        <v>45172ALVARADO CASTILLO AARON MARIO</v>
      </c>
      <c r="B623" s="83">
        <f>WEEKNUM(BD_ControlRegimen[[#This Row],[FECHA]],2)</f>
        <v>36</v>
      </c>
      <c r="C623" s="7">
        <v>45172</v>
      </c>
      <c r="D623" s="3" t="s">
        <v>71</v>
      </c>
      <c r="E623" s="3"/>
      <c r="F623" s="3"/>
    </row>
    <row r="624" spans="1:6" hidden="1" x14ac:dyDescent="0.3">
      <c r="A624" s="7" t="str">
        <f>BD_ControlRegimen[[#This Row],[FECHA]]&amp;BD_ControlRegimen[[#This Row],[NOMBRE]]</f>
        <v>45173ALVARADO CASTILLO AARON MARIO</v>
      </c>
      <c r="B624" s="83">
        <f>WEEKNUM(BD_ControlRegimen[[#This Row],[FECHA]],2)</f>
        <v>37</v>
      </c>
      <c r="C624" s="7">
        <v>45173</v>
      </c>
      <c r="D624" s="3" t="s">
        <v>71</v>
      </c>
      <c r="E624" s="3"/>
      <c r="F624" s="3"/>
    </row>
    <row r="625" spans="1:6" hidden="1" x14ac:dyDescent="0.3">
      <c r="A625" s="7" t="str">
        <f>BD_ControlRegimen[[#This Row],[FECHA]]&amp;BD_ControlRegimen[[#This Row],[NOMBRE]]</f>
        <v>45174ALVARADO CASTILLO AARON MARIO</v>
      </c>
      <c r="B625" s="83">
        <f>WEEKNUM(BD_ControlRegimen[[#This Row],[FECHA]],2)</f>
        <v>37</v>
      </c>
      <c r="C625" s="7">
        <v>45174</v>
      </c>
      <c r="D625" s="3" t="s">
        <v>71</v>
      </c>
      <c r="E625" s="3"/>
      <c r="F625" s="3"/>
    </row>
    <row r="626" spans="1:6" hidden="1" x14ac:dyDescent="0.3">
      <c r="A626" s="7" t="str">
        <f>BD_ControlRegimen[[#This Row],[FECHA]]&amp;BD_ControlRegimen[[#This Row],[NOMBRE]]</f>
        <v>45175ALVARADO CASTILLO AARON MARIO</v>
      </c>
      <c r="B626" s="83">
        <f>WEEKNUM(BD_ControlRegimen[[#This Row],[FECHA]],2)</f>
        <v>37</v>
      </c>
      <c r="C626" s="7">
        <v>45175</v>
      </c>
      <c r="D626" s="3" t="s">
        <v>71</v>
      </c>
      <c r="E626" s="3"/>
      <c r="F626" s="3"/>
    </row>
    <row r="627" spans="1:6" hidden="1" x14ac:dyDescent="0.3">
      <c r="A627" s="7" t="str">
        <f>BD_ControlRegimen[[#This Row],[FECHA]]&amp;BD_ControlRegimen[[#This Row],[NOMBRE]]</f>
        <v>45176ALVARADO CASTILLO AARON MARIO</v>
      </c>
      <c r="B627" s="83">
        <f>WEEKNUM(BD_ControlRegimen[[#This Row],[FECHA]],2)</f>
        <v>37</v>
      </c>
      <c r="C627" s="7">
        <v>45176</v>
      </c>
      <c r="D627" s="3" t="s">
        <v>71</v>
      </c>
      <c r="E627" s="3"/>
      <c r="F627" s="3"/>
    </row>
    <row r="628" spans="1:6" hidden="1" x14ac:dyDescent="0.3">
      <c r="A628" s="7" t="str">
        <f>BD_ControlRegimen[[#This Row],[FECHA]]&amp;BD_ControlRegimen[[#This Row],[NOMBRE]]</f>
        <v>45177ALVARADO CASTILLO AARON MARIO</v>
      </c>
      <c r="B628" s="83">
        <f>WEEKNUM(BD_ControlRegimen[[#This Row],[FECHA]],2)</f>
        <v>37</v>
      </c>
      <c r="C628" s="7">
        <v>45177</v>
      </c>
      <c r="D628" s="3" t="s">
        <v>71</v>
      </c>
      <c r="E628" s="3"/>
      <c r="F628" s="3"/>
    </row>
    <row r="629" spans="1:6" hidden="1" x14ac:dyDescent="0.3">
      <c r="A629" s="7" t="str">
        <f>BD_ControlRegimen[[#This Row],[FECHA]]&amp;BD_ControlRegimen[[#This Row],[NOMBRE]]</f>
        <v>45178ALVARADO CASTILLO AARON MARIO</v>
      </c>
      <c r="B629" s="83">
        <f>WEEKNUM(BD_ControlRegimen[[#This Row],[FECHA]],2)</f>
        <v>37</v>
      </c>
      <c r="C629" s="7">
        <v>45178</v>
      </c>
      <c r="D629" s="3" t="s">
        <v>71</v>
      </c>
      <c r="E629" s="3"/>
      <c r="F629" s="3"/>
    </row>
    <row r="630" spans="1:6" hidden="1" x14ac:dyDescent="0.3">
      <c r="A630" s="7" t="str">
        <f>BD_ControlRegimen[[#This Row],[FECHA]]&amp;BD_ControlRegimen[[#This Row],[NOMBRE]]</f>
        <v>45179ALVARADO CASTILLO AARON MARIO</v>
      </c>
      <c r="B630" s="83">
        <f>WEEKNUM(BD_ControlRegimen[[#This Row],[FECHA]],2)</f>
        <v>37</v>
      </c>
      <c r="C630" s="7">
        <v>45179</v>
      </c>
      <c r="D630" s="3" t="s">
        <v>71</v>
      </c>
      <c r="E630" s="3"/>
      <c r="F630" s="3"/>
    </row>
    <row r="631" spans="1:6" hidden="1" x14ac:dyDescent="0.3">
      <c r="A631" s="7" t="str">
        <f>BD_ControlRegimen[[#This Row],[FECHA]]&amp;BD_ControlRegimen[[#This Row],[NOMBRE]]</f>
        <v>45180ALVARADO CASTILLO AARON MARIO</v>
      </c>
      <c r="B631" s="83">
        <f>WEEKNUM(BD_ControlRegimen[[#This Row],[FECHA]],2)</f>
        <v>38</v>
      </c>
      <c r="C631" s="7">
        <v>45180</v>
      </c>
      <c r="D631" s="3" t="s">
        <v>71</v>
      </c>
      <c r="E631" s="3"/>
      <c r="F631" s="3"/>
    </row>
    <row r="632" spans="1:6" hidden="1" x14ac:dyDescent="0.3">
      <c r="A632" s="7" t="str">
        <f>BD_ControlRegimen[[#This Row],[FECHA]]&amp;BD_ControlRegimen[[#This Row],[NOMBRE]]</f>
        <v>45181ALVARADO CASTILLO AARON MARIO</v>
      </c>
      <c r="B632" s="83">
        <f>WEEKNUM(BD_ControlRegimen[[#This Row],[FECHA]],2)</f>
        <v>38</v>
      </c>
      <c r="C632" s="7">
        <v>45181</v>
      </c>
      <c r="D632" s="3" t="s">
        <v>71</v>
      </c>
      <c r="E632" s="3"/>
      <c r="F632" s="3"/>
    </row>
    <row r="633" spans="1:6" hidden="1" x14ac:dyDescent="0.3">
      <c r="A633" s="7" t="str">
        <f>BD_ControlRegimen[[#This Row],[FECHA]]&amp;BD_ControlRegimen[[#This Row],[NOMBRE]]</f>
        <v>45182ALVARADO CASTILLO AARON MARIO</v>
      </c>
      <c r="B633" s="83">
        <f>WEEKNUM(BD_ControlRegimen[[#This Row],[FECHA]],2)</f>
        <v>38</v>
      </c>
      <c r="C633" s="7">
        <v>45182</v>
      </c>
      <c r="D633" s="3" t="s">
        <v>71</v>
      </c>
      <c r="E633" s="3"/>
      <c r="F633" s="3"/>
    </row>
    <row r="634" spans="1:6" hidden="1" x14ac:dyDescent="0.3">
      <c r="A634" s="7" t="str">
        <f>BD_ControlRegimen[[#This Row],[FECHA]]&amp;BD_ControlRegimen[[#This Row],[NOMBRE]]</f>
        <v>45183ALVARADO CASTILLO AARON MARIO</v>
      </c>
      <c r="B634" s="83">
        <f>WEEKNUM(BD_ControlRegimen[[#This Row],[FECHA]],2)</f>
        <v>38</v>
      </c>
      <c r="C634" s="7">
        <v>45183</v>
      </c>
      <c r="D634" s="3" t="s">
        <v>71</v>
      </c>
      <c r="E634" s="3"/>
      <c r="F634" s="3"/>
    </row>
    <row r="635" spans="1:6" hidden="1" x14ac:dyDescent="0.3">
      <c r="A635" s="7" t="str">
        <f>BD_ControlRegimen[[#This Row],[FECHA]]&amp;BD_ControlRegimen[[#This Row],[NOMBRE]]</f>
        <v>45184ALVARADO CASTILLO AARON MARIO</v>
      </c>
      <c r="B635" s="83">
        <f>WEEKNUM(BD_ControlRegimen[[#This Row],[FECHA]],2)</f>
        <v>38</v>
      </c>
      <c r="C635" s="7">
        <v>45184</v>
      </c>
      <c r="D635" s="3" t="s">
        <v>71</v>
      </c>
      <c r="E635" s="3"/>
      <c r="F635" s="3"/>
    </row>
    <row r="636" spans="1:6" hidden="1" x14ac:dyDescent="0.3">
      <c r="A636" s="7" t="str">
        <f>BD_ControlRegimen[[#This Row],[FECHA]]&amp;BD_ControlRegimen[[#This Row],[NOMBRE]]</f>
        <v>45185ALVARADO CASTILLO AARON MARIO</v>
      </c>
      <c r="B636" s="83">
        <f>WEEKNUM(BD_ControlRegimen[[#This Row],[FECHA]],2)</f>
        <v>38</v>
      </c>
      <c r="C636" s="7">
        <v>45185</v>
      </c>
      <c r="D636" s="3" t="s">
        <v>71</v>
      </c>
      <c r="E636" s="3"/>
      <c r="F636" s="3"/>
    </row>
    <row r="637" spans="1:6" hidden="1" x14ac:dyDescent="0.3">
      <c r="A637" s="7" t="str">
        <f>BD_ControlRegimen[[#This Row],[FECHA]]&amp;BD_ControlRegimen[[#This Row],[NOMBRE]]</f>
        <v>45186ALVARADO CASTILLO AARON MARIO</v>
      </c>
      <c r="B637" s="83">
        <f>WEEKNUM(BD_ControlRegimen[[#This Row],[FECHA]],2)</f>
        <v>38</v>
      </c>
      <c r="C637" s="7">
        <v>45186</v>
      </c>
      <c r="D637" s="3" t="s">
        <v>71</v>
      </c>
      <c r="E637" s="3"/>
      <c r="F637" s="3"/>
    </row>
    <row r="638" spans="1:6" hidden="1" x14ac:dyDescent="0.3">
      <c r="A638" s="7" t="str">
        <f>BD_ControlRegimen[[#This Row],[FECHA]]&amp;BD_ControlRegimen[[#This Row],[NOMBRE]]</f>
        <v>45187ALVARADO CASTILLO AARON MARIO</v>
      </c>
      <c r="B638" s="83">
        <f>WEEKNUM(BD_ControlRegimen[[#This Row],[FECHA]],2)</f>
        <v>39</v>
      </c>
      <c r="C638" s="7">
        <v>45187</v>
      </c>
      <c r="D638" s="3" t="s">
        <v>71</v>
      </c>
      <c r="E638" s="3"/>
      <c r="F638" s="3"/>
    </row>
    <row r="639" spans="1:6" hidden="1" x14ac:dyDescent="0.3">
      <c r="A639" s="7" t="str">
        <f>BD_ControlRegimen[[#This Row],[FECHA]]&amp;BD_ControlRegimen[[#This Row],[NOMBRE]]</f>
        <v>45188ALVARADO CASTILLO AARON MARIO</v>
      </c>
      <c r="B639" s="83">
        <f>WEEKNUM(BD_ControlRegimen[[#This Row],[FECHA]],2)</f>
        <v>39</v>
      </c>
      <c r="C639" s="7">
        <v>45188</v>
      </c>
      <c r="D639" s="3" t="s">
        <v>71</v>
      </c>
      <c r="E639" s="3"/>
      <c r="F639" s="3"/>
    </row>
    <row r="640" spans="1:6" hidden="1" x14ac:dyDescent="0.3">
      <c r="A640" s="7" t="str">
        <f>BD_ControlRegimen[[#This Row],[FECHA]]&amp;BD_ControlRegimen[[#This Row],[NOMBRE]]</f>
        <v>45189ALVARADO CASTILLO AARON MARIO</v>
      </c>
      <c r="B640" s="83">
        <f>WEEKNUM(BD_ControlRegimen[[#This Row],[FECHA]],2)</f>
        <v>39</v>
      </c>
      <c r="C640" s="7">
        <v>45189</v>
      </c>
      <c r="D640" s="3" t="s">
        <v>71</v>
      </c>
      <c r="E640" s="3"/>
      <c r="F640" s="3"/>
    </row>
    <row r="641" spans="1:6" hidden="1" x14ac:dyDescent="0.3">
      <c r="A641" s="7" t="str">
        <f>BD_ControlRegimen[[#This Row],[FECHA]]&amp;BD_ControlRegimen[[#This Row],[NOMBRE]]</f>
        <v>45190ALVARADO CASTILLO AARON MARIO</v>
      </c>
      <c r="B641" s="83">
        <f>WEEKNUM(BD_ControlRegimen[[#This Row],[FECHA]],2)</f>
        <v>39</v>
      </c>
      <c r="C641" s="7">
        <v>45190</v>
      </c>
      <c r="D641" s="3" t="s">
        <v>71</v>
      </c>
      <c r="E641" s="3"/>
      <c r="F641" s="3"/>
    </row>
    <row r="642" spans="1:6" hidden="1" x14ac:dyDescent="0.3">
      <c r="A642" s="7" t="str">
        <f>BD_ControlRegimen[[#This Row],[FECHA]]&amp;BD_ControlRegimen[[#This Row],[NOMBRE]]</f>
        <v>45191ALVARADO CASTILLO AARON MARIO</v>
      </c>
      <c r="B642" s="83">
        <f>WEEKNUM(BD_ControlRegimen[[#This Row],[FECHA]],2)</f>
        <v>39</v>
      </c>
      <c r="C642" s="7">
        <v>45191</v>
      </c>
      <c r="D642" s="3" t="s">
        <v>71</v>
      </c>
      <c r="E642" s="3"/>
      <c r="F642" s="3"/>
    </row>
    <row r="643" spans="1:6" hidden="1" x14ac:dyDescent="0.3">
      <c r="A643" s="7" t="str">
        <f>BD_ControlRegimen[[#This Row],[FECHA]]&amp;BD_ControlRegimen[[#This Row],[NOMBRE]]</f>
        <v>45192ALVARADO CASTILLO AARON MARIO</v>
      </c>
      <c r="B643" s="83">
        <f>WEEKNUM(BD_ControlRegimen[[#This Row],[FECHA]],2)</f>
        <v>39</v>
      </c>
      <c r="C643" s="7">
        <v>45192</v>
      </c>
      <c r="D643" s="3" t="s">
        <v>71</v>
      </c>
      <c r="E643" s="3"/>
      <c r="F643" s="3"/>
    </row>
    <row r="644" spans="1:6" hidden="1" x14ac:dyDescent="0.3">
      <c r="A644" s="7" t="str">
        <f>BD_ControlRegimen[[#This Row],[FECHA]]&amp;BD_ControlRegimen[[#This Row],[NOMBRE]]</f>
        <v>45193ALVARADO CASTILLO AARON MARIO</v>
      </c>
      <c r="B644" s="83">
        <f>WEEKNUM(BD_ControlRegimen[[#This Row],[FECHA]],2)</f>
        <v>39</v>
      </c>
      <c r="C644" s="7">
        <v>45193</v>
      </c>
      <c r="D644" s="3" t="s">
        <v>71</v>
      </c>
      <c r="E644" s="3"/>
      <c r="F644" s="3"/>
    </row>
    <row r="645" spans="1:6" hidden="1" x14ac:dyDescent="0.3">
      <c r="A645" s="7" t="str">
        <f>BD_ControlRegimen[[#This Row],[FECHA]]&amp;BD_ControlRegimen[[#This Row],[NOMBRE]]</f>
        <v>45194ALVARADO CASTILLO AARON MARIO</v>
      </c>
      <c r="B645" s="83">
        <f>WEEKNUM(BD_ControlRegimen[[#This Row],[FECHA]],2)</f>
        <v>40</v>
      </c>
      <c r="C645" s="7">
        <v>45194</v>
      </c>
      <c r="D645" s="3" t="s">
        <v>71</v>
      </c>
      <c r="E645" s="3"/>
      <c r="F645" s="3"/>
    </row>
    <row r="646" spans="1:6" hidden="1" x14ac:dyDescent="0.3">
      <c r="A646" s="7" t="str">
        <f>BD_ControlRegimen[[#This Row],[FECHA]]&amp;BD_ControlRegimen[[#This Row],[NOMBRE]]</f>
        <v>45195ALVARADO CASTILLO AARON MARIO</v>
      </c>
      <c r="B646" s="83">
        <f>WEEKNUM(BD_ControlRegimen[[#This Row],[FECHA]],2)</f>
        <v>40</v>
      </c>
      <c r="C646" s="7">
        <v>45195</v>
      </c>
      <c r="D646" s="3" t="s">
        <v>71</v>
      </c>
      <c r="E646" s="3"/>
      <c r="F646" s="3"/>
    </row>
    <row r="647" spans="1:6" hidden="1" x14ac:dyDescent="0.3">
      <c r="A647" s="7" t="str">
        <f>BD_ControlRegimen[[#This Row],[FECHA]]&amp;BD_ControlRegimen[[#This Row],[NOMBRE]]</f>
        <v>45196ALVARADO CASTILLO AARON MARIO</v>
      </c>
      <c r="B647" s="83">
        <f>WEEKNUM(BD_ControlRegimen[[#This Row],[FECHA]],2)</f>
        <v>40</v>
      </c>
      <c r="C647" s="7">
        <v>45196</v>
      </c>
      <c r="D647" s="3" t="s">
        <v>71</v>
      </c>
      <c r="E647" s="3"/>
      <c r="F647" s="3"/>
    </row>
    <row r="648" spans="1:6" hidden="1" x14ac:dyDescent="0.3">
      <c r="A648" s="7" t="str">
        <f>BD_ControlRegimen[[#This Row],[FECHA]]&amp;BD_ControlRegimen[[#This Row],[NOMBRE]]</f>
        <v>45197ALVARADO CASTILLO AARON MARIO</v>
      </c>
      <c r="B648" s="83">
        <f>WEEKNUM(BD_ControlRegimen[[#This Row],[FECHA]],2)</f>
        <v>40</v>
      </c>
      <c r="C648" s="7">
        <v>45197</v>
      </c>
      <c r="D648" s="3" t="s">
        <v>71</v>
      </c>
      <c r="E648" s="3"/>
      <c r="F648" s="3"/>
    </row>
    <row r="649" spans="1:6" hidden="1" x14ac:dyDescent="0.3">
      <c r="A649" s="7" t="str">
        <f>BD_ControlRegimen[[#This Row],[FECHA]]&amp;BD_ControlRegimen[[#This Row],[NOMBRE]]</f>
        <v>45198ALVARADO CASTILLO AARON MARIO</v>
      </c>
      <c r="B649" s="83">
        <f>WEEKNUM(BD_ControlRegimen[[#This Row],[FECHA]],2)</f>
        <v>40</v>
      </c>
      <c r="C649" s="7">
        <v>45198</v>
      </c>
      <c r="D649" s="3" t="s">
        <v>71</v>
      </c>
      <c r="E649" s="3"/>
      <c r="F649" s="3"/>
    </row>
    <row r="650" spans="1:6" hidden="1" x14ac:dyDescent="0.3">
      <c r="A650" s="7" t="str">
        <f>BD_ControlRegimen[[#This Row],[FECHA]]&amp;BD_ControlRegimen[[#This Row],[NOMBRE]]</f>
        <v>45199ALVARADO CASTILLO AARON MARIO</v>
      </c>
      <c r="B650" s="83">
        <f>WEEKNUM(BD_ControlRegimen[[#This Row],[FECHA]],2)</f>
        <v>40</v>
      </c>
      <c r="C650" s="7">
        <v>45199</v>
      </c>
      <c r="D650" s="3" t="s">
        <v>71</v>
      </c>
      <c r="E650" s="3"/>
      <c r="F650" s="3"/>
    </row>
    <row r="651" spans="1:6" hidden="1" x14ac:dyDescent="0.3">
      <c r="A651" s="7" t="str">
        <f>BD_ControlRegimen[[#This Row],[FECHA]]&amp;BD_ControlRegimen[[#This Row],[NOMBRE]]</f>
        <v>45200ALVARADO CASTILLO AARON MARIO</v>
      </c>
      <c r="B651" s="83">
        <f>WEEKNUM(BD_ControlRegimen[[#This Row],[FECHA]],2)</f>
        <v>40</v>
      </c>
      <c r="C651" s="7">
        <v>45200</v>
      </c>
      <c r="D651" s="3" t="s">
        <v>71</v>
      </c>
      <c r="E651" s="3"/>
      <c r="F651" s="3"/>
    </row>
    <row r="652" spans="1:6" hidden="1" x14ac:dyDescent="0.3">
      <c r="A652" s="7" t="str">
        <f>BD_ControlRegimen[[#This Row],[FECHA]]&amp;BD_ControlRegimen[[#This Row],[NOMBRE]]</f>
        <v>45201ALVARADO CASTILLO AARON MARIO</v>
      </c>
      <c r="B652" s="83">
        <f>WEEKNUM(BD_ControlRegimen[[#This Row],[FECHA]],2)</f>
        <v>41</v>
      </c>
      <c r="C652" s="7">
        <v>45201</v>
      </c>
      <c r="D652" s="3" t="s">
        <v>71</v>
      </c>
      <c r="E652" s="3"/>
      <c r="F652" s="3"/>
    </row>
    <row r="653" spans="1:6" hidden="1" x14ac:dyDescent="0.3">
      <c r="A653" s="7" t="str">
        <f>BD_ControlRegimen[[#This Row],[FECHA]]&amp;BD_ControlRegimen[[#This Row],[NOMBRE]]</f>
        <v>45202ALVARADO CASTILLO AARON MARIO</v>
      </c>
      <c r="B653" s="83">
        <f>WEEKNUM(BD_ControlRegimen[[#This Row],[FECHA]],2)</f>
        <v>41</v>
      </c>
      <c r="C653" s="7">
        <v>45202</v>
      </c>
      <c r="D653" s="3" t="s">
        <v>71</v>
      </c>
      <c r="E653" s="3"/>
      <c r="F653" s="3"/>
    </row>
    <row r="654" spans="1:6" hidden="1" x14ac:dyDescent="0.3">
      <c r="A654" s="7" t="str">
        <f>BD_ControlRegimen[[#This Row],[FECHA]]&amp;BD_ControlRegimen[[#This Row],[NOMBRE]]</f>
        <v>45203ALVARADO CASTILLO AARON MARIO</v>
      </c>
      <c r="B654" s="83">
        <f>WEEKNUM(BD_ControlRegimen[[#This Row],[FECHA]],2)</f>
        <v>41</v>
      </c>
      <c r="C654" s="7">
        <v>45203</v>
      </c>
      <c r="D654" s="3" t="s">
        <v>71</v>
      </c>
      <c r="E654" s="3"/>
      <c r="F654" s="3"/>
    </row>
    <row r="655" spans="1:6" hidden="1" x14ac:dyDescent="0.3">
      <c r="A655" s="7" t="str">
        <f>BD_ControlRegimen[[#This Row],[FECHA]]&amp;BD_ControlRegimen[[#This Row],[NOMBRE]]</f>
        <v>45204ALVARADO CASTILLO AARON MARIO</v>
      </c>
      <c r="B655" s="83">
        <f>WEEKNUM(BD_ControlRegimen[[#This Row],[FECHA]],2)</f>
        <v>41</v>
      </c>
      <c r="C655" s="7">
        <v>45204</v>
      </c>
      <c r="D655" s="3" t="s">
        <v>71</v>
      </c>
      <c r="E655" s="3"/>
      <c r="F655" s="3"/>
    </row>
    <row r="656" spans="1:6" hidden="1" x14ac:dyDescent="0.3">
      <c r="A656" s="7" t="str">
        <f>BD_ControlRegimen[[#This Row],[FECHA]]&amp;BD_ControlRegimen[[#This Row],[NOMBRE]]</f>
        <v>45205ALVARADO CASTILLO AARON MARIO</v>
      </c>
      <c r="B656" s="83">
        <f>WEEKNUM(BD_ControlRegimen[[#This Row],[FECHA]],2)</f>
        <v>41</v>
      </c>
      <c r="C656" s="7">
        <v>45205</v>
      </c>
      <c r="D656" s="3" t="s">
        <v>71</v>
      </c>
      <c r="E656" s="3"/>
      <c r="F656" s="3"/>
    </row>
    <row r="657" spans="1:6" hidden="1" x14ac:dyDescent="0.3">
      <c r="A657" s="7" t="str">
        <f>BD_ControlRegimen[[#This Row],[FECHA]]&amp;BD_ControlRegimen[[#This Row],[NOMBRE]]</f>
        <v>45206ALVARADO CASTILLO AARON MARIO</v>
      </c>
      <c r="B657" s="83">
        <f>WEEKNUM(BD_ControlRegimen[[#This Row],[FECHA]],2)</f>
        <v>41</v>
      </c>
      <c r="C657" s="7">
        <v>45206</v>
      </c>
      <c r="D657" s="3" t="s">
        <v>71</v>
      </c>
      <c r="E657" s="3"/>
      <c r="F657" s="3"/>
    </row>
    <row r="658" spans="1:6" hidden="1" x14ac:dyDescent="0.3">
      <c r="A658" s="7" t="str">
        <f>BD_ControlRegimen[[#This Row],[FECHA]]&amp;BD_ControlRegimen[[#This Row],[NOMBRE]]</f>
        <v>45207ALVARADO CASTILLO AARON MARIO</v>
      </c>
      <c r="B658" s="83">
        <f>WEEKNUM(BD_ControlRegimen[[#This Row],[FECHA]],2)</f>
        <v>41</v>
      </c>
      <c r="C658" s="7">
        <v>45207</v>
      </c>
      <c r="D658" s="3" t="s">
        <v>71</v>
      </c>
      <c r="E658" s="3"/>
      <c r="F658" s="3"/>
    </row>
    <row r="659" spans="1:6" hidden="1" x14ac:dyDescent="0.3">
      <c r="A659" s="7" t="str">
        <f>BD_ControlRegimen[[#This Row],[FECHA]]&amp;BD_ControlRegimen[[#This Row],[NOMBRE]]</f>
        <v>45208ALVARADO CASTILLO AARON MARIO</v>
      </c>
      <c r="B659" s="83">
        <f>WEEKNUM(BD_ControlRegimen[[#This Row],[FECHA]],2)</f>
        <v>42</v>
      </c>
      <c r="C659" s="7">
        <v>45208</v>
      </c>
      <c r="D659" s="3" t="s">
        <v>71</v>
      </c>
      <c r="E659" s="3"/>
      <c r="F659" s="3"/>
    </row>
    <row r="660" spans="1:6" hidden="1" x14ac:dyDescent="0.3">
      <c r="A660" s="7" t="str">
        <f>BD_ControlRegimen[[#This Row],[FECHA]]&amp;BD_ControlRegimen[[#This Row],[NOMBRE]]</f>
        <v>45209ALVARADO CASTILLO AARON MARIO</v>
      </c>
      <c r="B660" s="83">
        <f>WEEKNUM(BD_ControlRegimen[[#This Row],[FECHA]],2)</f>
        <v>42</v>
      </c>
      <c r="C660" s="7">
        <v>45209</v>
      </c>
      <c r="D660" s="3" t="s">
        <v>71</v>
      </c>
      <c r="E660" s="3"/>
      <c r="F660" s="3"/>
    </row>
    <row r="661" spans="1:6" hidden="1" x14ac:dyDescent="0.3">
      <c r="A661" s="7" t="str">
        <f>BD_ControlRegimen[[#This Row],[FECHA]]&amp;BD_ControlRegimen[[#This Row],[NOMBRE]]</f>
        <v>45210ALVARADO CASTILLO AARON MARIO</v>
      </c>
      <c r="B661" s="83">
        <f>WEEKNUM(BD_ControlRegimen[[#This Row],[FECHA]],2)</f>
        <v>42</v>
      </c>
      <c r="C661" s="7">
        <v>45210</v>
      </c>
      <c r="D661" s="3" t="s">
        <v>71</v>
      </c>
      <c r="E661" s="3"/>
      <c r="F661" s="3"/>
    </row>
    <row r="662" spans="1:6" hidden="1" x14ac:dyDescent="0.3">
      <c r="A662" s="7" t="str">
        <f>BD_ControlRegimen[[#This Row],[FECHA]]&amp;BD_ControlRegimen[[#This Row],[NOMBRE]]</f>
        <v>45211ALVARADO CASTILLO AARON MARIO</v>
      </c>
      <c r="B662" s="83">
        <f>WEEKNUM(BD_ControlRegimen[[#This Row],[FECHA]],2)</f>
        <v>42</v>
      </c>
      <c r="C662" s="7">
        <v>45211</v>
      </c>
      <c r="D662" s="3" t="s">
        <v>71</v>
      </c>
      <c r="E662" s="3"/>
      <c r="F662" s="3"/>
    </row>
    <row r="663" spans="1:6" hidden="1" x14ac:dyDescent="0.3">
      <c r="A663" s="7" t="str">
        <f>BD_ControlRegimen[[#This Row],[FECHA]]&amp;BD_ControlRegimen[[#This Row],[NOMBRE]]</f>
        <v>45212ALVARADO CASTILLO AARON MARIO</v>
      </c>
      <c r="B663" s="83">
        <f>WEEKNUM(BD_ControlRegimen[[#This Row],[FECHA]],2)</f>
        <v>42</v>
      </c>
      <c r="C663" s="7">
        <v>45212</v>
      </c>
      <c r="D663" s="3" t="s">
        <v>71</v>
      </c>
      <c r="E663" s="3"/>
      <c r="F663" s="3"/>
    </row>
    <row r="664" spans="1:6" hidden="1" x14ac:dyDescent="0.3">
      <c r="A664" s="7" t="str">
        <f>BD_ControlRegimen[[#This Row],[FECHA]]&amp;BD_ControlRegimen[[#This Row],[NOMBRE]]</f>
        <v>45213ALVARADO CASTILLO AARON MARIO</v>
      </c>
      <c r="B664" s="83">
        <f>WEEKNUM(BD_ControlRegimen[[#This Row],[FECHA]],2)</f>
        <v>42</v>
      </c>
      <c r="C664" s="7">
        <v>45213</v>
      </c>
      <c r="D664" s="3" t="s">
        <v>71</v>
      </c>
      <c r="E664" s="3"/>
      <c r="F664" s="3"/>
    </row>
    <row r="665" spans="1:6" hidden="1" x14ac:dyDescent="0.3">
      <c r="A665" s="7" t="str">
        <f>BD_ControlRegimen[[#This Row],[FECHA]]&amp;BD_ControlRegimen[[#This Row],[NOMBRE]]</f>
        <v>45214ALVARADO CASTILLO AARON MARIO</v>
      </c>
      <c r="B665" s="83">
        <f>WEEKNUM(BD_ControlRegimen[[#This Row],[FECHA]],2)</f>
        <v>42</v>
      </c>
      <c r="C665" s="7">
        <v>45214</v>
      </c>
      <c r="D665" s="3" t="s">
        <v>71</v>
      </c>
      <c r="E665" s="3"/>
      <c r="F665" s="3"/>
    </row>
    <row r="666" spans="1:6" hidden="1" x14ac:dyDescent="0.3">
      <c r="A666" s="7" t="str">
        <f>BD_ControlRegimen[[#This Row],[FECHA]]&amp;BD_ControlRegimen[[#This Row],[NOMBRE]]</f>
        <v>45215ALVARADO CASTILLO AARON MARIO</v>
      </c>
      <c r="B666" s="83">
        <f>WEEKNUM(BD_ControlRegimen[[#This Row],[FECHA]],2)</f>
        <v>43</v>
      </c>
      <c r="C666" s="7">
        <v>45215</v>
      </c>
      <c r="D666" s="3" t="s">
        <v>71</v>
      </c>
      <c r="E666" s="3"/>
      <c r="F666" s="3"/>
    </row>
    <row r="667" spans="1:6" hidden="1" x14ac:dyDescent="0.3">
      <c r="A667" s="7" t="str">
        <f>BD_ControlRegimen[[#This Row],[FECHA]]&amp;BD_ControlRegimen[[#This Row],[NOMBRE]]</f>
        <v>45216ALVARADO CASTILLO AARON MARIO</v>
      </c>
      <c r="B667" s="83">
        <f>WEEKNUM(BD_ControlRegimen[[#This Row],[FECHA]],2)</f>
        <v>43</v>
      </c>
      <c r="C667" s="7">
        <v>45216</v>
      </c>
      <c r="D667" s="3" t="s">
        <v>71</v>
      </c>
      <c r="E667" s="3"/>
      <c r="F667" s="3"/>
    </row>
    <row r="668" spans="1:6" hidden="1" x14ac:dyDescent="0.3">
      <c r="A668" s="7" t="str">
        <f>BD_ControlRegimen[[#This Row],[FECHA]]&amp;BD_ControlRegimen[[#This Row],[NOMBRE]]</f>
        <v>45217ALVARADO CASTILLO AARON MARIO</v>
      </c>
      <c r="B668" s="83">
        <f>WEEKNUM(BD_ControlRegimen[[#This Row],[FECHA]],2)</f>
        <v>43</v>
      </c>
      <c r="C668" s="7">
        <v>45217</v>
      </c>
      <c r="D668" s="3" t="s">
        <v>71</v>
      </c>
      <c r="E668" s="3"/>
      <c r="F668" s="3"/>
    </row>
    <row r="669" spans="1:6" hidden="1" x14ac:dyDescent="0.3">
      <c r="A669" s="7" t="str">
        <f>BD_ControlRegimen[[#This Row],[FECHA]]&amp;BD_ControlRegimen[[#This Row],[NOMBRE]]</f>
        <v>45218ALVARADO CASTILLO AARON MARIO</v>
      </c>
      <c r="B669" s="83">
        <f>WEEKNUM(BD_ControlRegimen[[#This Row],[FECHA]],2)</f>
        <v>43</v>
      </c>
      <c r="C669" s="7">
        <v>45218</v>
      </c>
      <c r="D669" s="3" t="s">
        <v>71</v>
      </c>
      <c r="E669" s="3"/>
      <c r="F669" s="3"/>
    </row>
    <row r="670" spans="1:6" hidden="1" x14ac:dyDescent="0.3">
      <c r="A670" s="7" t="str">
        <f>BD_ControlRegimen[[#This Row],[FECHA]]&amp;BD_ControlRegimen[[#This Row],[NOMBRE]]</f>
        <v>45219ALVARADO CASTILLO AARON MARIO</v>
      </c>
      <c r="B670" s="83">
        <f>WEEKNUM(BD_ControlRegimen[[#This Row],[FECHA]],2)</f>
        <v>43</v>
      </c>
      <c r="C670" s="7">
        <v>45219</v>
      </c>
      <c r="D670" s="3" t="s">
        <v>71</v>
      </c>
      <c r="E670" s="3"/>
      <c r="F670" s="3"/>
    </row>
    <row r="671" spans="1:6" hidden="1" x14ac:dyDescent="0.3">
      <c r="A671" s="7" t="str">
        <f>BD_ControlRegimen[[#This Row],[FECHA]]&amp;BD_ControlRegimen[[#This Row],[NOMBRE]]</f>
        <v>45220ALVARADO CASTILLO AARON MARIO</v>
      </c>
      <c r="B671" s="83">
        <f>WEEKNUM(BD_ControlRegimen[[#This Row],[FECHA]],2)</f>
        <v>43</v>
      </c>
      <c r="C671" s="7">
        <v>45220</v>
      </c>
      <c r="D671" s="3" t="s">
        <v>71</v>
      </c>
      <c r="E671" s="3"/>
      <c r="F671" s="3"/>
    </row>
    <row r="672" spans="1:6" hidden="1" x14ac:dyDescent="0.3">
      <c r="A672" s="7" t="str">
        <f>BD_ControlRegimen[[#This Row],[FECHA]]&amp;BD_ControlRegimen[[#This Row],[NOMBRE]]</f>
        <v>45221ALVARADO CASTILLO AARON MARIO</v>
      </c>
      <c r="B672" s="83">
        <f>WEEKNUM(BD_ControlRegimen[[#This Row],[FECHA]],2)</f>
        <v>43</v>
      </c>
      <c r="C672" s="7">
        <v>45221</v>
      </c>
      <c r="D672" s="3" t="s">
        <v>71</v>
      </c>
      <c r="E672" s="3"/>
      <c r="F672" s="3"/>
    </row>
    <row r="673" spans="1:6" hidden="1" x14ac:dyDescent="0.3">
      <c r="A673" s="7" t="str">
        <f>BD_ControlRegimen[[#This Row],[FECHA]]&amp;BD_ControlRegimen[[#This Row],[NOMBRE]]</f>
        <v>45222ALVARADO CASTILLO AARON MARIO</v>
      </c>
      <c r="B673" s="83">
        <f>WEEKNUM(BD_ControlRegimen[[#This Row],[FECHA]],2)</f>
        <v>44</v>
      </c>
      <c r="C673" s="7">
        <v>45222</v>
      </c>
      <c r="D673" s="3" t="s">
        <v>71</v>
      </c>
      <c r="E673" s="3"/>
      <c r="F673" s="3"/>
    </row>
    <row r="674" spans="1:6" hidden="1" x14ac:dyDescent="0.3">
      <c r="A674" s="7" t="str">
        <f>BD_ControlRegimen[[#This Row],[FECHA]]&amp;BD_ControlRegimen[[#This Row],[NOMBRE]]</f>
        <v>45223ALVARADO CASTILLO AARON MARIO</v>
      </c>
      <c r="B674" s="83">
        <f>WEEKNUM(BD_ControlRegimen[[#This Row],[FECHA]],2)</f>
        <v>44</v>
      </c>
      <c r="C674" s="7">
        <v>45223</v>
      </c>
      <c r="D674" s="3" t="s">
        <v>71</v>
      </c>
      <c r="E674" s="3"/>
      <c r="F674" s="3"/>
    </row>
    <row r="675" spans="1:6" hidden="1" x14ac:dyDescent="0.3">
      <c r="A675" s="7" t="str">
        <f>BD_ControlRegimen[[#This Row],[FECHA]]&amp;BD_ControlRegimen[[#This Row],[NOMBRE]]</f>
        <v>45224ALVARADO CASTILLO AARON MARIO</v>
      </c>
      <c r="B675" s="83">
        <f>WEEKNUM(BD_ControlRegimen[[#This Row],[FECHA]],2)</f>
        <v>44</v>
      </c>
      <c r="C675" s="7">
        <v>45224</v>
      </c>
      <c r="D675" s="3" t="s">
        <v>71</v>
      </c>
      <c r="E675" s="3"/>
      <c r="F675" s="3"/>
    </row>
    <row r="676" spans="1:6" hidden="1" x14ac:dyDescent="0.3">
      <c r="A676" s="7" t="str">
        <f>BD_ControlRegimen[[#This Row],[FECHA]]&amp;BD_ControlRegimen[[#This Row],[NOMBRE]]</f>
        <v>45225ALVARADO CASTILLO AARON MARIO</v>
      </c>
      <c r="B676" s="83">
        <f>WEEKNUM(BD_ControlRegimen[[#This Row],[FECHA]],2)</f>
        <v>44</v>
      </c>
      <c r="C676" s="7">
        <v>45225</v>
      </c>
      <c r="D676" s="3" t="s">
        <v>71</v>
      </c>
      <c r="E676" s="3"/>
      <c r="F676" s="3"/>
    </row>
    <row r="677" spans="1:6" hidden="1" x14ac:dyDescent="0.3">
      <c r="A677" s="7" t="str">
        <f>BD_ControlRegimen[[#This Row],[FECHA]]&amp;BD_ControlRegimen[[#This Row],[NOMBRE]]</f>
        <v>45226ALVARADO CASTILLO AARON MARIO</v>
      </c>
      <c r="B677" s="83">
        <f>WEEKNUM(BD_ControlRegimen[[#This Row],[FECHA]],2)</f>
        <v>44</v>
      </c>
      <c r="C677" s="7">
        <v>45226</v>
      </c>
      <c r="D677" s="3" t="s">
        <v>71</v>
      </c>
      <c r="E677" s="3"/>
      <c r="F677" s="3"/>
    </row>
    <row r="678" spans="1:6" hidden="1" x14ac:dyDescent="0.3">
      <c r="A678" s="7" t="str">
        <f>BD_ControlRegimen[[#This Row],[FECHA]]&amp;BD_ControlRegimen[[#This Row],[NOMBRE]]</f>
        <v>45227ALVARADO CASTILLO AARON MARIO</v>
      </c>
      <c r="B678" s="83">
        <f>WEEKNUM(BD_ControlRegimen[[#This Row],[FECHA]],2)</f>
        <v>44</v>
      </c>
      <c r="C678" s="7">
        <v>45227</v>
      </c>
      <c r="D678" s="3" t="s">
        <v>71</v>
      </c>
      <c r="E678" s="3"/>
      <c r="F678" s="3"/>
    </row>
    <row r="679" spans="1:6" hidden="1" x14ac:dyDescent="0.3">
      <c r="A679" s="7" t="str">
        <f>BD_ControlRegimen[[#This Row],[FECHA]]&amp;BD_ControlRegimen[[#This Row],[NOMBRE]]</f>
        <v>45228ALVARADO CASTILLO AARON MARIO</v>
      </c>
      <c r="B679" s="83">
        <f>WEEKNUM(BD_ControlRegimen[[#This Row],[FECHA]],2)</f>
        <v>44</v>
      </c>
      <c r="C679" s="7">
        <v>45228</v>
      </c>
      <c r="D679" s="3" t="s">
        <v>71</v>
      </c>
      <c r="E679" s="3"/>
      <c r="F679" s="3"/>
    </row>
    <row r="680" spans="1:6" hidden="1" x14ac:dyDescent="0.3">
      <c r="A680" s="7" t="str">
        <f>BD_ControlRegimen[[#This Row],[FECHA]]&amp;BD_ControlRegimen[[#This Row],[NOMBRE]]</f>
        <v>45229ALVARADO CASTILLO AARON MARIO</v>
      </c>
      <c r="B680" s="83">
        <f>WEEKNUM(BD_ControlRegimen[[#This Row],[FECHA]],2)</f>
        <v>45</v>
      </c>
      <c r="C680" s="7">
        <v>45229</v>
      </c>
      <c r="D680" s="3" t="s">
        <v>71</v>
      </c>
      <c r="E680" s="3"/>
      <c r="F680" s="3"/>
    </row>
    <row r="681" spans="1:6" hidden="1" x14ac:dyDescent="0.3">
      <c r="A681" s="7" t="str">
        <f>BD_ControlRegimen[[#This Row],[FECHA]]&amp;BD_ControlRegimen[[#This Row],[NOMBRE]]</f>
        <v>45230ALVARADO CASTILLO AARON MARIO</v>
      </c>
      <c r="B681" s="83">
        <f>WEEKNUM(BD_ControlRegimen[[#This Row],[FECHA]],2)</f>
        <v>45</v>
      </c>
      <c r="C681" s="7">
        <v>45230</v>
      </c>
      <c r="D681" s="3" t="s">
        <v>71</v>
      </c>
      <c r="E681" s="3"/>
      <c r="F681" s="3"/>
    </row>
    <row r="682" spans="1:6" hidden="1" x14ac:dyDescent="0.3">
      <c r="A682" s="7" t="str">
        <f>BD_ControlRegimen[[#This Row],[FECHA]]&amp;BD_ControlRegimen[[#This Row],[NOMBRE]]</f>
        <v>45231ALVARADO CASTILLO AARON MARIO</v>
      </c>
      <c r="B682" s="83">
        <f>WEEKNUM(BD_ControlRegimen[[#This Row],[FECHA]],2)</f>
        <v>45</v>
      </c>
      <c r="C682" s="7">
        <v>45231</v>
      </c>
      <c r="D682" s="3" t="s">
        <v>71</v>
      </c>
      <c r="E682" s="3"/>
      <c r="F682" s="3"/>
    </row>
    <row r="683" spans="1:6" hidden="1" x14ac:dyDescent="0.3">
      <c r="A683" s="7" t="str">
        <f>BD_ControlRegimen[[#This Row],[FECHA]]&amp;BD_ControlRegimen[[#This Row],[NOMBRE]]</f>
        <v>45232ALVARADO CASTILLO AARON MARIO</v>
      </c>
      <c r="B683" s="83">
        <f>WEEKNUM(BD_ControlRegimen[[#This Row],[FECHA]],2)</f>
        <v>45</v>
      </c>
      <c r="C683" s="7">
        <v>45232</v>
      </c>
      <c r="D683" s="3" t="s">
        <v>71</v>
      </c>
      <c r="E683" s="3"/>
      <c r="F683" s="3"/>
    </row>
    <row r="684" spans="1:6" hidden="1" x14ac:dyDescent="0.3">
      <c r="A684" s="7" t="str">
        <f>BD_ControlRegimen[[#This Row],[FECHA]]&amp;BD_ControlRegimen[[#This Row],[NOMBRE]]</f>
        <v>45233ALVARADO CASTILLO AARON MARIO</v>
      </c>
      <c r="B684" s="83">
        <f>WEEKNUM(BD_ControlRegimen[[#This Row],[FECHA]],2)</f>
        <v>45</v>
      </c>
      <c r="C684" s="7">
        <v>45233</v>
      </c>
      <c r="D684" s="3" t="s">
        <v>71</v>
      </c>
      <c r="E684" s="3"/>
      <c r="F684" s="3"/>
    </row>
    <row r="685" spans="1:6" hidden="1" x14ac:dyDescent="0.3">
      <c r="A685" s="7" t="str">
        <f>BD_ControlRegimen[[#This Row],[FECHA]]&amp;BD_ControlRegimen[[#This Row],[NOMBRE]]</f>
        <v>45234ALVARADO CASTILLO AARON MARIO</v>
      </c>
      <c r="B685" s="83">
        <f>WEEKNUM(BD_ControlRegimen[[#This Row],[FECHA]],2)</f>
        <v>45</v>
      </c>
      <c r="C685" s="7">
        <v>45234</v>
      </c>
      <c r="D685" s="3" t="s">
        <v>71</v>
      </c>
      <c r="E685" s="3"/>
      <c r="F685" s="3"/>
    </row>
    <row r="686" spans="1:6" hidden="1" x14ac:dyDescent="0.3">
      <c r="A686" s="7" t="str">
        <f>BD_ControlRegimen[[#This Row],[FECHA]]&amp;BD_ControlRegimen[[#This Row],[NOMBRE]]</f>
        <v>45235ALVARADO CASTILLO AARON MARIO</v>
      </c>
      <c r="B686" s="83">
        <f>WEEKNUM(BD_ControlRegimen[[#This Row],[FECHA]],2)</f>
        <v>45</v>
      </c>
      <c r="C686" s="7">
        <v>45235</v>
      </c>
      <c r="D686" s="3" t="s">
        <v>71</v>
      </c>
      <c r="E686" s="3"/>
      <c r="F686" s="3"/>
    </row>
    <row r="687" spans="1:6" hidden="1" x14ac:dyDescent="0.3">
      <c r="A687" s="7" t="str">
        <f>BD_ControlRegimen[[#This Row],[FECHA]]&amp;BD_ControlRegimen[[#This Row],[NOMBRE]]</f>
        <v>45236ALVARADO CASTILLO AARON MARIO</v>
      </c>
      <c r="B687" s="83">
        <f>WEEKNUM(BD_ControlRegimen[[#This Row],[FECHA]],2)</f>
        <v>46</v>
      </c>
      <c r="C687" s="7">
        <v>45236</v>
      </c>
      <c r="D687" s="3" t="s">
        <v>71</v>
      </c>
      <c r="E687" s="3"/>
      <c r="F687" s="3"/>
    </row>
    <row r="688" spans="1:6" hidden="1" x14ac:dyDescent="0.3">
      <c r="A688" s="7" t="str">
        <f>BD_ControlRegimen[[#This Row],[FECHA]]&amp;BD_ControlRegimen[[#This Row],[NOMBRE]]</f>
        <v>45237ALVARADO CASTILLO AARON MARIO</v>
      </c>
      <c r="B688" s="83">
        <f>WEEKNUM(BD_ControlRegimen[[#This Row],[FECHA]],2)</f>
        <v>46</v>
      </c>
      <c r="C688" s="7">
        <v>45237</v>
      </c>
      <c r="D688" s="3" t="s">
        <v>71</v>
      </c>
      <c r="E688" s="3"/>
      <c r="F688" s="3"/>
    </row>
    <row r="689" spans="1:6" hidden="1" x14ac:dyDescent="0.3">
      <c r="A689" s="7" t="str">
        <f>BD_ControlRegimen[[#This Row],[FECHA]]&amp;BD_ControlRegimen[[#This Row],[NOMBRE]]</f>
        <v>45238ALVARADO CASTILLO AARON MARIO</v>
      </c>
      <c r="B689" s="83">
        <f>WEEKNUM(BD_ControlRegimen[[#This Row],[FECHA]],2)</f>
        <v>46</v>
      </c>
      <c r="C689" s="7">
        <v>45238</v>
      </c>
      <c r="D689" s="3" t="s">
        <v>71</v>
      </c>
      <c r="E689" s="3"/>
      <c r="F689" s="3"/>
    </row>
    <row r="690" spans="1:6" hidden="1" x14ac:dyDescent="0.3">
      <c r="A690" s="7" t="str">
        <f>BD_ControlRegimen[[#This Row],[FECHA]]&amp;BD_ControlRegimen[[#This Row],[NOMBRE]]</f>
        <v>45239ALVARADO CASTILLO AARON MARIO</v>
      </c>
      <c r="B690" s="83">
        <f>WEEKNUM(BD_ControlRegimen[[#This Row],[FECHA]],2)</f>
        <v>46</v>
      </c>
      <c r="C690" s="7">
        <v>45239</v>
      </c>
      <c r="D690" s="3" t="s">
        <v>71</v>
      </c>
      <c r="E690" s="3"/>
      <c r="F690" s="3"/>
    </row>
    <row r="691" spans="1:6" hidden="1" x14ac:dyDescent="0.3">
      <c r="A691" s="7" t="str">
        <f>BD_ControlRegimen[[#This Row],[FECHA]]&amp;BD_ControlRegimen[[#This Row],[NOMBRE]]</f>
        <v>45240ALVARADO CASTILLO AARON MARIO</v>
      </c>
      <c r="B691" s="83">
        <f>WEEKNUM(BD_ControlRegimen[[#This Row],[FECHA]],2)</f>
        <v>46</v>
      </c>
      <c r="C691" s="7">
        <v>45240</v>
      </c>
      <c r="D691" s="3" t="s">
        <v>71</v>
      </c>
      <c r="E691" s="3"/>
      <c r="F691" s="3"/>
    </row>
    <row r="692" spans="1:6" hidden="1" x14ac:dyDescent="0.3">
      <c r="A692" s="7" t="str">
        <f>BD_ControlRegimen[[#This Row],[FECHA]]&amp;BD_ControlRegimen[[#This Row],[NOMBRE]]</f>
        <v>45241ALVARADO CASTILLO AARON MARIO</v>
      </c>
      <c r="B692" s="83">
        <f>WEEKNUM(BD_ControlRegimen[[#This Row],[FECHA]],2)</f>
        <v>46</v>
      </c>
      <c r="C692" s="7">
        <v>45241</v>
      </c>
      <c r="D692" s="3" t="s">
        <v>71</v>
      </c>
      <c r="E692" s="3"/>
      <c r="F692" s="3"/>
    </row>
    <row r="693" spans="1:6" hidden="1" x14ac:dyDescent="0.3">
      <c r="A693" s="7" t="str">
        <f>BD_ControlRegimen[[#This Row],[FECHA]]&amp;BD_ControlRegimen[[#This Row],[NOMBRE]]</f>
        <v>45242ALVARADO CASTILLO AARON MARIO</v>
      </c>
      <c r="B693" s="83">
        <f>WEEKNUM(BD_ControlRegimen[[#This Row],[FECHA]],2)</f>
        <v>46</v>
      </c>
      <c r="C693" s="7">
        <v>45242</v>
      </c>
      <c r="D693" s="3" t="s">
        <v>71</v>
      </c>
      <c r="E693" s="3"/>
      <c r="F693" s="3"/>
    </row>
    <row r="694" spans="1:6" hidden="1" x14ac:dyDescent="0.3">
      <c r="A694" s="7" t="str">
        <f>BD_ControlRegimen[[#This Row],[FECHA]]&amp;BD_ControlRegimen[[#This Row],[NOMBRE]]</f>
        <v>45243ALVARADO CASTILLO AARON MARIO</v>
      </c>
      <c r="B694" s="83">
        <f>WEEKNUM(BD_ControlRegimen[[#This Row],[FECHA]],2)</f>
        <v>47</v>
      </c>
      <c r="C694" s="7">
        <v>45243</v>
      </c>
      <c r="D694" s="3" t="s">
        <v>71</v>
      </c>
      <c r="E694" s="3"/>
      <c r="F694" s="3"/>
    </row>
    <row r="695" spans="1:6" hidden="1" x14ac:dyDescent="0.3">
      <c r="A695" s="7" t="str">
        <f>BD_ControlRegimen[[#This Row],[FECHA]]&amp;BD_ControlRegimen[[#This Row],[NOMBRE]]</f>
        <v>45244ALVARADO CASTILLO AARON MARIO</v>
      </c>
      <c r="B695" s="83">
        <f>WEEKNUM(BD_ControlRegimen[[#This Row],[FECHA]],2)</f>
        <v>47</v>
      </c>
      <c r="C695" s="7">
        <v>45244</v>
      </c>
      <c r="D695" s="3" t="s">
        <v>71</v>
      </c>
      <c r="E695" s="3"/>
      <c r="F695" s="3"/>
    </row>
    <row r="696" spans="1:6" hidden="1" x14ac:dyDescent="0.3">
      <c r="A696" s="7" t="str">
        <f>BD_ControlRegimen[[#This Row],[FECHA]]&amp;BD_ControlRegimen[[#This Row],[NOMBRE]]</f>
        <v>45245ALVARADO CASTILLO AARON MARIO</v>
      </c>
      <c r="B696" s="83">
        <f>WEEKNUM(BD_ControlRegimen[[#This Row],[FECHA]],2)</f>
        <v>47</v>
      </c>
      <c r="C696" s="7">
        <v>45245</v>
      </c>
      <c r="D696" s="3" t="s">
        <v>71</v>
      </c>
      <c r="E696" s="3"/>
      <c r="F696" s="3"/>
    </row>
    <row r="697" spans="1:6" hidden="1" x14ac:dyDescent="0.3">
      <c r="A697" s="7" t="str">
        <f>BD_ControlRegimen[[#This Row],[FECHA]]&amp;BD_ControlRegimen[[#This Row],[NOMBRE]]</f>
        <v>45246ALVARADO CASTILLO AARON MARIO</v>
      </c>
      <c r="B697" s="83">
        <f>WEEKNUM(BD_ControlRegimen[[#This Row],[FECHA]],2)</f>
        <v>47</v>
      </c>
      <c r="C697" s="7">
        <v>45246</v>
      </c>
      <c r="D697" s="3" t="s">
        <v>71</v>
      </c>
      <c r="E697" s="3"/>
      <c r="F697" s="3"/>
    </row>
    <row r="698" spans="1:6" hidden="1" x14ac:dyDescent="0.3">
      <c r="A698" s="7" t="str">
        <f>BD_ControlRegimen[[#This Row],[FECHA]]&amp;BD_ControlRegimen[[#This Row],[NOMBRE]]</f>
        <v>45247ALVARADO CASTILLO AARON MARIO</v>
      </c>
      <c r="B698" s="83">
        <f>WEEKNUM(BD_ControlRegimen[[#This Row],[FECHA]],2)</f>
        <v>47</v>
      </c>
      <c r="C698" s="7">
        <v>45247</v>
      </c>
      <c r="D698" s="3" t="s">
        <v>71</v>
      </c>
      <c r="E698" s="3"/>
      <c r="F698" s="3"/>
    </row>
    <row r="699" spans="1:6" hidden="1" x14ac:dyDescent="0.3">
      <c r="A699" s="7" t="str">
        <f>BD_ControlRegimen[[#This Row],[FECHA]]&amp;BD_ControlRegimen[[#This Row],[NOMBRE]]</f>
        <v>45248ALVARADO CASTILLO AARON MARIO</v>
      </c>
      <c r="B699" s="83">
        <f>WEEKNUM(BD_ControlRegimen[[#This Row],[FECHA]],2)</f>
        <v>47</v>
      </c>
      <c r="C699" s="7">
        <v>45248</v>
      </c>
      <c r="D699" s="3" t="s">
        <v>71</v>
      </c>
      <c r="E699" s="3"/>
      <c r="F699" s="3"/>
    </row>
    <row r="700" spans="1:6" hidden="1" x14ac:dyDescent="0.3">
      <c r="A700" s="7" t="str">
        <f>BD_ControlRegimen[[#This Row],[FECHA]]&amp;BD_ControlRegimen[[#This Row],[NOMBRE]]</f>
        <v>45249ALVARADO CASTILLO AARON MARIO</v>
      </c>
      <c r="B700" s="83">
        <f>WEEKNUM(BD_ControlRegimen[[#This Row],[FECHA]],2)</f>
        <v>47</v>
      </c>
      <c r="C700" s="7">
        <v>45249</v>
      </c>
      <c r="D700" s="3" t="s">
        <v>71</v>
      </c>
      <c r="E700" s="3"/>
      <c r="F700" s="3"/>
    </row>
    <row r="701" spans="1:6" hidden="1" x14ac:dyDescent="0.3">
      <c r="A701" s="7" t="str">
        <f>BD_ControlRegimen[[#This Row],[FECHA]]&amp;BD_ControlRegimen[[#This Row],[NOMBRE]]</f>
        <v>45250ALVARADO CASTILLO AARON MARIO</v>
      </c>
      <c r="B701" s="83">
        <f>WEEKNUM(BD_ControlRegimen[[#This Row],[FECHA]],2)</f>
        <v>48</v>
      </c>
      <c r="C701" s="7">
        <v>45250</v>
      </c>
      <c r="D701" s="3" t="s">
        <v>71</v>
      </c>
      <c r="E701" s="3"/>
      <c r="F701" s="3"/>
    </row>
    <row r="702" spans="1:6" hidden="1" x14ac:dyDescent="0.3">
      <c r="A702" s="7" t="str">
        <f>BD_ControlRegimen[[#This Row],[FECHA]]&amp;BD_ControlRegimen[[#This Row],[NOMBRE]]</f>
        <v>45251ALVARADO CASTILLO AARON MARIO</v>
      </c>
      <c r="B702" s="83">
        <f>WEEKNUM(BD_ControlRegimen[[#This Row],[FECHA]],2)</f>
        <v>48</v>
      </c>
      <c r="C702" s="7">
        <v>45251</v>
      </c>
      <c r="D702" s="3" t="s">
        <v>71</v>
      </c>
      <c r="E702" s="3"/>
      <c r="F702" s="3"/>
    </row>
    <row r="703" spans="1:6" hidden="1" x14ac:dyDescent="0.3">
      <c r="A703" s="7" t="str">
        <f>BD_ControlRegimen[[#This Row],[FECHA]]&amp;BD_ControlRegimen[[#This Row],[NOMBRE]]</f>
        <v>45252ALVARADO CASTILLO AARON MARIO</v>
      </c>
      <c r="B703" s="83">
        <f>WEEKNUM(BD_ControlRegimen[[#This Row],[FECHA]],2)</f>
        <v>48</v>
      </c>
      <c r="C703" s="7">
        <v>45252</v>
      </c>
      <c r="D703" s="3" t="s">
        <v>71</v>
      </c>
      <c r="E703" s="3"/>
      <c r="F703" s="3"/>
    </row>
    <row r="704" spans="1:6" hidden="1" x14ac:dyDescent="0.3">
      <c r="A704" s="7" t="str">
        <f>BD_ControlRegimen[[#This Row],[FECHA]]&amp;BD_ControlRegimen[[#This Row],[NOMBRE]]</f>
        <v>45253ALVARADO CASTILLO AARON MARIO</v>
      </c>
      <c r="B704" s="83">
        <f>WEEKNUM(BD_ControlRegimen[[#This Row],[FECHA]],2)</f>
        <v>48</v>
      </c>
      <c r="C704" s="7">
        <v>45253</v>
      </c>
      <c r="D704" s="3" t="s">
        <v>71</v>
      </c>
      <c r="E704" s="3"/>
      <c r="F704" s="3"/>
    </row>
    <row r="705" spans="1:6" hidden="1" x14ac:dyDescent="0.3">
      <c r="A705" s="7" t="str">
        <f>BD_ControlRegimen[[#This Row],[FECHA]]&amp;BD_ControlRegimen[[#This Row],[NOMBRE]]</f>
        <v>45254ALVARADO CASTILLO AARON MARIO</v>
      </c>
      <c r="B705" s="83">
        <f>WEEKNUM(BD_ControlRegimen[[#This Row],[FECHA]],2)</f>
        <v>48</v>
      </c>
      <c r="C705" s="7">
        <v>45254</v>
      </c>
      <c r="D705" s="3" t="s">
        <v>71</v>
      </c>
      <c r="E705" s="3"/>
      <c r="F705" s="3"/>
    </row>
    <row r="706" spans="1:6" hidden="1" x14ac:dyDescent="0.3">
      <c r="A706" s="7" t="str">
        <f>BD_ControlRegimen[[#This Row],[FECHA]]&amp;BD_ControlRegimen[[#This Row],[NOMBRE]]</f>
        <v>45255ALVARADO CASTILLO AARON MARIO</v>
      </c>
      <c r="B706" s="83">
        <f>WEEKNUM(BD_ControlRegimen[[#This Row],[FECHA]],2)</f>
        <v>48</v>
      </c>
      <c r="C706" s="7">
        <v>45255</v>
      </c>
      <c r="D706" s="3" t="s">
        <v>71</v>
      </c>
      <c r="E706" s="3"/>
      <c r="F706" s="3"/>
    </row>
    <row r="707" spans="1:6" hidden="1" x14ac:dyDescent="0.3">
      <c r="A707" s="7" t="str">
        <f>BD_ControlRegimen[[#This Row],[FECHA]]&amp;BD_ControlRegimen[[#This Row],[NOMBRE]]</f>
        <v>45256ALVARADO CASTILLO AARON MARIO</v>
      </c>
      <c r="B707" s="83">
        <f>WEEKNUM(BD_ControlRegimen[[#This Row],[FECHA]],2)</f>
        <v>48</v>
      </c>
      <c r="C707" s="7">
        <v>45256</v>
      </c>
      <c r="D707" s="3" t="s">
        <v>71</v>
      </c>
      <c r="E707" s="3"/>
      <c r="F707" s="3"/>
    </row>
    <row r="708" spans="1:6" hidden="1" x14ac:dyDescent="0.3">
      <c r="A708" s="7" t="str">
        <f>BD_ControlRegimen[[#This Row],[FECHA]]&amp;BD_ControlRegimen[[#This Row],[NOMBRE]]</f>
        <v>45257ALVARADO CASTILLO AARON MARIO</v>
      </c>
      <c r="B708" s="83">
        <f>WEEKNUM(BD_ControlRegimen[[#This Row],[FECHA]],2)</f>
        <v>49</v>
      </c>
      <c r="C708" s="7">
        <v>45257</v>
      </c>
      <c r="D708" s="3" t="s">
        <v>71</v>
      </c>
      <c r="E708" s="3"/>
      <c r="F708" s="3"/>
    </row>
    <row r="709" spans="1:6" hidden="1" x14ac:dyDescent="0.3">
      <c r="A709" s="7" t="str">
        <f>BD_ControlRegimen[[#This Row],[FECHA]]&amp;BD_ControlRegimen[[#This Row],[NOMBRE]]</f>
        <v>45258ALVARADO CASTILLO AARON MARIO</v>
      </c>
      <c r="B709" s="83">
        <f>WEEKNUM(BD_ControlRegimen[[#This Row],[FECHA]],2)</f>
        <v>49</v>
      </c>
      <c r="C709" s="7">
        <v>45258</v>
      </c>
      <c r="D709" s="3" t="s">
        <v>71</v>
      </c>
      <c r="E709" s="3"/>
      <c r="F709" s="3"/>
    </row>
    <row r="710" spans="1:6" hidden="1" x14ac:dyDescent="0.3">
      <c r="A710" s="7" t="str">
        <f>BD_ControlRegimen[[#This Row],[FECHA]]&amp;BD_ControlRegimen[[#This Row],[NOMBRE]]</f>
        <v>45259ALVARADO CASTILLO AARON MARIO</v>
      </c>
      <c r="B710" s="83">
        <f>WEEKNUM(BD_ControlRegimen[[#This Row],[FECHA]],2)</f>
        <v>49</v>
      </c>
      <c r="C710" s="7">
        <v>45259</v>
      </c>
      <c r="D710" s="3" t="s">
        <v>71</v>
      </c>
      <c r="E710" s="3"/>
      <c r="F710" s="3"/>
    </row>
    <row r="711" spans="1:6" hidden="1" x14ac:dyDescent="0.3">
      <c r="A711" s="7" t="str">
        <f>BD_ControlRegimen[[#This Row],[FECHA]]&amp;BD_ControlRegimen[[#This Row],[NOMBRE]]</f>
        <v>45260ALVARADO CASTILLO AARON MARIO</v>
      </c>
      <c r="B711" s="83">
        <f>WEEKNUM(BD_ControlRegimen[[#This Row],[FECHA]],2)</f>
        <v>49</v>
      </c>
      <c r="C711" s="7">
        <v>45260</v>
      </c>
      <c r="D711" s="3" t="s">
        <v>71</v>
      </c>
      <c r="E711" s="3"/>
      <c r="F711" s="3"/>
    </row>
    <row r="712" spans="1:6" hidden="1" x14ac:dyDescent="0.3">
      <c r="A712" s="7" t="str">
        <f>BD_ControlRegimen[[#This Row],[FECHA]]&amp;BD_ControlRegimen[[#This Row],[NOMBRE]]</f>
        <v>45261ALVARADO CASTILLO AARON MARIO</v>
      </c>
      <c r="B712" s="83">
        <f>WEEKNUM(BD_ControlRegimen[[#This Row],[FECHA]],2)</f>
        <v>49</v>
      </c>
      <c r="C712" s="7">
        <v>45261</v>
      </c>
      <c r="D712" s="3" t="s">
        <v>71</v>
      </c>
      <c r="E712" s="3"/>
      <c r="F712" s="3"/>
    </row>
    <row r="713" spans="1:6" hidden="1" x14ac:dyDescent="0.3">
      <c r="A713" s="7" t="str">
        <f>BD_ControlRegimen[[#This Row],[FECHA]]&amp;BD_ControlRegimen[[#This Row],[NOMBRE]]</f>
        <v>45262ALVARADO CASTILLO AARON MARIO</v>
      </c>
      <c r="B713" s="83">
        <f>WEEKNUM(BD_ControlRegimen[[#This Row],[FECHA]],2)</f>
        <v>49</v>
      </c>
      <c r="C713" s="7">
        <v>45262</v>
      </c>
      <c r="D713" s="3" t="s">
        <v>71</v>
      </c>
      <c r="E713" s="3"/>
      <c r="F713" s="3"/>
    </row>
    <row r="714" spans="1:6" hidden="1" x14ac:dyDescent="0.3">
      <c r="A714" s="7" t="str">
        <f>BD_ControlRegimen[[#This Row],[FECHA]]&amp;BD_ControlRegimen[[#This Row],[NOMBRE]]</f>
        <v>45263ALVARADO CASTILLO AARON MARIO</v>
      </c>
      <c r="B714" s="83">
        <f>WEEKNUM(BD_ControlRegimen[[#This Row],[FECHA]],2)</f>
        <v>49</v>
      </c>
      <c r="C714" s="7">
        <v>45263</v>
      </c>
      <c r="D714" s="3" t="s">
        <v>71</v>
      </c>
      <c r="E714" s="3"/>
      <c r="F714" s="3"/>
    </row>
    <row r="715" spans="1:6" hidden="1" x14ac:dyDescent="0.3">
      <c r="A715" s="7" t="str">
        <f>BD_ControlRegimen[[#This Row],[FECHA]]&amp;BD_ControlRegimen[[#This Row],[NOMBRE]]</f>
        <v>45264ALVARADO CASTILLO AARON MARIO</v>
      </c>
      <c r="B715" s="83">
        <f>WEEKNUM(BD_ControlRegimen[[#This Row],[FECHA]],2)</f>
        <v>50</v>
      </c>
      <c r="C715" s="7">
        <v>45264</v>
      </c>
      <c r="D715" s="3" t="s">
        <v>71</v>
      </c>
      <c r="E715" s="3"/>
      <c r="F715" s="3"/>
    </row>
    <row r="716" spans="1:6" hidden="1" x14ac:dyDescent="0.3">
      <c r="A716" s="7" t="str">
        <f>BD_ControlRegimen[[#This Row],[FECHA]]&amp;BD_ControlRegimen[[#This Row],[NOMBRE]]</f>
        <v>45265ALVARADO CASTILLO AARON MARIO</v>
      </c>
      <c r="B716" s="83">
        <f>WEEKNUM(BD_ControlRegimen[[#This Row],[FECHA]],2)</f>
        <v>50</v>
      </c>
      <c r="C716" s="7">
        <v>45265</v>
      </c>
      <c r="D716" s="3" t="s">
        <v>71</v>
      </c>
      <c r="E716" s="3"/>
      <c r="F716" s="3"/>
    </row>
    <row r="717" spans="1:6" hidden="1" x14ac:dyDescent="0.3">
      <c r="A717" s="7" t="str">
        <f>BD_ControlRegimen[[#This Row],[FECHA]]&amp;BD_ControlRegimen[[#This Row],[NOMBRE]]</f>
        <v>45266ALVARADO CASTILLO AARON MARIO</v>
      </c>
      <c r="B717" s="83">
        <f>WEEKNUM(BD_ControlRegimen[[#This Row],[FECHA]],2)</f>
        <v>50</v>
      </c>
      <c r="C717" s="7">
        <v>45266</v>
      </c>
      <c r="D717" s="3" t="s">
        <v>71</v>
      </c>
      <c r="E717" s="3"/>
      <c r="F717" s="3"/>
    </row>
    <row r="718" spans="1:6" hidden="1" x14ac:dyDescent="0.3">
      <c r="A718" s="7" t="str">
        <f>BD_ControlRegimen[[#This Row],[FECHA]]&amp;BD_ControlRegimen[[#This Row],[NOMBRE]]</f>
        <v>45267ALVARADO CASTILLO AARON MARIO</v>
      </c>
      <c r="B718" s="83">
        <f>WEEKNUM(BD_ControlRegimen[[#This Row],[FECHA]],2)</f>
        <v>50</v>
      </c>
      <c r="C718" s="7">
        <v>45267</v>
      </c>
      <c r="D718" s="3" t="s">
        <v>71</v>
      </c>
      <c r="E718" s="3"/>
      <c r="F718" s="3"/>
    </row>
    <row r="719" spans="1:6" hidden="1" x14ac:dyDescent="0.3">
      <c r="A719" s="7" t="str">
        <f>BD_ControlRegimen[[#This Row],[FECHA]]&amp;BD_ControlRegimen[[#This Row],[NOMBRE]]</f>
        <v>45268ALVARADO CASTILLO AARON MARIO</v>
      </c>
      <c r="B719" s="83">
        <f>WEEKNUM(BD_ControlRegimen[[#This Row],[FECHA]],2)</f>
        <v>50</v>
      </c>
      <c r="C719" s="7">
        <v>45268</v>
      </c>
      <c r="D719" s="3" t="s">
        <v>71</v>
      </c>
      <c r="E719" s="3"/>
      <c r="F719" s="3"/>
    </row>
    <row r="720" spans="1:6" hidden="1" x14ac:dyDescent="0.3">
      <c r="A720" s="7" t="str">
        <f>BD_ControlRegimen[[#This Row],[FECHA]]&amp;BD_ControlRegimen[[#This Row],[NOMBRE]]</f>
        <v>45269ALVARADO CASTILLO AARON MARIO</v>
      </c>
      <c r="B720" s="83">
        <f>WEEKNUM(BD_ControlRegimen[[#This Row],[FECHA]],2)</f>
        <v>50</v>
      </c>
      <c r="C720" s="7">
        <v>45269</v>
      </c>
      <c r="D720" s="3" t="s">
        <v>71</v>
      </c>
      <c r="E720" s="3"/>
      <c r="F720" s="3"/>
    </row>
    <row r="721" spans="1:6" hidden="1" x14ac:dyDescent="0.3">
      <c r="A721" s="7" t="str">
        <f>BD_ControlRegimen[[#This Row],[FECHA]]&amp;BD_ControlRegimen[[#This Row],[NOMBRE]]</f>
        <v>45270ALVARADO CASTILLO AARON MARIO</v>
      </c>
      <c r="B721" s="83">
        <f>WEEKNUM(BD_ControlRegimen[[#This Row],[FECHA]],2)</f>
        <v>50</v>
      </c>
      <c r="C721" s="7">
        <v>45270</v>
      </c>
      <c r="D721" s="3" t="s">
        <v>71</v>
      </c>
      <c r="E721" s="3"/>
      <c r="F721" s="3"/>
    </row>
    <row r="722" spans="1:6" hidden="1" x14ac:dyDescent="0.3">
      <c r="A722" s="7" t="str">
        <f>BD_ControlRegimen[[#This Row],[FECHA]]&amp;BD_ControlRegimen[[#This Row],[NOMBRE]]</f>
        <v>45271ALVARADO CASTILLO AARON MARIO</v>
      </c>
      <c r="B722" s="83">
        <f>WEEKNUM(BD_ControlRegimen[[#This Row],[FECHA]],2)</f>
        <v>51</v>
      </c>
      <c r="C722" s="7">
        <v>45271</v>
      </c>
      <c r="D722" s="3" t="s">
        <v>71</v>
      </c>
      <c r="E722" s="3"/>
      <c r="F722" s="3"/>
    </row>
    <row r="723" spans="1:6" hidden="1" x14ac:dyDescent="0.3">
      <c r="A723" s="7" t="str">
        <f>BD_ControlRegimen[[#This Row],[FECHA]]&amp;BD_ControlRegimen[[#This Row],[NOMBRE]]</f>
        <v>45272ALVARADO CASTILLO AARON MARIO</v>
      </c>
      <c r="B723" s="83">
        <f>WEEKNUM(BD_ControlRegimen[[#This Row],[FECHA]],2)</f>
        <v>51</v>
      </c>
      <c r="C723" s="7">
        <v>45272</v>
      </c>
      <c r="D723" s="3" t="s">
        <v>71</v>
      </c>
      <c r="E723" s="3"/>
      <c r="F723" s="3"/>
    </row>
    <row r="724" spans="1:6" hidden="1" x14ac:dyDescent="0.3">
      <c r="A724" s="7" t="str">
        <f>BD_ControlRegimen[[#This Row],[FECHA]]&amp;BD_ControlRegimen[[#This Row],[NOMBRE]]</f>
        <v>45273ALVARADO CASTILLO AARON MARIO</v>
      </c>
      <c r="B724" s="83">
        <f>WEEKNUM(BD_ControlRegimen[[#This Row],[FECHA]],2)</f>
        <v>51</v>
      </c>
      <c r="C724" s="7">
        <v>45273</v>
      </c>
      <c r="D724" s="3" t="s">
        <v>71</v>
      </c>
      <c r="E724" s="3"/>
      <c r="F724" s="3"/>
    </row>
    <row r="725" spans="1:6" hidden="1" x14ac:dyDescent="0.3">
      <c r="A725" s="7" t="str">
        <f>BD_ControlRegimen[[#This Row],[FECHA]]&amp;BD_ControlRegimen[[#This Row],[NOMBRE]]</f>
        <v>45274ALVARADO CASTILLO AARON MARIO</v>
      </c>
      <c r="B725" s="83">
        <f>WEEKNUM(BD_ControlRegimen[[#This Row],[FECHA]],2)</f>
        <v>51</v>
      </c>
      <c r="C725" s="7">
        <v>45274</v>
      </c>
      <c r="D725" s="3" t="s">
        <v>71</v>
      </c>
      <c r="E725" s="3"/>
      <c r="F725" s="3"/>
    </row>
    <row r="726" spans="1:6" hidden="1" x14ac:dyDescent="0.3">
      <c r="A726" s="7" t="str">
        <f>BD_ControlRegimen[[#This Row],[FECHA]]&amp;BD_ControlRegimen[[#This Row],[NOMBRE]]</f>
        <v>45275ALVARADO CASTILLO AARON MARIO</v>
      </c>
      <c r="B726" s="83">
        <f>WEEKNUM(BD_ControlRegimen[[#This Row],[FECHA]],2)</f>
        <v>51</v>
      </c>
      <c r="C726" s="7">
        <v>45275</v>
      </c>
      <c r="D726" s="3" t="s">
        <v>71</v>
      </c>
      <c r="E726" s="3"/>
      <c r="F726" s="3"/>
    </row>
    <row r="727" spans="1:6" hidden="1" x14ac:dyDescent="0.3">
      <c r="A727" s="7" t="str">
        <f>BD_ControlRegimen[[#This Row],[FECHA]]&amp;BD_ControlRegimen[[#This Row],[NOMBRE]]</f>
        <v>45276ALVARADO CASTILLO AARON MARIO</v>
      </c>
      <c r="B727" s="83">
        <f>WEEKNUM(BD_ControlRegimen[[#This Row],[FECHA]],2)</f>
        <v>51</v>
      </c>
      <c r="C727" s="7">
        <v>45276</v>
      </c>
      <c r="D727" s="3" t="s">
        <v>71</v>
      </c>
      <c r="E727" s="3"/>
      <c r="F727" s="3"/>
    </row>
    <row r="728" spans="1:6" hidden="1" x14ac:dyDescent="0.3">
      <c r="A728" s="7" t="str">
        <f>BD_ControlRegimen[[#This Row],[FECHA]]&amp;BD_ControlRegimen[[#This Row],[NOMBRE]]</f>
        <v>45277ALVARADO CASTILLO AARON MARIO</v>
      </c>
      <c r="B728" s="83">
        <f>WEEKNUM(BD_ControlRegimen[[#This Row],[FECHA]],2)</f>
        <v>51</v>
      </c>
      <c r="C728" s="7">
        <v>45277</v>
      </c>
      <c r="D728" s="3" t="s">
        <v>71</v>
      </c>
      <c r="E728" s="3"/>
      <c r="F728" s="3"/>
    </row>
    <row r="729" spans="1:6" hidden="1" x14ac:dyDescent="0.3">
      <c r="A729" s="7" t="str">
        <f>BD_ControlRegimen[[#This Row],[FECHA]]&amp;BD_ControlRegimen[[#This Row],[NOMBRE]]</f>
        <v>45278ALVARADO CASTILLO AARON MARIO</v>
      </c>
      <c r="B729" s="83">
        <f>WEEKNUM(BD_ControlRegimen[[#This Row],[FECHA]],2)</f>
        <v>52</v>
      </c>
      <c r="C729" s="7">
        <v>45278</v>
      </c>
      <c r="D729" s="3" t="s">
        <v>71</v>
      </c>
      <c r="E729" s="3"/>
      <c r="F729" s="3"/>
    </row>
    <row r="730" spans="1:6" hidden="1" x14ac:dyDescent="0.3">
      <c r="A730" s="7" t="str">
        <f>BD_ControlRegimen[[#This Row],[FECHA]]&amp;BD_ControlRegimen[[#This Row],[NOMBRE]]</f>
        <v>45279ALVARADO CASTILLO AARON MARIO</v>
      </c>
      <c r="B730" s="83">
        <f>WEEKNUM(BD_ControlRegimen[[#This Row],[FECHA]],2)</f>
        <v>52</v>
      </c>
      <c r="C730" s="7">
        <v>45279</v>
      </c>
      <c r="D730" s="3" t="s">
        <v>71</v>
      </c>
      <c r="E730" s="3"/>
      <c r="F730" s="3"/>
    </row>
    <row r="731" spans="1:6" hidden="1" x14ac:dyDescent="0.3">
      <c r="A731" s="7" t="str">
        <f>BD_ControlRegimen[[#This Row],[FECHA]]&amp;BD_ControlRegimen[[#This Row],[NOMBRE]]</f>
        <v>45280ALVARADO CASTILLO AARON MARIO</v>
      </c>
      <c r="B731" s="83">
        <f>WEEKNUM(BD_ControlRegimen[[#This Row],[FECHA]],2)</f>
        <v>52</v>
      </c>
      <c r="C731" s="7">
        <v>45280</v>
      </c>
      <c r="D731" s="3" t="s">
        <v>71</v>
      </c>
      <c r="E731" s="3"/>
      <c r="F731" s="3"/>
    </row>
    <row r="732" spans="1:6" hidden="1" x14ac:dyDescent="0.3">
      <c r="A732" s="7" t="str">
        <f>BD_ControlRegimen[[#This Row],[FECHA]]&amp;BD_ControlRegimen[[#This Row],[NOMBRE]]</f>
        <v>45281ALVARADO CASTILLO AARON MARIO</v>
      </c>
      <c r="B732" s="83">
        <f>WEEKNUM(BD_ControlRegimen[[#This Row],[FECHA]],2)</f>
        <v>52</v>
      </c>
      <c r="C732" s="7">
        <v>45281</v>
      </c>
      <c r="D732" s="3" t="s">
        <v>71</v>
      </c>
      <c r="E732" s="3"/>
      <c r="F732" s="3"/>
    </row>
    <row r="733" spans="1:6" hidden="1" x14ac:dyDescent="0.3">
      <c r="A733" s="7" t="str">
        <f>BD_ControlRegimen[[#This Row],[FECHA]]&amp;BD_ControlRegimen[[#This Row],[NOMBRE]]</f>
        <v>45282ALVARADO CASTILLO AARON MARIO</v>
      </c>
      <c r="B733" s="83">
        <f>WEEKNUM(BD_ControlRegimen[[#This Row],[FECHA]],2)</f>
        <v>52</v>
      </c>
      <c r="C733" s="7">
        <v>45282</v>
      </c>
      <c r="D733" s="3" t="s">
        <v>71</v>
      </c>
      <c r="E733" s="3"/>
      <c r="F733" s="3"/>
    </row>
    <row r="734" spans="1:6" hidden="1" x14ac:dyDescent="0.3">
      <c r="A734" s="7" t="str">
        <f>BD_ControlRegimen[[#This Row],[FECHA]]&amp;BD_ControlRegimen[[#This Row],[NOMBRE]]</f>
        <v>45283ALVARADO CASTILLO AARON MARIO</v>
      </c>
      <c r="B734" s="83">
        <f>WEEKNUM(BD_ControlRegimen[[#This Row],[FECHA]],2)</f>
        <v>52</v>
      </c>
      <c r="C734" s="7">
        <v>45283</v>
      </c>
      <c r="D734" s="3" t="s">
        <v>71</v>
      </c>
      <c r="E734" s="3"/>
      <c r="F734" s="3"/>
    </row>
    <row r="735" spans="1:6" hidden="1" x14ac:dyDescent="0.3">
      <c r="A735" s="7" t="str">
        <f>BD_ControlRegimen[[#This Row],[FECHA]]&amp;BD_ControlRegimen[[#This Row],[NOMBRE]]</f>
        <v>45284ALVARADO CASTILLO AARON MARIO</v>
      </c>
      <c r="B735" s="83">
        <f>WEEKNUM(BD_ControlRegimen[[#This Row],[FECHA]],2)</f>
        <v>52</v>
      </c>
      <c r="C735" s="7">
        <v>45284</v>
      </c>
      <c r="D735" s="3" t="s">
        <v>71</v>
      </c>
      <c r="E735" s="3"/>
      <c r="F735" s="3"/>
    </row>
    <row r="736" spans="1:6" hidden="1" x14ac:dyDescent="0.3">
      <c r="A736" s="7" t="str">
        <f>BD_ControlRegimen[[#This Row],[FECHA]]&amp;BD_ControlRegimen[[#This Row],[NOMBRE]]</f>
        <v>45285ALVARADO CASTILLO AARON MARIO</v>
      </c>
      <c r="B736" s="83">
        <f>WEEKNUM(BD_ControlRegimen[[#This Row],[FECHA]],2)</f>
        <v>53</v>
      </c>
      <c r="C736" s="7">
        <v>45285</v>
      </c>
      <c r="D736" s="3" t="s">
        <v>71</v>
      </c>
      <c r="E736" s="3"/>
      <c r="F736" s="3"/>
    </row>
    <row r="737" spans="1:6" hidden="1" x14ac:dyDescent="0.3">
      <c r="A737" s="7" t="str">
        <f>BD_ControlRegimen[[#This Row],[FECHA]]&amp;BD_ControlRegimen[[#This Row],[NOMBRE]]</f>
        <v>45286ALVARADO CASTILLO AARON MARIO</v>
      </c>
      <c r="B737" s="83">
        <f>WEEKNUM(BD_ControlRegimen[[#This Row],[FECHA]],2)</f>
        <v>53</v>
      </c>
      <c r="C737" s="7">
        <v>45286</v>
      </c>
      <c r="D737" s="3" t="s">
        <v>71</v>
      </c>
      <c r="E737" s="3"/>
      <c r="F737" s="3"/>
    </row>
    <row r="738" spans="1:6" hidden="1" x14ac:dyDescent="0.3">
      <c r="A738" s="7" t="str">
        <f>BD_ControlRegimen[[#This Row],[FECHA]]&amp;BD_ControlRegimen[[#This Row],[NOMBRE]]</f>
        <v>45287ALVARADO CASTILLO AARON MARIO</v>
      </c>
      <c r="B738" s="83">
        <f>WEEKNUM(BD_ControlRegimen[[#This Row],[FECHA]],2)</f>
        <v>53</v>
      </c>
      <c r="C738" s="7">
        <v>45287</v>
      </c>
      <c r="D738" s="3" t="s">
        <v>71</v>
      </c>
      <c r="E738" s="3"/>
      <c r="F738" s="3"/>
    </row>
    <row r="739" spans="1:6" hidden="1" x14ac:dyDescent="0.3">
      <c r="A739" s="7" t="str">
        <f>BD_ControlRegimen[[#This Row],[FECHA]]&amp;BD_ControlRegimen[[#This Row],[NOMBRE]]</f>
        <v>45288ALVARADO CASTILLO AARON MARIO</v>
      </c>
      <c r="B739" s="83">
        <f>WEEKNUM(BD_ControlRegimen[[#This Row],[FECHA]],2)</f>
        <v>53</v>
      </c>
      <c r="C739" s="7">
        <v>45288</v>
      </c>
      <c r="D739" s="3" t="s">
        <v>71</v>
      </c>
      <c r="E739" s="3"/>
      <c r="F739" s="3"/>
    </row>
    <row r="740" spans="1:6" hidden="1" x14ac:dyDescent="0.3">
      <c r="A740" s="7" t="str">
        <f>BD_ControlRegimen[[#This Row],[FECHA]]&amp;BD_ControlRegimen[[#This Row],[NOMBRE]]</f>
        <v>45289ALVARADO CASTILLO AARON MARIO</v>
      </c>
      <c r="B740" s="83">
        <f>WEEKNUM(BD_ControlRegimen[[#This Row],[FECHA]],2)</f>
        <v>53</v>
      </c>
      <c r="C740" s="7">
        <v>45289</v>
      </c>
      <c r="D740" s="3" t="s">
        <v>71</v>
      </c>
      <c r="E740" s="3"/>
      <c r="F740" s="3"/>
    </row>
    <row r="741" spans="1:6" hidden="1" x14ac:dyDescent="0.3">
      <c r="A741" s="7" t="str">
        <f>BD_ControlRegimen[[#This Row],[FECHA]]&amp;BD_ControlRegimen[[#This Row],[NOMBRE]]</f>
        <v>45290ALVARADO CASTILLO AARON MARIO</v>
      </c>
      <c r="B741" s="83">
        <f>WEEKNUM(BD_ControlRegimen[[#This Row],[FECHA]],2)</f>
        <v>53</v>
      </c>
      <c r="C741" s="7">
        <v>45290</v>
      </c>
      <c r="D741" s="3" t="s">
        <v>71</v>
      </c>
      <c r="E741" s="3"/>
      <c r="F741" s="3"/>
    </row>
    <row r="742" spans="1:6" hidden="1" x14ac:dyDescent="0.3">
      <c r="A742" s="7" t="str">
        <f>BD_ControlRegimen[[#This Row],[FECHA]]&amp;BD_ControlRegimen[[#This Row],[NOMBRE]]</f>
        <v>45291ALVARADO CASTILLO AARON MARIO</v>
      </c>
      <c r="B742" s="83">
        <f>WEEKNUM(BD_ControlRegimen[[#This Row],[FECHA]],2)</f>
        <v>53</v>
      </c>
      <c r="C742" s="7">
        <v>45291</v>
      </c>
      <c r="D742" s="3" t="s">
        <v>71</v>
      </c>
      <c r="E742" s="3"/>
      <c r="F742" s="3"/>
    </row>
    <row r="743" spans="1:6" hidden="1" x14ac:dyDescent="0.3">
      <c r="A743" s="99" t="str">
        <f>BD_ControlRegimen[[#This Row],[FECHA]]&amp;BD_ControlRegimen[[#This Row],[NOMBRE]]</f>
        <v>44927AREVALO CALDERON JUAN CARLOS</v>
      </c>
      <c r="B743" s="100">
        <f>WEEKNUM(BD_ControlRegimen[[#This Row],[FECHA]],2)</f>
        <v>1</v>
      </c>
      <c r="C743" s="99">
        <v>44927</v>
      </c>
      <c r="D743" s="3" t="s">
        <v>70</v>
      </c>
      <c r="E743" s="101"/>
      <c r="F743" s="101"/>
    </row>
    <row r="744" spans="1:6" hidden="1" x14ac:dyDescent="0.3">
      <c r="A744" s="99" t="str">
        <f>BD_ControlRegimen[[#This Row],[FECHA]]&amp;BD_ControlRegimen[[#This Row],[NOMBRE]]</f>
        <v>44928AREVALO CALDERON JUAN CARLOS</v>
      </c>
      <c r="B744" s="100">
        <f>WEEKNUM(BD_ControlRegimen[[#This Row],[FECHA]],2)</f>
        <v>2</v>
      </c>
      <c r="C744" s="99">
        <v>44928</v>
      </c>
      <c r="D744" s="3" t="s">
        <v>70</v>
      </c>
      <c r="E744" s="101"/>
      <c r="F744" s="101"/>
    </row>
    <row r="745" spans="1:6" hidden="1" x14ac:dyDescent="0.3">
      <c r="A745" s="99" t="str">
        <f>BD_ControlRegimen[[#This Row],[FECHA]]&amp;BD_ControlRegimen[[#This Row],[NOMBRE]]</f>
        <v>44929AREVALO CALDERON JUAN CARLOS</v>
      </c>
      <c r="B745" s="100">
        <f>WEEKNUM(BD_ControlRegimen[[#This Row],[FECHA]],2)</f>
        <v>2</v>
      </c>
      <c r="C745" s="99">
        <v>44929</v>
      </c>
      <c r="D745" s="3" t="s">
        <v>70</v>
      </c>
      <c r="E745" s="101"/>
      <c r="F745" s="101"/>
    </row>
    <row r="746" spans="1:6" hidden="1" x14ac:dyDescent="0.3">
      <c r="A746" s="99" t="str">
        <f>BD_ControlRegimen[[#This Row],[FECHA]]&amp;BD_ControlRegimen[[#This Row],[NOMBRE]]</f>
        <v>44930AREVALO CALDERON JUAN CARLOS</v>
      </c>
      <c r="B746" s="100">
        <f>WEEKNUM(BD_ControlRegimen[[#This Row],[FECHA]],2)</f>
        <v>2</v>
      </c>
      <c r="C746" s="99">
        <v>44930</v>
      </c>
      <c r="D746" s="3" t="s">
        <v>70</v>
      </c>
      <c r="E746" s="101"/>
      <c r="F746" s="101"/>
    </row>
    <row r="747" spans="1:6" hidden="1" x14ac:dyDescent="0.3">
      <c r="A747" s="99" t="str">
        <f>BD_ControlRegimen[[#This Row],[FECHA]]&amp;BD_ControlRegimen[[#This Row],[NOMBRE]]</f>
        <v>44931AREVALO CALDERON JUAN CARLOS</v>
      </c>
      <c r="B747" s="100">
        <f>WEEKNUM(BD_ControlRegimen[[#This Row],[FECHA]],2)</f>
        <v>2</v>
      </c>
      <c r="C747" s="99">
        <v>44931</v>
      </c>
      <c r="D747" s="3" t="s">
        <v>70</v>
      </c>
      <c r="E747" s="101"/>
      <c r="F747" s="101"/>
    </row>
    <row r="748" spans="1:6" hidden="1" x14ac:dyDescent="0.3">
      <c r="A748" s="99" t="str">
        <f>BD_ControlRegimen[[#This Row],[FECHA]]&amp;BD_ControlRegimen[[#This Row],[NOMBRE]]</f>
        <v>44932AREVALO CALDERON JUAN CARLOS</v>
      </c>
      <c r="B748" s="100">
        <f>WEEKNUM(BD_ControlRegimen[[#This Row],[FECHA]],2)</f>
        <v>2</v>
      </c>
      <c r="C748" s="99">
        <v>44932</v>
      </c>
      <c r="D748" s="3" t="s">
        <v>70</v>
      </c>
      <c r="E748" s="101"/>
      <c r="F748" s="101"/>
    </row>
    <row r="749" spans="1:6" hidden="1" x14ac:dyDescent="0.3">
      <c r="A749" s="99" t="str">
        <f>BD_ControlRegimen[[#This Row],[FECHA]]&amp;BD_ControlRegimen[[#This Row],[NOMBRE]]</f>
        <v>44933AREVALO CALDERON JUAN CARLOS</v>
      </c>
      <c r="B749" s="100">
        <f>WEEKNUM(BD_ControlRegimen[[#This Row],[FECHA]],2)</f>
        <v>2</v>
      </c>
      <c r="C749" s="99">
        <v>44933</v>
      </c>
      <c r="D749" s="3" t="s">
        <v>70</v>
      </c>
      <c r="E749" s="101"/>
      <c r="F749" s="101"/>
    </row>
    <row r="750" spans="1:6" hidden="1" x14ac:dyDescent="0.3">
      <c r="A750" s="99" t="str">
        <f>BD_ControlRegimen[[#This Row],[FECHA]]&amp;BD_ControlRegimen[[#This Row],[NOMBRE]]</f>
        <v>44934AREVALO CALDERON JUAN CARLOS</v>
      </c>
      <c r="B750" s="100">
        <f>WEEKNUM(BD_ControlRegimen[[#This Row],[FECHA]],2)</f>
        <v>2</v>
      </c>
      <c r="C750" s="99">
        <v>44934</v>
      </c>
      <c r="D750" s="3" t="s">
        <v>70</v>
      </c>
      <c r="E750" s="101"/>
      <c r="F750" s="101"/>
    </row>
    <row r="751" spans="1:6" hidden="1" x14ac:dyDescent="0.3">
      <c r="A751" s="99" t="str">
        <f>BD_ControlRegimen[[#This Row],[FECHA]]&amp;BD_ControlRegimen[[#This Row],[NOMBRE]]</f>
        <v>44935AREVALO CALDERON JUAN CARLOS</v>
      </c>
      <c r="B751" s="100">
        <f>WEEKNUM(BD_ControlRegimen[[#This Row],[FECHA]],2)</f>
        <v>3</v>
      </c>
      <c r="C751" s="99">
        <v>44935</v>
      </c>
      <c r="D751" s="3" t="s">
        <v>70</v>
      </c>
      <c r="E751" s="101"/>
      <c r="F751" s="101"/>
    </row>
    <row r="752" spans="1:6" hidden="1" x14ac:dyDescent="0.3">
      <c r="A752" s="99" t="str">
        <f>BD_ControlRegimen[[#This Row],[FECHA]]&amp;BD_ControlRegimen[[#This Row],[NOMBRE]]</f>
        <v>44936AREVALO CALDERON JUAN CARLOS</v>
      </c>
      <c r="B752" s="100">
        <f>WEEKNUM(BD_ControlRegimen[[#This Row],[FECHA]],2)</f>
        <v>3</v>
      </c>
      <c r="C752" s="99">
        <v>44936</v>
      </c>
      <c r="D752" s="3" t="s">
        <v>70</v>
      </c>
      <c r="E752" s="101"/>
      <c r="F752" s="101"/>
    </row>
    <row r="753" spans="1:6" hidden="1" x14ac:dyDescent="0.3">
      <c r="A753" s="99" t="str">
        <f>BD_ControlRegimen[[#This Row],[FECHA]]&amp;BD_ControlRegimen[[#This Row],[NOMBRE]]</f>
        <v>44937AREVALO CALDERON JUAN CARLOS</v>
      </c>
      <c r="B753" s="100">
        <f>WEEKNUM(BD_ControlRegimen[[#This Row],[FECHA]],2)</f>
        <v>3</v>
      </c>
      <c r="C753" s="99">
        <v>44937</v>
      </c>
      <c r="D753" s="3" t="s">
        <v>70</v>
      </c>
      <c r="E753" s="101"/>
      <c r="F753" s="101"/>
    </row>
    <row r="754" spans="1:6" hidden="1" x14ac:dyDescent="0.3">
      <c r="A754" s="99" t="str">
        <f>BD_ControlRegimen[[#This Row],[FECHA]]&amp;BD_ControlRegimen[[#This Row],[NOMBRE]]</f>
        <v>44938AREVALO CALDERON JUAN CARLOS</v>
      </c>
      <c r="B754" s="100">
        <f>WEEKNUM(BD_ControlRegimen[[#This Row],[FECHA]],2)</f>
        <v>3</v>
      </c>
      <c r="C754" s="99">
        <v>44938</v>
      </c>
      <c r="D754" s="3" t="s">
        <v>70</v>
      </c>
      <c r="E754" s="101"/>
      <c r="F754" s="101"/>
    </row>
    <row r="755" spans="1:6" hidden="1" x14ac:dyDescent="0.3">
      <c r="A755" s="99" t="str">
        <f>BD_ControlRegimen[[#This Row],[FECHA]]&amp;BD_ControlRegimen[[#This Row],[NOMBRE]]</f>
        <v>44939AREVALO CALDERON JUAN CARLOS</v>
      </c>
      <c r="B755" s="100">
        <f>WEEKNUM(BD_ControlRegimen[[#This Row],[FECHA]],2)</f>
        <v>3</v>
      </c>
      <c r="C755" s="99">
        <v>44939</v>
      </c>
      <c r="D755" s="3" t="s">
        <v>70</v>
      </c>
      <c r="E755" s="101"/>
      <c r="F755" s="101"/>
    </row>
    <row r="756" spans="1:6" hidden="1" x14ac:dyDescent="0.3">
      <c r="A756" s="99" t="str">
        <f>BD_ControlRegimen[[#This Row],[FECHA]]&amp;BD_ControlRegimen[[#This Row],[NOMBRE]]</f>
        <v>44940AREVALO CALDERON JUAN CARLOS</v>
      </c>
      <c r="B756" s="100">
        <f>WEEKNUM(BD_ControlRegimen[[#This Row],[FECHA]],2)</f>
        <v>3</v>
      </c>
      <c r="C756" s="99">
        <v>44940</v>
      </c>
      <c r="D756" s="3" t="s">
        <v>70</v>
      </c>
      <c r="E756" s="101"/>
      <c r="F756" s="101"/>
    </row>
    <row r="757" spans="1:6" hidden="1" x14ac:dyDescent="0.3">
      <c r="A757" s="99" t="str">
        <f>BD_ControlRegimen[[#This Row],[FECHA]]&amp;BD_ControlRegimen[[#This Row],[NOMBRE]]</f>
        <v>44941AREVALO CALDERON JUAN CARLOS</v>
      </c>
      <c r="B757" s="100">
        <f>WEEKNUM(BD_ControlRegimen[[#This Row],[FECHA]],2)</f>
        <v>3</v>
      </c>
      <c r="C757" s="99">
        <v>44941</v>
      </c>
      <c r="D757" s="3" t="s">
        <v>70</v>
      </c>
      <c r="E757" s="101"/>
      <c r="F757" s="101"/>
    </row>
    <row r="758" spans="1:6" hidden="1" x14ac:dyDescent="0.3">
      <c r="A758" s="99" t="str">
        <f>BD_ControlRegimen[[#This Row],[FECHA]]&amp;BD_ControlRegimen[[#This Row],[NOMBRE]]</f>
        <v>44942AREVALO CALDERON JUAN CARLOS</v>
      </c>
      <c r="B758" s="100">
        <f>WEEKNUM(BD_ControlRegimen[[#This Row],[FECHA]],2)</f>
        <v>4</v>
      </c>
      <c r="C758" s="99">
        <v>44942</v>
      </c>
      <c r="D758" s="3" t="s">
        <v>70</v>
      </c>
      <c r="E758" s="101"/>
      <c r="F758" s="101"/>
    </row>
    <row r="759" spans="1:6" hidden="1" x14ac:dyDescent="0.3">
      <c r="A759" s="99" t="str">
        <f>BD_ControlRegimen[[#This Row],[FECHA]]&amp;BD_ControlRegimen[[#This Row],[NOMBRE]]</f>
        <v>44943AREVALO CALDERON JUAN CARLOS</v>
      </c>
      <c r="B759" s="100">
        <f>WEEKNUM(BD_ControlRegimen[[#This Row],[FECHA]],2)</f>
        <v>4</v>
      </c>
      <c r="C759" s="99">
        <v>44943</v>
      </c>
      <c r="D759" s="3" t="s">
        <v>70</v>
      </c>
      <c r="E759" s="101"/>
      <c r="F759" s="101"/>
    </row>
    <row r="760" spans="1:6" hidden="1" x14ac:dyDescent="0.3">
      <c r="A760" s="99" t="str">
        <f>BD_ControlRegimen[[#This Row],[FECHA]]&amp;BD_ControlRegimen[[#This Row],[NOMBRE]]</f>
        <v>44944AREVALO CALDERON JUAN CARLOS</v>
      </c>
      <c r="B760" s="100">
        <f>WEEKNUM(BD_ControlRegimen[[#This Row],[FECHA]],2)</f>
        <v>4</v>
      </c>
      <c r="C760" s="99">
        <v>44944</v>
      </c>
      <c r="D760" s="3" t="s">
        <v>70</v>
      </c>
      <c r="E760" s="101"/>
      <c r="F760" s="101"/>
    </row>
    <row r="761" spans="1:6" hidden="1" x14ac:dyDescent="0.3">
      <c r="A761" s="99" t="str">
        <f>BD_ControlRegimen[[#This Row],[FECHA]]&amp;BD_ControlRegimen[[#This Row],[NOMBRE]]</f>
        <v>44945AREVALO CALDERON JUAN CARLOS</v>
      </c>
      <c r="B761" s="100">
        <f>WEEKNUM(BD_ControlRegimen[[#This Row],[FECHA]],2)</f>
        <v>4</v>
      </c>
      <c r="C761" s="99">
        <v>44945</v>
      </c>
      <c r="D761" s="3" t="s">
        <v>70</v>
      </c>
      <c r="E761" s="101"/>
      <c r="F761" s="101"/>
    </row>
    <row r="762" spans="1:6" hidden="1" x14ac:dyDescent="0.3">
      <c r="A762" s="99" t="str">
        <f>BD_ControlRegimen[[#This Row],[FECHA]]&amp;BD_ControlRegimen[[#This Row],[NOMBRE]]</f>
        <v>44946AREVALO CALDERON JUAN CARLOS</v>
      </c>
      <c r="B762" s="100">
        <f>WEEKNUM(BD_ControlRegimen[[#This Row],[FECHA]],2)</f>
        <v>4</v>
      </c>
      <c r="C762" s="99">
        <v>44946</v>
      </c>
      <c r="D762" s="3" t="s">
        <v>70</v>
      </c>
      <c r="E762" s="101"/>
      <c r="F762" s="101"/>
    </row>
    <row r="763" spans="1:6" hidden="1" x14ac:dyDescent="0.3">
      <c r="A763" s="99" t="str">
        <f>BD_ControlRegimen[[#This Row],[FECHA]]&amp;BD_ControlRegimen[[#This Row],[NOMBRE]]</f>
        <v>44947AREVALO CALDERON JUAN CARLOS</v>
      </c>
      <c r="B763" s="100">
        <f>WEEKNUM(BD_ControlRegimen[[#This Row],[FECHA]],2)</f>
        <v>4</v>
      </c>
      <c r="C763" s="99">
        <v>44947</v>
      </c>
      <c r="D763" s="3" t="s">
        <v>70</v>
      </c>
      <c r="E763" s="101"/>
      <c r="F763" s="101"/>
    </row>
    <row r="764" spans="1:6" hidden="1" x14ac:dyDescent="0.3">
      <c r="A764" s="99" t="str">
        <f>BD_ControlRegimen[[#This Row],[FECHA]]&amp;BD_ControlRegimen[[#This Row],[NOMBRE]]</f>
        <v>44948AREVALO CALDERON JUAN CARLOS</v>
      </c>
      <c r="B764" s="100">
        <f>WEEKNUM(BD_ControlRegimen[[#This Row],[FECHA]],2)</f>
        <v>4</v>
      </c>
      <c r="C764" s="99">
        <v>44948</v>
      </c>
      <c r="D764" s="3" t="s">
        <v>70</v>
      </c>
      <c r="E764" s="101"/>
      <c r="F764" s="101"/>
    </row>
    <row r="765" spans="1:6" hidden="1" x14ac:dyDescent="0.3">
      <c r="A765" s="99" t="str">
        <f>BD_ControlRegimen[[#This Row],[FECHA]]&amp;BD_ControlRegimen[[#This Row],[NOMBRE]]</f>
        <v>44949AREVALO CALDERON JUAN CARLOS</v>
      </c>
      <c r="B765" s="100">
        <f>WEEKNUM(BD_ControlRegimen[[#This Row],[FECHA]],2)</f>
        <v>5</v>
      </c>
      <c r="C765" s="99">
        <v>44949</v>
      </c>
      <c r="D765" s="3" t="s">
        <v>70</v>
      </c>
      <c r="E765" s="101"/>
      <c r="F765" s="101"/>
    </row>
    <row r="766" spans="1:6" hidden="1" x14ac:dyDescent="0.3">
      <c r="A766" s="99" t="str">
        <f>BD_ControlRegimen[[#This Row],[FECHA]]&amp;BD_ControlRegimen[[#This Row],[NOMBRE]]</f>
        <v>44950AREVALO CALDERON JUAN CARLOS</v>
      </c>
      <c r="B766" s="100">
        <f>WEEKNUM(BD_ControlRegimen[[#This Row],[FECHA]],2)</f>
        <v>5</v>
      </c>
      <c r="C766" s="99">
        <v>44950</v>
      </c>
      <c r="D766" s="3" t="s">
        <v>70</v>
      </c>
      <c r="E766" s="101"/>
      <c r="F766" s="101"/>
    </row>
    <row r="767" spans="1:6" hidden="1" x14ac:dyDescent="0.3">
      <c r="A767" s="99" t="str">
        <f>BD_ControlRegimen[[#This Row],[FECHA]]&amp;BD_ControlRegimen[[#This Row],[NOMBRE]]</f>
        <v>44951AREVALO CALDERON JUAN CARLOS</v>
      </c>
      <c r="B767" s="100">
        <f>WEEKNUM(BD_ControlRegimen[[#This Row],[FECHA]],2)</f>
        <v>5</v>
      </c>
      <c r="C767" s="99">
        <v>44951</v>
      </c>
      <c r="D767" s="3" t="s">
        <v>70</v>
      </c>
      <c r="E767" s="101"/>
      <c r="F767" s="101"/>
    </row>
    <row r="768" spans="1:6" hidden="1" x14ac:dyDescent="0.3">
      <c r="A768" s="99" t="str">
        <f>BD_ControlRegimen[[#This Row],[FECHA]]&amp;BD_ControlRegimen[[#This Row],[NOMBRE]]</f>
        <v>44952AREVALO CALDERON JUAN CARLOS</v>
      </c>
      <c r="B768" s="100">
        <f>WEEKNUM(BD_ControlRegimen[[#This Row],[FECHA]],2)</f>
        <v>5</v>
      </c>
      <c r="C768" s="99">
        <v>44952</v>
      </c>
      <c r="D768" s="3" t="s">
        <v>70</v>
      </c>
      <c r="E768" s="101"/>
      <c r="F768" s="101"/>
    </row>
    <row r="769" spans="1:6" hidden="1" x14ac:dyDescent="0.3">
      <c r="A769" s="99" t="str">
        <f>BD_ControlRegimen[[#This Row],[FECHA]]&amp;BD_ControlRegimen[[#This Row],[NOMBRE]]</f>
        <v>44953AREVALO CALDERON JUAN CARLOS</v>
      </c>
      <c r="B769" s="100">
        <f>WEEKNUM(BD_ControlRegimen[[#This Row],[FECHA]],2)</f>
        <v>5</v>
      </c>
      <c r="C769" s="99">
        <v>44953</v>
      </c>
      <c r="D769" s="3" t="s">
        <v>70</v>
      </c>
      <c r="E769" s="101"/>
      <c r="F769" s="101"/>
    </row>
    <row r="770" spans="1:6" hidden="1" x14ac:dyDescent="0.3">
      <c r="A770" s="99" t="str">
        <f>BD_ControlRegimen[[#This Row],[FECHA]]&amp;BD_ControlRegimen[[#This Row],[NOMBRE]]</f>
        <v>44954AREVALO CALDERON JUAN CARLOS</v>
      </c>
      <c r="B770" s="100">
        <f>WEEKNUM(BD_ControlRegimen[[#This Row],[FECHA]],2)</f>
        <v>5</v>
      </c>
      <c r="C770" s="99">
        <v>44954</v>
      </c>
      <c r="D770" s="3" t="s">
        <v>70</v>
      </c>
      <c r="E770" s="101"/>
      <c r="F770" s="101"/>
    </row>
    <row r="771" spans="1:6" hidden="1" x14ac:dyDescent="0.3">
      <c r="A771" s="99" t="str">
        <f>BD_ControlRegimen[[#This Row],[FECHA]]&amp;BD_ControlRegimen[[#This Row],[NOMBRE]]</f>
        <v>44955AREVALO CALDERON JUAN CARLOS</v>
      </c>
      <c r="B771" s="100">
        <f>WEEKNUM(BD_ControlRegimen[[#This Row],[FECHA]],2)</f>
        <v>5</v>
      </c>
      <c r="C771" s="99">
        <v>44955</v>
      </c>
      <c r="D771" s="3" t="s">
        <v>70</v>
      </c>
      <c r="E771" s="101"/>
      <c r="F771" s="101"/>
    </row>
    <row r="772" spans="1:6" hidden="1" x14ac:dyDescent="0.3">
      <c r="A772" s="99" t="str">
        <f>BD_ControlRegimen[[#This Row],[FECHA]]&amp;BD_ControlRegimen[[#This Row],[NOMBRE]]</f>
        <v>44956AREVALO CALDERON JUAN CARLOS</v>
      </c>
      <c r="B772" s="100">
        <f>WEEKNUM(BD_ControlRegimen[[#This Row],[FECHA]],2)</f>
        <v>6</v>
      </c>
      <c r="C772" s="99">
        <v>44956</v>
      </c>
      <c r="D772" s="3" t="s">
        <v>70</v>
      </c>
      <c r="E772" s="101"/>
      <c r="F772" s="101"/>
    </row>
    <row r="773" spans="1:6" hidden="1" x14ac:dyDescent="0.3">
      <c r="A773" s="99" t="str">
        <f>BD_ControlRegimen[[#This Row],[FECHA]]&amp;BD_ControlRegimen[[#This Row],[NOMBRE]]</f>
        <v>44957AREVALO CALDERON JUAN CARLOS</v>
      </c>
      <c r="B773" s="100">
        <f>WEEKNUM(BD_ControlRegimen[[#This Row],[FECHA]],2)</f>
        <v>6</v>
      </c>
      <c r="C773" s="99">
        <v>44957</v>
      </c>
      <c r="D773" s="3" t="s">
        <v>70</v>
      </c>
      <c r="E773" s="101"/>
      <c r="F773" s="101"/>
    </row>
    <row r="774" spans="1:6" hidden="1" x14ac:dyDescent="0.3">
      <c r="A774" s="99" t="str">
        <f>BD_ControlRegimen[[#This Row],[FECHA]]&amp;BD_ControlRegimen[[#This Row],[NOMBRE]]</f>
        <v>44958AREVALO CALDERON JUAN CARLOS</v>
      </c>
      <c r="B774" s="100">
        <f>WEEKNUM(BD_ControlRegimen[[#This Row],[FECHA]],2)</f>
        <v>6</v>
      </c>
      <c r="C774" s="99">
        <v>44958</v>
      </c>
      <c r="D774" s="3" t="s">
        <v>70</v>
      </c>
      <c r="E774" s="101"/>
      <c r="F774" s="101"/>
    </row>
    <row r="775" spans="1:6" hidden="1" x14ac:dyDescent="0.3">
      <c r="A775" s="99" t="str">
        <f>BD_ControlRegimen[[#This Row],[FECHA]]&amp;BD_ControlRegimen[[#This Row],[NOMBRE]]</f>
        <v>44959AREVALO CALDERON JUAN CARLOS</v>
      </c>
      <c r="B775" s="100">
        <f>WEEKNUM(BD_ControlRegimen[[#This Row],[FECHA]],2)</f>
        <v>6</v>
      </c>
      <c r="C775" s="99">
        <v>44959</v>
      </c>
      <c r="D775" s="3" t="s">
        <v>70</v>
      </c>
      <c r="E775" s="101"/>
      <c r="F775" s="101"/>
    </row>
    <row r="776" spans="1:6" hidden="1" x14ac:dyDescent="0.3">
      <c r="A776" s="99" t="str">
        <f>BD_ControlRegimen[[#This Row],[FECHA]]&amp;BD_ControlRegimen[[#This Row],[NOMBRE]]</f>
        <v>44960AREVALO CALDERON JUAN CARLOS</v>
      </c>
      <c r="B776" s="100">
        <f>WEEKNUM(BD_ControlRegimen[[#This Row],[FECHA]],2)</f>
        <v>6</v>
      </c>
      <c r="C776" s="99">
        <v>44960</v>
      </c>
      <c r="D776" s="3" t="s">
        <v>70</v>
      </c>
      <c r="E776" s="101"/>
      <c r="F776" s="101"/>
    </row>
    <row r="777" spans="1:6" hidden="1" x14ac:dyDescent="0.3">
      <c r="A777" s="99" t="str">
        <f>BD_ControlRegimen[[#This Row],[FECHA]]&amp;BD_ControlRegimen[[#This Row],[NOMBRE]]</f>
        <v>44961AREVALO CALDERON JUAN CARLOS</v>
      </c>
      <c r="B777" s="100">
        <f>WEEKNUM(BD_ControlRegimen[[#This Row],[FECHA]],2)</f>
        <v>6</v>
      </c>
      <c r="C777" s="99">
        <v>44961</v>
      </c>
      <c r="D777" s="3" t="s">
        <v>70</v>
      </c>
      <c r="E777" s="101"/>
      <c r="F777" s="101"/>
    </row>
    <row r="778" spans="1:6" hidden="1" x14ac:dyDescent="0.3">
      <c r="A778" s="99" t="str">
        <f>BD_ControlRegimen[[#This Row],[FECHA]]&amp;BD_ControlRegimen[[#This Row],[NOMBRE]]</f>
        <v>44962AREVALO CALDERON JUAN CARLOS</v>
      </c>
      <c r="B778" s="100">
        <f>WEEKNUM(BD_ControlRegimen[[#This Row],[FECHA]],2)</f>
        <v>6</v>
      </c>
      <c r="C778" s="99">
        <v>44962</v>
      </c>
      <c r="D778" s="3" t="s">
        <v>70</v>
      </c>
      <c r="E778" s="101"/>
      <c r="F778" s="101"/>
    </row>
    <row r="779" spans="1:6" hidden="1" x14ac:dyDescent="0.3">
      <c r="A779" s="99" t="str">
        <f>BD_ControlRegimen[[#This Row],[FECHA]]&amp;BD_ControlRegimen[[#This Row],[NOMBRE]]</f>
        <v>44963AREVALO CALDERON JUAN CARLOS</v>
      </c>
      <c r="B779" s="100">
        <f>WEEKNUM(BD_ControlRegimen[[#This Row],[FECHA]],2)</f>
        <v>7</v>
      </c>
      <c r="C779" s="99">
        <v>44963</v>
      </c>
      <c r="D779" s="3" t="s">
        <v>70</v>
      </c>
      <c r="E779" s="101"/>
      <c r="F779" s="101"/>
    </row>
    <row r="780" spans="1:6" hidden="1" x14ac:dyDescent="0.3">
      <c r="A780" s="99" t="str">
        <f>BD_ControlRegimen[[#This Row],[FECHA]]&amp;BD_ControlRegimen[[#This Row],[NOMBRE]]</f>
        <v>44964AREVALO CALDERON JUAN CARLOS</v>
      </c>
      <c r="B780" s="100">
        <f>WEEKNUM(BD_ControlRegimen[[#This Row],[FECHA]],2)</f>
        <v>7</v>
      </c>
      <c r="C780" s="99">
        <v>44964</v>
      </c>
      <c r="D780" s="3" t="s">
        <v>70</v>
      </c>
      <c r="E780" s="101"/>
      <c r="F780" s="101"/>
    </row>
    <row r="781" spans="1:6" hidden="1" x14ac:dyDescent="0.3">
      <c r="A781" s="99" t="str">
        <f>BD_ControlRegimen[[#This Row],[FECHA]]&amp;BD_ControlRegimen[[#This Row],[NOMBRE]]</f>
        <v>44965AREVALO CALDERON JUAN CARLOS</v>
      </c>
      <c r="B781" s="100">
        <f>WEEKNUM(BD_ControlRegimen[[#This Row],[FECHA]],2)</f>
        <v>7</v>
      </c>
      <c r="C781" s="99">
        <v>44965</v>
      </c>
      <c r="D781" s="3" t="s">
        <v>70</v>
      </c>
      <c r="E781" s="101"/>
      <c r="F781" s="101"/>
    </row>
    <row r="782" spans="1:6" hidden="1" x14ac:dyDescent="0.3">
      <c r="A782" s="99" t="str">
        <f>BD_ControlRegimen[[#This Row],[FECHA]]&amp;BD_ControlRegimen[[#This Row],[NOMBRE]]</f>
        <v>44966AREVALO CALDERON JUAN CARLOS</v>
      </c>
      <c r="B782" s="100">
        <f>WEEKNUM(BD_ControlRegimen[[#This Row],[FECHA]],2)</f>
        <v>7</v>
      </c>
      <c r="C782" s="99">
        <v>44966</v>
      </c>
      <c r="D782" s="3" t="s">
        <v>70</v>
      </c>
      <c r="E782" s="101"/>
      <c r="F782" s="101"/>
    </row>
    <row r="783" spans="1:6" hidden="1" x14ac:dyDescent="0.3">
      <c r="A783" s="99" t="str">
        <f>BD_ControlRegimen[[#This Row],[FECHA]]&amp;BD_ControlRegimen[[#This Row],[NOMBRE]]</f>
        <v>44967AREVALO CALDERON JUAN CARLOS</v>
      </c>
      <c r="B783" s="100">
        <f>WEEKNUM(BD_ControlRegimen[[#This Row],[FECHA]],2)</f>
        <v>7</v>
      </c>
      <c r="C783" s="99">
        <v>44967</v>
      </c>
      <c r="D783" s="3" t="s">
        <v>70</v>
      </c>
      <c r="E783" s="101"/>
      <c r="F783" s="101"/>
    </row>
    <row r="784" spans="1:6" hidden="1" x14ac:dyDescent="0.3">
      <c r="A784" s="99" t="str">
        <f>BD_ControlRegimen[[#This Row],[FECHA]]&amp;BD_ControlRegimen[[#This Row],[NOMBRE]]</f>
        <v>44968AREVALO CALDERON JUAN CARLOS</v>
      </c>
      <c r="B784" s="100">
        <f>WEEKNUM(BD_ControlRegimen[[#This Row],[FECHA]],2)</f>
        <v>7</v>
      </c>
      <c r="C784" s="99">
        <v>44968</v>
      </c>
      <c r="D784" s="3" t="s">
        <v>70</v>
      </c>
      <c r="E784" s="101"/>
      <c r="F784" s="101"/>
    </row>
    <row r="785" spans="1:6" hidden="1" x14ac:dyDescent="0.3">
      <c r="A785" s="99" t="str">
        <f>BD_ControlRegimen[[#This Row],[FECHA]]&amp;BD_ControlRegimen[[#This Row],[NOMBRE]]</f>
        <v>44969AREVALO CALDERON JUAN CARLOS</v>
      </c>
      <c r="B785" s="100">
        <f>WEEKNUM(BD_ControlRegimen[[#This Row],[FECHA]],2)</f>
        <v>7</v>
      </c>
      <c r="C785" s="99">
        <v>44969</v>
      </c>
      <c r="D785" s="3" t="s">
        <v>70</v>
      </c>
      <c r="E785" s="101"/>
      <c r="F785" s="101"/>
    </row>
    <row r="786" spans="1:6" hidden="1" x14ac:dyDescent="0.3">
      <c r="A786" s="99" t="str">
        <f>BD_ControlRegimen[[#This Row],[FECHA]]&amp;BD_ControlRegimen[[#This Row],[NOMBRE]]</f>
        <v>44970AREVALO CALDERON JUAN CARLOS</v>
      </c>
      <c r="B786" s="100">
        <f>WEEKNUM(BD_ControlRegimen[[#This Row],[FECHA]],2)</f>
        <v>8</v>
      </c>
      <c r="C786" s="99">
        <v>44970</v>
      </c>
      <c r="D786" s="3" t="s">
        <v>70</v>
      </c>
      <c r="E786" s="101"/>
      <c r="F786" s="101"/>
    </row>
    <row r="787" spans="1:6" hidden="1" x14ac:dyDescent="0.3">
      <c r="A787" s="99" t="str">
        <f>BD_ControlRegimen[[#This Row],[FECHA]]&amp;BD_ControlRegimen[[#This Row],[NOMBRE]]</f>
        <v>44971AREVALO CALDERON JUAN CARLOS</v>
      </c>
      <c r="B787" s="100">
        <f>WEEKNUM(BD_ControlRegimen[[#This Row],[FECHA]],2)</f>
        <v>8</v>
      </c>
      <c r="C787" s="99">
        <v>44971</v>
      </c>
      <c r="D787" s="3" t="s">
        <v>70</v>
      </c>
      <c r="E787" s="101"/>
      <c r="F787" s="101"/>
    </row>
    <row r="788" spans="1:6" hidden="1" x14ac:dyDescent="0.3">
      <c r="A788" s="99" t="str">
        <f>BD_ControlRegimen[[#This Row],[FECHA]]&amp;BD_ControlRegimen[[#This Row],[NOMBRE]]</f>
        <v>44972AREVALO CALDERON JUAN CARLOS</v>
      </c>
      <c r="B788" s="100">
        <f>WEEKNUM(BD_ControlRegimen[[#This Row],[FECHA]],2)</f>
        <v>8</v>
      </c>
      <c r="C788" s="99">
        <v>44972</v>
      </c>
      <c r="D788" s="3" t="s">
        <v>70</v>
      </c>
      <c r="E788" s="101"/>
      <c r="F788" s="101"/>
    </row>
    <row r="789" spans="1:6" hidden="1" x14ac:dyDescent="0.3">
      <c r="A789" s="99" t="str">
        <f>BD_ControlRegimen[[#This Row],[FECHA]]&amp;BD_ControlRegimen[[#This Row],[NOMBRE]]</f>
        <v>44973AREVALO CALDERON JUAN CARLOS</v>
      </c>
      <c r="B789" s="100">
        <f>WEEKNUM(BD_ControlRegimen[[#This Row],[FECHA]],2)</f>
        <v>8</v>
      </c>
      <c r="C789" s="99">
        <v>44973</v>
      </c>
      <c r="D789" s="3" t="s">
        <v>70</v>
      </c>
      <c r="E789" s="101"/>
      <c r="F789" s="101"/>
    </row>
    <row r="790" spans="1:6" hidden="1" x14ac:dyDescent="0.3">
      <c r="A790" s="99" t="str">
        <f>BD_ControlRegimen[[#This Row],[FECHA]]&amp;BD_ControlRegimen[[#This Row],[NOMBRE]]</f>
        <v>44974AREVALO CALDERON JUAN CARLOS</v>
      </c>
      <c r="B790" s="100">
        <f>WEEKNUM(BD_ControlRegimen[[#This Row],[FECHA]],2)</f>
        <v>8</v>
      </c>
      <c r="C790" s="99">
        <v>44974</v>
      </c>
      <c r="D790" s="3" t="s">
        <v>70</v>
      </c>
      <c r="E790" s="101"/>
      <c r="F790" s="101"/>
    </row>
    <row r="791" spans="1:6" hidden="1" x14ac:dyDescent="0.3">
      <c r="A791" s="99" t="str">
        <f>BD_ControlRegimen[[#This Row],[FECHA]]&amp;BD_ControlRegimen[[#This Row],[NOMBRE]]</f>
        <v>44975AREVALO CALDERON JUAN CARLOS</v>
      </c>
      <c r="B791" s="100">
        <f>WEEKNUM(BD_ControlRegimen[[#This Row],[FECHA]],2)</f>
        <v>8</v>
      </c>
      <c r="C791" s="99">
        <v>44975</v>
      </c>
      <c r="D791" s="3" t="s">
        <v>70</v>
      </c>
      <c r="E791" s="101"/>
      <c r="F791" s="101"/>
    </row>
    <row r="792" spans="1:6" hidden="1" x14ac:dyDescent="0.3">
      <c r="A792" s="99" t="str">
        <f>BD_ControlRegimen[[#This Row],[FECHA]]&amp;BD_ControlRegimen[[#This Row],[NOMBRE]]</f>
        <v>44976AREVALO CALDERON JUAN CARLOS</v>
      </c>
      <c r="B792" s="100">
        <f>WEEKNUM(BD_ControlRegimen[[#This Row],[FECHA]],2)</f>
        <v>8</v>
      </c>
      <c r="C792" s="99">
        <v>44976</v>
      </c>
      <c r="D792" s="3" t="s">
        <v>70</v>
      </c>
      <c r="E792" s="101"/>
      <c r="F792" s="101"/>
    </row>
    <row r="793" spans="1:6" hidden="1" x14ac:dyDescent="0.3">
      <c r="A793" s="99" t="str">
        <f>BD_ControlRegimen[[#This Row],[FECHA]]&amp;BD_ControlRegimen[[#This Row],[NOMBRE]]</f>
        <v>44977AREVALO CALDERON JUAN CARLOS</v>
      </c>
      <c r="B793" s="100">
        <f>WEEKNUM(BD_ControlRegimen[[#This Row],[FECHA]],2)</f>
        <v>9</v>
      </c>
      <c r="C793" s="99">
        <v>44977</v>
      </c>
      <c r="D793" s="3" t="s">
        <v>70</v>
      </c>
      <c r="E793" s="101"/>
      <c r="F793" s="101"/>
    </row>
    <row r="794" spans="1:6" hidden="1" x14ac:dyDescent="0.3">
      <c r="A794" s="99" t="str">
        <f>BD_ControlRegimen[[#This Row],[FECHA]]&amp;BD_ControlRegimen[[#This Row],[NOMBRE]]</f>
        <v>44978AREVALO CALDERON JUAN CARLOS</v>
      </c>
      <c r="B794" s="100">
        <f>WEEKNUM(BD_ControlRegimen[[#This Row],[FECHA]],2)</f>
        <v>9</v>
      </c>
      <c r="C794" s="99">
        <v>44978</v>
      </c>
      <c r="D794" s="3" t="s">
        <v>70</v>
      </c>
      <c r="E794" s="101"/>
      <c r="F794" s="101"/>
    </row>
    <row r="795" spans="1:6" hidden="1" x14ac:dyDescent="0.3">
      <c r="A795" s="99" t="str">
        <f>BD_ControlRegimen[[#This Row],[FECHA]]&amp;BD_ControlRegimen[[#This Row],[NOMBRE]]</f>
        <v>44979AREVALO CALDERON JUAN CARLOS</v>
      </c>
      <c r="B795" s="100">
        <f>WEEKNUM(BD_ControlRegimen[[#This Row],[FECHA]],2)</f>
        <v>9</v>
      </c>
      <c r="C795" s="99">
        <v>44979</v>
      </c>
      <c r="D795" s="3" t="s">
        <v>70</v>
      </c>
      <c r="E795" s="101"/>
      <c r="F795" s="101"/>
    </row>
    <row r="796" spans="1:6" hidden="1" x14ac:dyDescent="0.3">
      <c r="A796" s="99" t="str">
        <f>BD_ControlRegimen[[#This Row],[FECHA]]&amp;BD_ControlRegimen[[#This Row],[NOMBRE]]</f>
        <v>44980AREVALO CALDERON JUAN CARLOS</v>
      </c>
      <c r="B796" s="100">
        <f>WEEKNUM(BD_ControlRegimen[[#This Row],[FECHA]],2)</f>
        <v>9</v>
      </c>
      <c r="C796" s="99">
        <v>44980</v>
      </c>
      <c r="D796" s="3" t="s">
        <v>70</v>
      </c>
      <c r="E796" s="101"/>
      <c r="F796" s="101"/>
    </row>
    <row r="797" spans="1:6" hidden="1" x14ac:dyDescent="0.3">
      <c r="A797" s="99" t="str">
        <f>BD_ControlRegimen[[#This Row],[FECHA]]&amp;BD_ControlRegimen[[#This Row],[NOMBRE]]</f>
        <v>44981AREVALO CALDERON JUAN CARLOS</v>
      </c>
      <c r="B797" s="100">
        <f>WEEKNUM(BD_ControlRegimen[[#This Row],[FECHA]],2)</f>
        <v>9</v>
      </c>
      <c r="C797" s="99">
        <v>44981</v>
      </c>
      <c r="D797" s="3" t="s">
        <v>70</v>
      </c>
      <c r="E797" s="101"/>
      <c r="F797" s="101"/>
    </row>
    <row r="798" spans="1:6" hidden="1" x14ac:dyDescent="0.3">
      <c r="A798" s="99" t="str">
        <f>BD_ControlRegimen[[#This Row],[FECHA]]&amp;BD_ControlRegimen[[#This Row],[NOMBRE]]</f>
        <v>44982AREVALO CALDERON JUAN CARLOS</v>
      </c>
      <c r="B798" s="100">
        <f>WEEKNUM(BD_ControlRegimen[[#This Row],[FECHA]],2)</f>
        <v>9</v>
      </c>
      <c r="C798" s="99">
        <v>44982</v>
      </c>
      <c r="D798" s="3" t="s">
        <v>70</v>
      </c>
      <c r="E798" s="101"/>
      <c r="F798" s="101"/>
    </row>
    <row r="799" spans="1:6" hidden="1" x14ac:dyDescent="0.3">
      <c r="A799" s="99" t="str">
        <f>BD_ControlRegimen[[#This Row],[FECHA]]&amp;BD_ControlRegimen[[#This Row],[NOMBRE]]</f>
        <v>44983AREVALO CALDERON JUAN CARLOS</v>
      </c>
      <c r="B799" s="100">
        <f>WEEKNUM(BD_ControlRegimen[[#This Row],[FECHA]],2)</f>
        <v>9</v>
      </c>
      <c r="C799" s="99">
        <v>44983</v>
      </c>
      <c r="D799" s="3" t="s">
        <v>70</v>
      </c>
      <c r="E799" s="101"/>
      <c r="F799" s="101"/>
    </row>
    <row r="800" spans="1:6" hidden="1" x14ac:dyDescent="0.3">
      <c r="A800" s="99" t="str">
        <f>BD_ControlRegimen[[#This Row],[FECHA]]&amp;BD_ControlRegimen[[#This Row],[NOMBRE]]</f>
        <v>44984AREVALO CALDERON JUAN CARLOS</v>
      </c>
      <c r="B800" s="100">
        <f>WEEKNUM(BD_ControlRegimen[[#This Row],[FECHA]],2)</f>
        <v>10</v>
      </c>
      <c r="C800" s="99">
        <v>44984</v>
      </c>
      <c r="D800" s="3" t="s">
        <v>70</v>
      </c>
      <c r="E800" s="101"/>
      <c r="F800" s="101"/>
    </row>
    <row r="801" spans="1:6" hidden="1" x14ac:dyDescent="0.3">
      <c r="A801" s="99" t="str">
        <f>BD_ControlRegimen[[#This Row],[FECHA]]&amp;BD_ControlRegimen[[#This Row],[NOMBRE]]</f>
        <v>44985AREVALO CALDERON JUAN CARLOS</v>
      </c>
      <c r="B801" s="100">
        <f>WEEKNUM(BD_ControlRegimen[[#This Row],[FECHA]],2)</f>
        <v>10</v>
      </c>
      <c r="C801" s="99">
        <v>44985</v>
      </c>
      <c r="D801" s="3" t="s">
        <v>70</v>
      </c>
      <c r="E801" s="101"/>
      <c r="F801" s="101"/>
    </row>
    <row r="802" spans="1:6" hidden="1" x14ac:dyDescent="0.3">
      <c r="A802" s="99" t="str">
        <f>BD_ControlRegimen[[#This Row],[FECHA]]&amp;BD_ControlRegimen[[#This Row],[NOMBRE]]</f>
        <v>44986AREVALO CALDERON JUAN CARLOS</v>
      </c>
      <c r="B802" s="100">
        <f>WEEKNUM(BD_ControlRegimen[[#This Row],[FECHA]],2)</f>
        <v>10</v>
      </c>
      <c r="C802" s="99">
        <v>44986</v>
      </c>
      <c r="D802" s="3" t="s">
        <v>70</v>
      </c>
      <c r="E802" s="101"/>
      <c r="F802" s="101"/>
    </row>
    <row r="803" spans="1:6" hidden="1" x14ac:dyDescent="0.3">
      <c r="A803" s="99" t="str">
        <f>BD_ControlRegimen[[#This Row],[FECHA]]&amp;BD_ControlRegimen[[#This Row],[NOMBRE]]</f>
        <v>44987AREVALO CALDERON JUAN CARLOS</v>
      </c>
      <c r="B803" s="100">
        <f>WEEKNUM(BD_ControlRegimen[[#This Row],[FECHA]],2)</f>
        <v>10</v>
      </c>
      <c r="C803" s="99">
        <v>44987</v>
      </c>
      <c r="D803" s="3" t="s">
        <v>70</v>
      </c>
      <c r="E803" s="101"/>
      <c r="F803" s="101"/>
    </row>
    <row r="804" spans="1:6" hidden="1" x14ac:dyDescent="0.3">
      <c r="A804" s="99" t="str">
        <f>BD_ControlRegimen[[#This Row],[FECHA]]&amp;BD_ControlRegimen[[#This Row],[NOMBRE]]</f>
        <v>44988AREVALO CALDERON JUAN CARLOS</v>
      </c>
      <c r="B804" s="100">
        <f>WEEKNUM(BD_ControlRegimen[[#This Row],[FECHA]],2)</f>
        <v>10</v>
      </c>
      <c r="C804" s="99">
        <v>44988</v>
      </c>
      <c r="D804" s="3" t="s">
        <v>70</v>
      </c>
      <c r="E804" s="101"/>
      <c r="F804" s="101"/>
    </row>
    <row r="805" spans="1:6" hidden="1" x14ac:dyDescent="0.3">
      <c r="A805" s="99" t="str">
        <f>BD_ControlRegimen[[#This Row],[FECHA]]&amp;BD_ControlRegimen[[#This Row],[NOMBRE]]</f>
        <v>44989AREVALO CALDERON JUAN CARLOS</v>
      </c>
      <c r="B805" s="100">
        <f>WEEKNUM(BD_ControlRegimen[[#This Row],[FECHA]],2)</f>
        <v>10</v>
      </c>
      <c r="C805" s="99">
        <v>44989</v>
      </c>
      <c r="D805" s="3" t="s">
        <v>70</v>
      </c>
      <c r="E805" s="101"/>
      <c r="F805" s="101"/>
    </row>
    <row r="806" spans="1:6" hidden="1" x14ac:dyDescent="0.3">
      <c r="A806" s="99" t="str">
        <f>BD_ControlRegimen[[#This Row],[FECHA]]&amp;BD_ControlRegimen[[#This Row],[NOMBRE]]</f>
        <v>44990AREVALO CALDERON JUAN CARLOS</v>
      </c>
      <c r="B806" s="100">
        <f>WEEKNUM(BD_ControlRegimen[[#This Row],[FECHA]],2)</f>
        <v>10</v>
      </c>
      <c r="C806" s="99">
        <v>44990</v>
      </c>
      <c r="D806" s="3" t="s">
        <v>70</v>
      </c>
      <c r="E806" s="101"/>
      <c r="F806" s="101"/>
    </row>
    <row r="807" spans="1:6" hidden="1" x14ac:dyDescent="0.3">
      <c r="A807" s="99" t="str">
        <f>BD_ControlRegimen[[#This Row],[FECHA]]&amp;BD_ControlRegimen[[#This Row],[NOMBRE]]</f>
        <v>44991AREVALO CALDERON JUAN CARLOS</v>
      </c>
      <c r="B807" s="100">
        <f>WEEKNUM(BD_ControlRegimen[[#This Row],[FECHA]],2)</f>
        <v>11</v>
      </c>
      <c r="C807" s="99">
        <v>44991</v>
      </c>
      <c r="D807" s="3" t="s">
        <v>70</v>
      </c>
      <c r="E807" s="101"/>
      <c r="F807" s="101"/>
    </row>
    <row r="808" spans="1:6" hidden="1" x14ac:dyDescent="0.3">
      <c r="A808" s="99" t="str">
        <f>BD_ControlRegimen[[#This Row],[FECHA]]&amp;BD_ControlRegimen[[#This Row],[NOMBRE]]</f>
        <v>44992AREVALO CALDERON JUAN CARLOS</v>
      </c>
      <c r="B808" s="100">
        <f>WEEKNUM(BD_ControlRegimen[[#This Row],[FECHA]],2)</f>
        <v>11</v>
      </c>
      <c r="C808" s="99">
        <v>44992</v>
      </c>
      <c r="D808" s="3" t="s">
        <v>70</v>
      </c>
      <c r="E808" s="101"/>
      <c r="F808" s="101"/>
    </row>
    <row r="809" spans="1:6" hidden="1" x14ac:dyDescent="0.3">
      <c r="A809" s="99" t="str">
        <f>BD_ControlRegimen[[#This Row],[FECHA]]&amp;BD_ControlRegimen[[#This Row],[NOMBRE]]</f>
        <v>44993AREVALO CALDERON JUAN CARLOS</v>
      </c>
      <c r="B809" s="100">
        <f>WEEKNUM(BD_ControlRegimen[[#This Row],[FECHA]],2)</f>
        <v>11</v>
      </c>
      <c r="C809" s="99">
        <v>44993</v>
      </c>
      <c r="D809" s="3" t="s">
        <v>70</v>
      </c>
      <c r="E809" s="101"/>
      <c r="F809" s="101"/>
    </row>
    <row r="810" spans="1:6" hidden="1" x14ac:dyDescent="0.3">
      <c r="A810" s="99" t="str">
        <f>BD_ControlRegimen[[#This Row],[FECHA]]&amp;BD_ControlRegimen[[#This Row],[NOMBRE]]</f>
        <v>44994AREVALO CALDERON JUAN CARLOS</v>
      </c>
      <c r="B810" s="100">
        <f>WEEKNUM(BD_ControlRegimen[[#This Row],[FECHA]],2)</f>
        <v>11</v>
      </c>
      <c r="C810" s="99">
        <v>44994</v>
      </c>
      <c r="D810" s="3" t="s">
        <v>70</v>
      </c>
      <c r="E810" s="101"/>
      <c r="F810" s="101"/>
    </row>
    <row r="811" spans="1:6" hidden="1" x14ac:dyDescent="0.3">
      <c r="A811" s="99" t="str">
        <f>BD_ControlRegimen[[#This Row],[FECHA]]&amp;BD_ControlRegimen[[#This Row],[NOMBRE]]</f>
        <v>44995AREVALO CALDERON JUAN CARLOS</v>
      </c>
      <c r="B811" s="100">
        <f>WEEKNUM(BD_ControlRegimen[[#This Row],[FECHA]],2)</f>
        <v>11</v>
      </c>
      <c r="C811" s="99">
        <v>44995</v>
      </c>
      <c r="D811" s="3" t="s">
        <v>70</v>
      </c>
      <c r="E811" s="101"/>
      <c r="F811" s="101"/>
    </row>
    <row r="812" spans="1:6" hidden="1" x14ac:dyDescent="0.3">
      <c r="A812" s="99" t="str">
        <f>BD_ControlRegimen[[#This Row],[FECHA]]&amp;BD_ControlRegimen[[#This Row],[NOMBRE]]</f>
        <v>44996AREVALO CALDERON JUAN CARLOS</v>
      </c>
      <c r="B812" s="100">
        <f>WEEKNUM(BD_ControlRegimen[[#This Row],[FECHA]],2)</f>
        <v>11</v>
      </c>
      <c r="C812" s="99">
        <v>44996</v>
      </c>
      <c r="D812" s="3" t="s">
        <v>70</v>
      </c>
      <c r="E812" s="101"/>
      <c r="F812" s="101"/>
    </row>
    <row r="813" spans="1:6" hidden="1" x14ac:dyDescent="0.3">
      <c r="A813" s="99" t="str">
        <f>BD_ControlRegimen[[#This Row],[FECHA]]&amp;BD_ControlRegimen[[#This Row],[NOMBRE]]</f>
        <v>44997AREVALO CALDERON JUAN CARLOS</v>
      </c>
      <c r="B813" s="100">
        <f>WEEKNUM(BD_ControlRegimen[[#This Row],[FECHA]],2)</f>
        <v>11</v>
      </c>
      <c r="C813" s="99">
        <v>44997</v>
      </c>
      <c r="D813" s="3" t="s">
        <v>70</v>
      </c>
      <c r="E813" s="101"/>
      <c r="F813" s="101"/>
    </row>
    <row r="814" spans="1:6" x14ac:dyDescent="0.3">
      <c r="A814" s="99" t="str">
        <f>BD_ControlRegimen[[#This Row],[FECHA]]&amp;BD_ControlRegimen[[#This Row],[NOMBRE]]</f>
        <v>44998AREVALO CALDERON JUAN CARLOS</v>
      </c>
      <c r="B814" s="100">
        <f>WEEKNUM(BD_ControlRegimen[[#This Row],[FECHA]],2)</f>
        <v>12</v>
      </c>
      <c r="C814" s="99">
        <v>44998</v>
      </c>
      <c r="D814" s="3" t="s">
        <v>70</v>
      </c>
      <c r="E814" s="3" t="s">
        <v>154</v>
      </c>
      <c r="F814" s="101"/>
    </row>
    <row r="815" spans="1:6" x14ac:dyDescent="0.3">
      <c r="A815" s="99" t="str">
        <f>BD_ControlRegimen[[#This Row],[FECHA]]&amp;BD_ControlRegimen[[#This Row],[NOMBRE]]</f>
        <v>44999AREVALO CALDERON JUAN CARLOS</v>
      </c>
      <c r="B815" s="100">
        <f>WEEKNUM(BD_ControlRegimen[[#This Row],[FECHA]],2)</f>
        <v>12</v>
      </c>
      <c r="C815" s="99">
        <v>44999</v>
      </c>
      <c r="D815" s="3" t="s">
        <v>70</v>
      </c>
      <c r="E815" s="3" t="s">
        <v>154</v>
      </c>
      <c r="F815" s="101"/>
    </row>
    <row r="816" spans="1:6" x14ac:dyDescent="0.3">
      <c r="A816" s="99" t="str">
        <f>BD_ControlRegimen[[#This Row],[FECHA]]&amp;BD_ControlRegimen[[#This Row],[NOMBRE]]</f>
        <v>45000AREVALO CALDERON JUAN CARLOS</v>
      </c>
      <c r="B816" s="100">
        <f>WEEKNUM(BD_ControlRegimen[[#This Row],[FECHA]],2)</f>
        <v>12</v>
      </c>
      <c r="C816" s="99">
        <v>45000</v>
      </c>
      <c r="D816" s="3" t="s">
        <v>70</v>
      </c>
      <c r="E816" s="3" t="s">
        <v>154</v>
      </c>
      <c r="F816" s="101"/>
    </row>
    <row r="817" spans="1:6" x14ac:dyDescent="0.3">
      <c r="A817" s="99" t="str">
        <f>BD_ControlRegimen[[#This Row],[FECHA]]&amp;BD_ControlRegimen[[#This Row],[NOMBRE]]</f>
        <v>45001AREVALO CALDERON JUAN CARLOS</v>
      </c>
      <c r="B817" s="100">
        <f>WEEKNUM(BD_ControlRegimen[[#This Row],[FECHA]],2)</f>
        <v>12</v>
      </c>
      <c r="C817" s="99">
        <v>45001</v>
      </c>
      <c r="D817" s="3" t="s">
        <v>70</v>
      </c>
      <c r="E817" s="3" t="s">
        <v>154</v>
      </c>
      <c r="F817" s="101"/>
    </row>
    <row r="818" spans="1:6" x14ac:dyDescent="0.3">
      <c r="A818" s="99" t="str">
        <f>BD_ControlRegimen[[#This Row],[FECHA]]&amp;BD_ControlRegimen[[#This Row],[NOMBRE]]</f>
        <v>45002AREVALO CALDERON JUAN CARLOS</v>
      </c>
      <c r="B818" s="100">
        <f>WEEKNUM(BD_ControlRegimen[[#This Row],[FECHA]],2)</f>
        <v>12</v>
      </c>
      <c r="C818" s="99">
        <v>45002</v>
      </c>
      <c r="D818" s="3" t="s">
        <v>70</v>
      </c>
      <c r="E818" s="3" t="s">
        <v>154</v>
      </c>
      <c r="F818" s="101"/>
    </row>
    <row r="819" spans="1:6" x14ac:dyDescent="0.3">
      <c r="A819" s="99" t="str">
        <f>BD_ControlRegimen[[#This Row],[FECHA]]&amp;BD_ControlRegimen[[#This Row],[NOMBRE]]</f>
        <v>45003AREVALO CALDERON JUAN CARLOS</v>
      </c>
      <c r="B819" s="100">
        <f>WEEKNUM(BD_ControlRegimen[[#This Row],[FECHA]],2)</f>
        <v>12</v>
      </c>
      <c r="C819" s="99">
        <v>45003</v>
      </c>
      <c r="D819" s="3" t="s">
        <v>70</v>
      </c>
      <c r="E819" s="3" t="s">
        <v>154</v>
      </c>
      <c r="F819" s="101"/>
    </row>
    <row r="820" spans="1:6" x14ac:dyDescent="0.3">
      <c r="A820" s="99" t="str">
        <f>BD_ControlRegimen[[#This Row],[FECHA]]&amp;BD_ControlRegimen[[#This Row],[NOMBRE]]</f>
        <v>45004AREVALO CALDERON JUAN CARLOS</v>
      </c>
      <c r="B820" s="100">
        <f>WEEKNUM(BD_ControlRegimen[[#This Row],[FECHA]],2)</f>
        <v>12</v>
      </c>
      <c r="C820" s="99">
        <v>45004</v>
      </c>
      <c r="D820" s="3" t="s">
        <v>70</v>
      </c>
      <c r="E820" s="3" t="s">
        <v>154</v>
      </c>
      <c r="F820" s="101"/>
    </row>
    <row r="821" spans="1:6" x14ac:dyDescent="0.3">
      <c r="A821" s="99" t="str">
        <f>BD_ControlRegimen[[#This Row],[FECHA]]&amp;BD_ControlRegimen[[#This Row],[NOMBRE]]</f>
        <v>45005AREVALO CALDERON JUAN CARLOS</v>
      </c>
      <c r="B821" s="100">
        <f>WEEKNUM(BD_ControlRegimen[[#This Row],[FECHA]],2)</f>
        <v>13</v>
      </c>
      <c r="C821" s="99">
        <v>45005</v>
      </c>
      <c r="D821" s="3" t="s">
        <v>70</v>
      </c>
      <c r="E821" s="3" t="s">
        <v>154</v>
      </c>
      <c r="F821" s="101"/>
    </row>
    <row r="822" spans="1:6" x14ac:dyDescent="0.3">
      <c r="A822" s="99" t="str">
        <f>BD_ControlRegimen[[#This Row],[FECHA]]&amp;BD_ControlRegimen[[#This Row],[NOMBRE]]</f>
        <v>45006AREVALO CALDERON JUAN CARLOS</v>
      </c>
      <c r="B822" s="100">
        <f>WEEKNUM(BD_ControlRegimen[[#This Row],[FECHA]],2)</f>
        <v>13</v>
      </c>
      <c r="C822" s="99">
        <v>45006</v>
      </c>
      <c r="D822" s="3" t="s">
        <v>70</v>
      </c>
      <c r="E822" s="3" t="s">
        <v>154</v>
      </c>
      <c r="F822" s="101"/>
    </row>
    <row r="823" spans="1:6" x14ac:dyDescent="0.3">
      <c r="A823" s="99" t="str">
        <f>BD_ControlRegimen[[#This Row],[FECHA]]&amp;BD_ControlRegimen[[#This Row],[NOMBRE]]</f>
        <v>45007AREVALO CALDERON JUAN CARLOS</v>
      </c>
      <c r="B823" s="100">
        <f>WEEKNUM(BD_ControlRegimen[[#This Row],[FECHA]],2)</f>
        <v>13</v>
      </c>
      <c r="C823" s="99">
        <v>45007</v>
      </c>
      <c r="D823" s="3" t="s">
        <v>70</v>
      </c>
      <c r="E823" s="3" t="s">
        <v>154</v>
      </c>
      <c r="F823" s="101"/>
    </row>
    <row r="824" spans="1:6" x14ac:dyDescent="0.3">
      <c r="A824" s="99" t="str">
        <f>BD_ControlRegimen[[#This Row],[FECHA]]&amp;BD_ControlRegimen[[#This Row],[NOMBRE]]</f>
        <v>45008AREVALO CALDERON JUAN CARLOS</v>
      </c>
      <c r="B824" s="100">
        <f>WEEKNUM(BD_ControlRegimen[[#This Row],[FECHA]],2)</f>
        <v>13</v>
      </c>
      <c r="C824" s="99">
        <v>45008</v>
      </c>
      <c r="D824" s="3" t="s">
        <v>70</v>
      </c>
      <c r="E824" s="3" t="s">
        <v>154</v>
      </c>
      <c r="F824" s="101"/>
    </row>
    <row r="825" spans="1:6" x14ac:dyDescent="0.3">
      <c r="A825" s="99" t="str">
        <f>BD_ControlRegimen[[#This Row],[FECHA]]&amp;BD_ControlRegimen[[#This Row],[NOMBRE]]</f>
        <v>45009AREVALO CALDERON JUAN CARLOS</v>
      </c>
      <c r="B825" s="100">
        <f>WEEKNUM(BD_ControlRegimen[[#This Row],[FECHA]],2)</f>
        <v>13</v>
      </c>
      <c r="C825" s="99">
        <v>45009</v>
      </c>
      <c r="D825" s="3" t="s">
        <v>70</v>
      </c>
      <c r="E825" s="3" t="s">
        <v>154</v>
      </c>
      <c r="F825" s="101"/>
    </row>
    <row r="826" spans="1:6" x14ac:dyDescent="0.3">
      <c r="A826" s="99" t="str">
        <f>BD_ControlRegimen[[#This Row],[FECHA]]&amp;BD_ControlRegimen[[#This Row],[NOMBRE]]</f>
        <v>45010AREVALO CALDERON JUAN CARLOS</v>
      </c>
      <c r="B826" s="100">
        <f>WEEKNUM(BD_ControlRegimen[[#This Row],[FECHA]],2)</f>
        <v>13</v>
      </c>
      <c r="C826" s="99">
        <v>45010</v>
      </c>
      <c r="D826" s="3" t="s">
        <v>70</v>
      </c>
      <c r="E826" s="3" t="s">
        <v>154</v>
      </c>
      <c r="F826" s="101"/>
    </row>
    <row r="827" spans="1:6" x14ac:dyDescent="0.3">
      <c r="A827" s="99" t="str">
        <f>BD_ControlRegimen[[#This Row],[FECHA]]&amp;BD_ControlRegimen[[#This Row],[NOMBRE]]</f>
        <v>45011AREVALO CALDERON JUAN CARLOS</v>
      </c>
      <c r="B827" s="100">
        <f>WEEKNUM(BD_ControlRegimen[[#This Row],[FECHA]],2)</f>
        <v>13</v>
      </c>
      <c r="C827" s="99">
        <v>45011</v>
      </c>
      <c r="D827" s="3" t="s">
        <v>70</v>
      </c>
      <c r="E827" s="3" t="s">
        <v>154</v>
      </c>
      <c r="F827" s="101"/>
    </row>
    <row r="828" spans="1:6" x14ac:dyDescent="0.3">
      <c r="A828" s="7" t="str">
        <f>BD_ControlRegimen[[#This Row],[FECHA]]&amp;BD_ControlRegimen[[#This Row],[NOMBRE]]</f>
        <v>45012AREVALO CALDERON JUAN CARLOS</v>
      </c>
      <c r="B828" s="83">
        <f>WEEKNUM(BD_ControlRegimen[[#This Row],[FECHA]],2)</f>
        <v>14</v>
      </c>
      <c r="C828" s="7">
        <v>45012</v>
      </c>
      <c r="D828" s="3" t="s">
        <v>70</v>
      </c>
      <c r="E828" s="3" t="s">
        <v>154</v>
      </c>
      <c r="F828" s="3"/>
    </row>
    <row r="829" spans="1:6" x14ac:dyDescent="0.3">
      <c r="A829" s="7" t="str">
        <f>BD_ControlRegimen[[#This Row],[FECHA]]&amp;BD_ControlRegimen[[#This Row],[NOMBRE]]</f>
        <v>45013AREVALO CALDERON JUAN CARLOS</v>
      </c>
      <c r="B829" s="83">
        <f>WEEKNUM(BD_ControlRegimen[[#This Row],[FECHA]],2)</f>
        <v>14</v>
      </c>
      <c r="C829" s="7">
        <v>45013</v>
      </c>
      <c r="D829" s="3" t="s">
        <v>70</v>
      </c>
      <c r="E829" s="3" t="s">
        <v>154</v>
      </c>
      <c r="F829" s="3"/>
    </row>
    <row r="830" spans="1:6" x14ac:dyDescent="0.3">
      <c r="A830" s="7" t="str">
        <f>BD_ControlRegimen[[#This Row],[FECHA]]&amp;BD_ControlRegimen[[#This Row],[NOMBRE]]</f>
        <v>45014AREVALO CALDERON JUAN CARLOS</v>
      </c>
      <c r="B830" s="83">
        <f>WEEKNUM(BD_ControlRegimen[[#This Row],[FECHA]],2)</f>
        <v>14</v>
      </c>
      <c r="C830" s="7">
        <v>45014</v>
      </c>
      <c r="D830" s="3" t="s">
        <v>70</v>
      </c>
      <c r="E830" s="3" t="s">
        <v>154</v>
      </c>
      <c r="F830" s="3"/>
    </row>
    <row r="831" spans="1:6" x14ac:dyDescent="0.3">
      <c r="A831" s="7" t="str">
        <f>BD_ControlRegimen[[#This Row],[FECHA]]&amp;BD_ControlRegimen[[#This Row],[NOMBRE]]</f>
        <v>45015AREVALO CALDERON JUAN CARLOS</v>
      </c>
      <c r="B831" s="83">
        <f>WEEKNUM(BD_ControlRegimen[[#This Row],[FECHA]],2)</f>
        <v>14</v>
      </c>
      <c r="C831" s="7">
        <v>45015</v>
      </c>
      <c r="D831" s="3" t="s">
        <v>70</v>
      </c>
      <c r="E831" s="3" t="s">
        <v>154</v>
      </c>
      <c r="F831" s="3"/>
    </row>
    <row r="832" spans="1:6" x14ac:dyDescent="0.3">
      <c r="A832" s="7" t="str">
        <f>BD_ControlRegimen[[#This Row],[FECHA]]&amp;BD_ControlRegimen[[#This Row],[NOMBRE]]</f>
        <v>45016AREVALO CALDERON JUAN CARLOS</v>
      </c>
      <c r="B832" s="83">
        <f>WEEKNUM(BD_ControlRegimen[[#This Row],[FECHA]],2)</f>
        <v>14</v>
      </c>
      <c r="C832" s="7">
        <v>45016</v>
      </c>
      <c r="D832" s="3" t="s">
        <v>70</v>
      </c>
      <c r="E832" s="3" t="s">
        <v>154</v>
      </c>
      <c r="F832" s="3"/>
    </row>
    <row r="833" spans="1:6" x14ac:dyDescent="0.3">
      <c r="A833" s="7" t="str">
        <f>BD_ControlRegimen[[#This Row],[FECHA]]&amp;BD_ControlRegimen[[#This Row],[NOMBRE]]</f>
        <v>45017AREVALO CALDERON JUAN CARLOS</v>
      </c>
      <c r="B833" s="83">
        <f>WEEKNUM(BD_ControlRegimen[[#This Row],[FECHA]],2)</f>
        <v>14</v>
      </c>
      <c r="C833" s="7">
        <v>45017</v>
      </c>
      <c r="D833" s="3" t="s">
        <v>70</v>
      </c>
      <c r="E833" s="3" t="s">
        <v>154</v>
      </c>
      <c r="F833" s="3"/>
    </row>
    <row r="834" spans="1:6" x14ac:dyDescent="0.3">
      <c r="A834" s="7" t="str">
        <f>BD_ControlRegimen[[#This Row],[FECHA]]&amp;BD_ControlRegimen[[#This Row],[NOMBRE]]</f>
        <v>45018AREVALO CALDERON JUAN CARLOS</v>
      </c>
      <c r="B834" s="83">
        <f>WEEKNUM(BD_ControlRegimen[[#This Row],[FECHA]],2)</f>
        <v>14</v>
      </c>
      <c r="C834" s="7">
        <v>45018</v>
      </c>
      <c r="D834" s="3" t="s">
        <v>70</v>
      </c>
      <c r="E834" s="3" t="s">
        <v>154</v>
      </c>
      <c r="F834" s="3"/>
    </row>
    <row r="835" spans="1:6" x14ac:dyDescent="0.3">
      <c r="A835" s="7" t="str">
        <f>BD_ControlRegimen[[#This Row],[FECHA]]&amp;BD_ControlRegimen[[#This Row],[NOMBRE]]</f>
        <v>45019AREVALO CALDERON JUAN CARLOS</v>
      </c>
      <c r="B835" s="83">
        <f>WEEKNUM(BD_ControlRegimen[[#This Row],[FECHA]],2)</f>
        <v>15</v>
      </c>
      <c r="C835" s="7">
        <v>45019</v>
      </c>
      <c r="D835" s="3" t="s">
        <v>70</v>
      </c>
      <c r="E835" s="3" t="s">
        <v>155</v>
      </c>
      <c r="F835" s="3" t="s">
        <v>172</v>
      </c>
    </row>
    <row r="836" spans="1:6" x14ac:dyDescent="0.3">
      <c r="A836" s="7" t="str">
        <f>BD_ControlRegimen[[#This Row],[FECHA]]&amp;BD_ControlRegimen[[#This Row],[NOMBRE]]</f>
        <v>45020AREVALO CALDERON JUAN CARLOS</v>
      </c>
      <c r="B836" s="83">
        <f>WEEKNUM(BD_ControlRegimen[[#This Row],[FECHA]],2)</f>
        <v>15</v>
      </c>
      <c r="C836" s="7">
        <v>45020</v>
      </c>
      <c r="D836" s="3" t="s">
        <v>70</v>
      </c>
      <c r="E836" s="3" t="s">
        <v>155</v>
      </c>
      <c r="F836" s="3" t="s">
        <v>172</v>
      </c>
    </row>
    <row r="837" spans="1:6" x14ac:dyDescent="0.3">
      <c r="A837" s="7" t="str">
        <f>BD_ControlRegimen[[#This Row],[FECHA]]&amp;BD_ControlRegimen[[#This Row],[NOMBRE]]</f>
        <v>45021AREVALO CALDERON JUAN CARLOS</v>
      </c>
      <c r="B837" s="83">
        <f>WEEKNUM(BD_ControlRegimen[[#This Row],[FECHA]],2)</f>
        <v>15</v>
      </c>
      <c r="C837" s="7">
        <v>45021</v>
      </c>
      <c r="D837" s="3" t="s">
        <v>70</v>
      </c>
      <c r="E837" s="3" t="s">
        <v>155</v>
      </c>
      <c r="F837" s="3" t="s">
        <v>172</v>
      </c>
    </row>
    <row r="838" spans="1:6" x14ac:dyDescent="0.3">
      <c r="A838" s="7" t="str">
        <f>BD_ControlRegimen[[#This Row],[FECHA]]&amp;BD_ControlRegimen[[#This Row],[NOMBRE]]</f>
        <v>45022AREVALO CALDERON JUAN CARLOS</v>
      </c>
      <c r="B838" s="83">
        <f>WEEKNUM(BD_ControlRegimen[[#This Row],[FECHA]],2)</f>
        <v>15</v>
      </c>
      <c r="C838" s="7">
        <v>45022</v>
      </c>
      <c r="D838" s="3" t="s">
        <v>70</v>
      </c>
      <c r="E838" s="3" t="s">
        <v>155</v>
      </c>
      <c r="F838" s="3" t="s">
        <v>172</v>
      </c>
    </row>
    <row r="839" spans="1:6" x14ac:dyDescent="0.3">
      <c r="A839" s="7" t="str">
        <f>BD_ControlRegimen[[#This Row],[FECHA]]&amp;BD_ControlRegimen[[#This Row],[NOMBRE]]</f>
        <v>45023AREVALO CALDERON JUAN CARLOS</v>
      </c>
      <c r="B839" s="83">
        <f>WEEKNUM(BD_ControlRegimen[[#This Row],[FECHA]],2)</f>
        <v>15</v>
      </c>
      <c r="C839" s="7">
        <v>45023</v>
      </c>
      <c r="D839" s="3" t="s">
        <v>70</v>
      </c>
      <c r="E839" s="3" t="s">
        <v>155</v>
      </c>
      <c r="F839" s="101"/>
    </row>
    <row r="840" spans="1:6" x14ac:dyDescent="0.3">
      <c r="A840" s="7" t="str">
        <f>BD_ControlRegimen[[#This Row],[FECHA]]&amp;BD_ControlRegimen[[#This Row],[NOMBRE]]</f>
        <v>45024AREVALO CALDERON JUAN CARLOS</v>
      </c>
      <c r="B840" s="83">
        <f>WEEKNUM(BD_ControlRegimen[[#This Row],[FECHA]],2)</f>
        <v>15</v>
      </c>
      <c r="C840" s="7">
        <v>45024</v>
      </c>
      <c r="D840" s="3" t="s">
        <v>70</v>
      </c>
      <c r="E840" s="3" t="s">
        <v>155</v>
      </c>
      <c r="F840" s="101"/>
    </row>
    <row r="841" spans="1:6" x14ac:dyDescent="0.3">
      <c r="A841" s="7" t="str">
        <f>BD_ControlRegimen[[#This Row],[FECHA]]&amp;BD_ControlRegimen[[#This Row],[NOMBRE]]</f>
        <v>45025AREVALO CALDERON JUAN CARLOS</v>
      </c>
      <c r="B841" s="83">
        <f>WEEKNUM(BD_ControlRegimen[[#This Row],[FECHA]],2)</f>
        <v>15</v>
      </c>
      <c r="C841" s="7">
        <v>45025</v>
      </c>
      <c r="D841" s="3" t="s">
        <v>70</v>
      </c>
      <c r="E841" s="3" t="s">
        <v>155</v>
      </c>
      <c r="F841" s="101"/>
    </row>
    <row r="842" spans="1:6" x14ac:dyDescent="0.3">
      <c r="A842" s="7" t="str">
        <f>BD_ControlRegimen[[#This Row],[FECHA]]&amp;BD_ControlRegimen[[#This Row],[NOMBRE]]</f>
        <v>45026AREVALO CALDERON JUAN CARLOS</v>
      </c>
      <c r="B842" s="83">
        <f>WEEKNUM(BD_ControlRegimen[[#This Row],[FECHA]],2)</f>
        <v>16</v>
      </c>
      <c r="C842" s="7">
        <v>45026</v>
      </c>
      <c r="D842" s="3" t="s">
        <v>70</v>
      </c>
      <c r="E842" s="3" t="s">
        <v>154</v>
      </c>
      <c r="F842" s="3"/>
    </row>
    <row r="843" spans="1:6" x14ac:dyDescent="0.3">
      <c r="A843" s="7" t="str">
        <f>BD_ControlRegimen[[#This Row],[FECHA]]&amp;BD_ControlRegimen[[#This Row],[NOMBRE]]</f>
        <v>45027AREVALO CALDERON JUAN CARLOS</v>
      </c>
      <c r="B843" s="83">
        <f>WEEKNUM(BD_ControlRegimen[[#This Row],[FECHA]],2)</f>
        <v>16</v>
      </c>
      <c r="C843" s="7">
        <v>45027</v>
      </c>
      <c r="D843" s="3" t="s">
        <v>70</v>
      </c>
      <c r="E843" s="3" t="s">
        <v>154</v>
      </c>
      <c r="F843" s="3"/>
    </row>
    <row r="844" spans="1:6" x14ac:dyDescent="0.3">
      <c r="A844" s="7" t="str">
        <f>BD_ControlRegimen[[#This Row],[FECHA]]&amp;BD_ControlRegimen[[#This Row],[NOMBRE]]</f>
        <v>45028AREVALO CALDERON JUAN CARLOS</v>
      </c>
      <c r="B844" s="83">
        <f>WEEKNUM(BD_ControlRegimen[[#This Row],[FECHA]],2)</f>
        <v>16</v>
      </c>
      <c r="C844" s="7">
        <v>45028</v>
      </c>
      <c r="D844" s="3" t="s">
        <v>70</v>
      </c>
      <c r="E844" s="3" t="s">
        <v>154</v>
      </c>
      <c r="F844" s="3"/>
    </row>
    <row r="845" spans="1:6" x14ac:dyDescent="0.3">
      <c r="A845" s="7" t="str">
        <f>BD_ControlRegimen[[#This Row],[FECHA]]&amp;BD_ControlRegimen[[#This Row],[NOMBRE]]</f>
        <v>45029AREVALO CALDERON JUAN CARLOS</v>
      </c>
      <c r="B845" s="83">
        <f>WEEKNUM(BD_ControlRegimen[[#This Row],[FECHA]],2)</f>
        <v>16</v>
      </c>
      <c r="C845" s="7">
        <v>45029</v>
      </c>
      <c r="D845" s="3" t="s">
        <v>70</v>
      </c>
      <c r="E845" s="3" t="s">
        <v>154</v>
      </c>
      <c r="F845" s="3"/>
    </row>
    <row r="846" spans="1:6" x14ac:dyDescent="0.3">
      <c r="A846" s="7" t="str">
        <f>BD_ControlRegimen[[#This Row],[FECHA]]&amp;BD_ControlRegimen[[#This Row],[NOMBRE]]</f>
        <v>45030AREVALO CALDERON JUAN CARLOS</v>
      </c>
      <c r="B846" s="83">
        <f>WEEKNUM(BD_ControlRegimen[[#This Row],[FECHA]],2)</f>
        <v>16</v>
      </c>
      <c r="C846" s="7">
        <v>45030</v>
      </c>
      <c r="D846" s="3" t="s">
        <v>70</v>
      </c>
      <c r="E846" s="3" t="s">
        <v>154</v>
      </c>
      <c r="F846" s="3"/>
    </row>
    <row r="847" spans="1:6" x14ac:dyDescent="0.3">
      <c r="A847" s="7" t="str">
        <f>BD_ControlRegimen[[#This Row],[FECHA]]&amp;BD_ControlRegimen[[#This Row],[NOMBRE]]</f>
        <v>45031AREVALO CALDERON JUAN CARLOS</v>
      </c>
      <c r="B847" s="83">
        <f>WEEKNUM(BD_ControlRegimen[[#This Row],[FECHA]],2)</f>
        <v>16</v>
      </c>
      <c r="C847" s="7">
        <v>45031</v>
      </c>
      <c r="D847" s="3" t="s">
        <v>70</v>
      </c>
      <c r="E847" s="3" t="s">
        <v>154</v>
      </c>
      <c r="F847" s="3"/>
    </row>
    <row r="848" spans="1:6" x14ac:dyDescent="0.3">
      <c r="A848" s="7" t="str">
        <f>BD_ControlRegimen[[#This Row],[FECHA]]&amp;BD_ControlRegimen[[#This Row],[NOMBRE]]</f>
        <v>45032AREVALO CALDERON JUAN CARLOS</v>
      </c>
      <c r="B848" s="83">
        <f>WEEKNUM(BD_ControlRegimen[[#This Row],[FECHA]],2)</f>
        <v>16</v>
      </c>
      <c r="C848" s="7">
        <v>45032</v>
      </c>
      <c r="D848" s="3" t="s">
        <v>70</v>
      </c>
      <c r="E848" s="3" t="s">
        <v>154</v>
      </c>
      <c r="F848" s="3"/>
    </row>
    <row r="849" spans="1:6" x14ac:dyDescent="0.3">
      <c r="A849" s="7" t="str">
        <f>BD_ControlRegimen[[#This Row],[FECHA]]&amp;BD_ControlRegimen[[#This Row],[NOMBRE]]</f>
        <v>45033AREVALO CALDERON JUAN CARLOS</v>
      </c>
      <c r="B849" s="83">
        <f>WEEKNUM(BD_ControlRegimen[[#This Row],[FECHA]],2)</f>
        <v>17</v>
      </c>
      <c r="C849" s="7">
        <v>45033</v>
      </c>
      <c r="D849" s="3" t="s">
        <v>70</v>
      </c>
      <c r="E849" s="3" t="s">
        <v>154</v>
      </c>
      <c r="F849" s="3"/>
    </row>
    <row r="850" spans="1:6" x14ac:dyDescent="0.3">
      <c r="A850" s="7" t="str">
        <f>BD_ControlRegimen[[#This Row],[FECHA]]&amp;BD_ControlRegimen[[#This Row],[NOMBRE]]</f>
        <v>45034AREVALO CALDERON JUAN CARLOS</v>
      </c>
      <c r="B850" s="83">
        <f>WEEKNUM(BD_ControlRegimen[[#This Row],[FECHA]],2)</f>
        <v>17</v>
      </c>
      <c r="C850" s="7">
        <v>45034</v>
      </c>
      <c r="D850" s="3" t="s">
        <v>70</v>
      </c>
      <c r="E850" s="3" t="s">
        <v>154</v>
      </c>
      <c r="F850" s="3"/>
    </row>
    <row r="851" spans="1:6" x14ac:dyDescent="0.3">
      <c r="A851" s="7" t="str">
        <f>BD_ControlRegimen[[#This Row],[FECHA]]&amp;BD_ControlRegimen[[#This Row],[NOMBRE]]</f>
        <v>45035AREVALO CALDERON JUAN CARLOS</v>
      </c>
      <c r="B851" s="83">
        <f>WEEKNUM(BD_ControlRegimen[[#This Row],[FECHA]],2)</f>
        <v>17</v>
      </c>
      <c r="C851" s="7">
        <v>45035</v>
      </c>
      <c r="D851" s="3" t="s">
        <v>70</v>
      </c>
      <c r="E851" s="3" t="s">
        <v>154</v>
      </c>
      <c r="F851" s="3"/>
    </row>
    <row r="852" spans="1:6" x14ac:dyDescent="0.3">
      <c r="A852" s="7" t="str">
        <f>BD_ControlRegimen[[#This Row],[FECHA]]&amp;BD_ControlRegimen[[#This Row],[NOMBRE]]</f>
        <v>45036AREVALO CALDERON JUAN CARLOS</v>
      </c>
      <c r="B852" s="83">
        <f>WEEKNUM(BD_ControlRegimen[[#This Row],[FECHA]],2)</f>
        <v>17</v>
      </c>
      <c r="C852" s="7">
        <v>45036</v>
      </c>
      <c r="D852" s="3" t="s">
        <v>70</v>
      </c>
      <c r="E852" s="3" t="s">
        <v>154</v>
      </c>
      <c r="F852" s="3"/>
    </row>
    <row r="853" spans="1:6" x14ac:dyDescent="0.3">
      <c r="A853" s="7" t="str">
        <f>BD_ControlRegimen[[#This Row],[FECHA]]&amp;BD_ControlRegimen[[#This Row],[NOMBRE]]</f>
        <v>45037AREVALO CALDERON JUAN CARLOS</v>
      </c>
      <c r="B853" s="83">
        <f>WEEKNUM(BD_ControlRegimen[[#This Row],[FECHA]],2)</f>
        <v>17</v>
      </c>
      <c r="C853" s="7">
        <v>45037</v>
      </c>
      <c r="D853" s="3" t="s">
        <v>70</v>
      </c>
      <c r="E853" s="3" t="s">
        <v>154</v>
      </c>
      <c r="F853" s="3"/>
    </row>
    <row r="854" spans="1:6" x14ac:dyDescent="0.3">
      <c r="A854" s="7" t="str">
        <f>BD_ControlRegimen[[#This Row],[FECHA]]&amp;BD_ControlRegimen[[#This Row],[NOMBRE]]</f>
        <v>45038AREVALO CALDERON JUAN CARLOS</v>
      </c>
      <c r="B854" s="83">
        <f>WEEKNUM(BD_ControlRegimen[[#This Row],[FECHA]],2)</f>
        <v>17</v>
      </c>
      <c r="C854" s="7">
        <v>45038</v>
      </c>
      <c r="D854" s="3" t="s">
        <v>70</v>
      </c>
      <c r="E854" s="3" t="s">
        <v>154</v>
      </c>
      <c r="F854" s="3"/>
    </row>
    <row r="855" spans="1:6" x14ac:dyDescent="0.3">
      <c r="A855" s="7" t="str">
        <f>BD_ControlRegimen[[#This Row],[FECHA]]&amp;BD_ControlRegimen[[#This Row],[NOMBRE]]</f>
        <v>45039AREVALO CALDERON JUAN CARLOS</v>
      </c>
      <c r="B855" s="83">
        <f>WEEKNUM(BD_ControlRegimen[[#This Row],[FECHA]],2)</f>
        <v>17</v>
      </c>
      <c r="C855" s="7">
        <v>45039</v>
      </c>
      <c r="D855" s="3" t="s">
        <v>70</v>
      </c>
      <c r="E855" s="3" t="s">
        <v>154</v>
      </c>
      <c r="F855" s="3"/>
    </row>
    <row r="856" spans="1:6" x14ac:dyDescent="0.3">
      <c r="A856" s="7" t="str">
        <f>BD_ControlRegimen[[#This Row],[FECHA]]&amp;BD_ControlRegimen[[#This Row],[NOMBRE]]</f>
        <v>45040AREVALO CALDERON JUAN CARLOS</v>
      </c>
      <c r="B856" s="83">
        <f>WEEKNUM(BD_ControlRegimen[[#This Row],[FECHA]],2)</f>
        <v>18</v>
      </c>
      <c r="C856" s="7">
        <v>45040</v>
      </c>
      <c r="D856" s="3" t="s">
        <v>70</v>
      </c>
      <c r="E856" s="3" t="s">
        <v>154</v>
      </c>
      <c r="F856" s="3"/>
    </row>
    <row r="857" spans="1:6" x14ac:dyDescent="0.3">
      <c r="A857" s="7" t="str">
        <f>BD_ControlRegimen[[#This Row],[FECHA]]&amp;BD_ControlRegimen[[#This Row],[NOMBRE]]</f>
        <v>45041AREVALO CALDERON JUAN CARLOS</v>
      </c>
      <c r="B857" s="83">
        <f>WEEKNUM(BD_ControlRegimen[[#This Row],[FECHA]],2)</f>
        <v>18</v>
      </c>
      <c r="C857" s="7">
        <v>45041</v>
      </c>
      <c r="D857" s="3" t="s">
        <v>70</v>
      </c>
      <c r="E857" s="3" t="s">
        <v>154</v>
      </c>
      <c r="F857" s="3"/>
    </row>
    <row r="858" spans="1:6" x14ac:dyDescent="0.3">
      <c r="A858" s="7" t="str">
        <f>BD_ControlRegimen[[#This Row],[FECHA]]&amp;BD_ControlRegimen[[#This Row],[NOMBRE]]</f>
        <v>45042AREVALO CALDERON JUAN CARLOS</v>
      </c>
      <c r="B858" s="83">
        <f>WEEKNUM(BD_ControlRegimen[[#This Row],[FECHA]],2)</f>
        <v>18</v>
      </c>
      <c r="C858" s="7">
        <v>45042</v>
      </c>
      <c r="D858" s="3" t="s">
        <v>70</v>
      </c>
      <c r="E858" s="3" t="s">
        <v>154</v>
      </c>
      <c r="F858" s="3"/>
    </row>
    <row r="859" spans="1:6" x14ac:dyDescent="0.3">
      <c r="A859" s="7" t="str">
        <f>BD_ControlRegimen[[#This Row],[FECHA]]&amp;BD_ControlRegimen[[#This Row],[NOMBRE]]</f>
        <v>45043AREVALO CALDERON JUAN CARLOS</v>
      </c>
      <c r="B859" s="83">
        <f>WEEKNUM(BD_ControlRegimen[[#This Row],[FECHA]],2)</f>
        <v>18</v>
      </c>
      <c r="C859" s="7">
        <v>45043</v>
      </c>
      <c r="D859" s="3" t="s">
        <v>70</v>
      </c>
      <c r="E859" s="3" t="s">
        <v>154</v>
      </c>
      <c r="F859" s="3"/>
    </row>
    <row r="860" spans="1:6" x14ac:dyDescent="0.3">
      <c r="A860" s="7" t="str">
        <f>BD_ControlRegimen[[#This Row],[FECHA]]&amp;BD_ControlRegimen[[#This Row],[NOMBRE]]</f>
        <v>45044AREVALO CALDERON JUAN CARLOS</v>
      </c>
      <c r="B860" s="83">
        <f>WEEKNUM(BD_ControlRegimen[[#This Row],[FECHA]],2)</f>
        <v>18</v>
      </c>
      <c r="C860" s="7">
        <v>45044</v>
      </c>
      <c r="D860" s="3" t="s">
        <v>70</v>
      </c>
      <c r="E860" s="3" t="s">
        <v>154</v>
      </c>
      <c r="F860" s="3"/>
    </row>
    <row r="861" spans="1:6" x14ac:dyDescent="0.3">
      <c r="A861" s="7" t="str">
        <f>BD_ControlRegimen[[#This Row],[FECHA]]&amp;BD_ControlRegimen[[#This Row],[NOMBRE]]</f>
        <v>45045AREVALO CALDERON JUAN CARLOS</v>
      </c>
      <c r="B861" s="83">
        <f>WEEKNUM(BD_ControlRegimen[[#This Row],[FECHA]],2)</f>
        <v>18</v>
      </c>
      <c r="C861" s="7">
        <v>45045</v>
      </c>
      <c r="D861" s="3" t="s">
        <v>70</v>
      </c>
      <c r="E861" s="3" t="s">
        <v>154</v>
      </c>
      <c r="F861" s="3"/>
    </row>
    <row r="862" spans="1:6" x14ac:dyDescent="0.3">
      <c r="A862" s="7" t="str">
        <f>BD_ControlRegimen[[#This Row],[FECHA]]&amp;BD_ControlRegimen[[#This Row],[NOMBRE]]</f>
        <v>45046AREVALO CALDERON JUAN CARLOS</v>
      </c>
      <c r="B862" s="83">
        <f>WEEKNUM(BD_ControlRegimen[[#This Row],[FECHA]],2)</f>
        <v>18</v>
      </c>
      <c r="C862" s="7">
        <v>45046</v>
      </c>
      <c r="D862" s="3" t="s">
        <v>70</v>
      </c>
      <c r="E862" s="3" t="s">
        <v>154</v>
      </c>
      <c r="F862" s="3"/>
    </row>
    <row r="863" spans="1:6" x14ac:dyDescent="0.3">
      <c r="A863" s="7" t="str">
        <f>BD_ControlRegimen[[#This Row],[FECHA]]&amp;BD_ControlRegimen[[#This Row],[NOMBRE]]</f>
        <v>45047AREVALO CALDERON JUAN CARLOS</v>
      </c>
      <c r="B863" s="83">
        <f>WEEKNUM(BD_ControlRegimen[[#This Row],[FECHA]],2)</f>
        <v>19</v>
      </c>
      <c r="C863" s="7">
        <v>45047</v>
      </c>
      <c r="D863" s="3" t="s">
        <v>70</v>
      </c>
      <c r="E863" s="3" t="s">
        <v>155</v>
      </c>
      <c r="F863" s="3"/>
    </row>
    <row r="864" spans="1:6" x14ac:dyDescent="0.3">
      <c r="A864" s="7" t="str">
        <f>BD_ControlRegimen[[#This Row],[FECHA]]&amp;BD_ControlRegimen[[#This Row],[NOMBRE]]</f>
        <v>45048AREVALO CALDERON JUAN CARLOS</v>
      </c>
      <c r="B864" s="83">
        <f>WEEKNUM(BD_ControlRegimen[[#This Row],[FECHA]],2)</f>
        <v>19</v>
      </c>
      <c r="C864" s="7">
        <v>45048</v>
      </c>
      <c r="D864" s="3" t="s">
        <v>70</v>
      </c>
      <c r="E864" s="3" t="s">
        <v>155</v>
      </c>
      <c r="F864" s="3"/>
    </row>
    <row r="865" spans="1:6" x14ac:dyDescent="0.3">
      <c r="A865" s="7" t="str">
        <f>BD_ControlRegimen[[#This Row],[FECHA]]&amp;BD_ControlRegimen[[#This Row],[NOMBRE]]</f>
        <v>45049AREVALO CALDERON JUAN CARLOS</v>
      </c>
      <c r="B865" s="83">
        <f>WEEKNUM(BD_ControlRegimen[[#This Row],[FECHA]],2)</f>
        <v>19</v>
      </c>
      <c r="C865" s="7">
        <v>45049</v>
      </c>
      <c r="D865" s="3" t="s">
        <v>70</v>
      </c>
      <c r="E865" s="3" t="s">
        <v>155</v>
      </c>
      <c r="F865" s="3"/>
    </row>
    <row r="866" spans="1:6" x14ac:dyDescent="0.3">
      <c r="A866" s="7" t="str">
        <f>BD_ControlRegimen[[#This Row],[FECHA]]&amp;BD_ControlRegimen[[#This Row],[NOMBRE]]</f>
        <v>45050AREVALO CALDERON JUAN CARLOS</v>
      </c>
      <c r="B866" s="83">
        <f>WEEKNUM(BD_ControlRegimen[[#This Row],[FECHA]],2)</f>
        <v>19</v>
      </c>
      <c r="C866" s="7">
        <v>45050</v>
      </c>
      <c r="D866" s="3" t="s">
        <v>70</v>
      </c>
      <c r="E866" s="3" t="s">
        <v>155</v>
      </c>
      <c r="F866" s="3"/>
    </row>
    <row r="867" spans="1:6" x14ac:dyDescent="0.3">
      <c r="A867" s="7" t="str">
        <f>BD_ControlRegimen[[#This Row],[FECHA]]&amp;BD_ControlRegimen[[#This Row],[NOMBRE]]</f>
        <v>45051AREVALO CALDERON JUAN CARLOS</v>
      </c>
      <c r="B867" s="83">
        <f>WEEKNUM(BD_ControlRegimen[[#This Row],[FECHA]],2)</f>
        <v>19</v>
      </c>
      <c r="C867" s="7">
        <v>45051</v>
      </c>
      <c r="D867" s="3" t="s">
        <v>70</v>
      </c>
      <c r="E867" s="3" t="s">
        <v>155</v>
      </c>
      <c r="F867" s="3"/>
    </row>
    <row r="868" spans="1:6" x14ac:dyDescent="0.3">
      <c r="A868" s="7" t="str">
        <f>BD_ControlRegimen[[#This Row],[FECHA]]&amp;BD_ControlRegimen[[#This Row],[NOMBRE]]</f>
        <v>45052AREVALO CALDERON JUAN CARLOS</v>
      </c>
      <c r="B868" s="83">
        <f>WEEKNUM(BD_ControlRegimen[[#This Row],[FECHA]],2)</f>
        <v>19</v>
      </c>
      <c r="C868" s="7">
        <v>45052</v>
      </c>
      <c r="D868" s="3" t="s">
        <v>70</v>
      </c>
      <c r="E868" s="3" t="s">
        <v>155</v>
      </c>
      <c r="F868" s="3"/>
    </row>
    <row r="869" spans="1:6" x14ac:dyDescent="0.3">
      <c r="A869" s="7" t="str">
        <f>BD_ControlRegimen[[#This Row],[FECHA]]&amp;BD_ControlRegimen[[#This Row],[NOMBRE]]</f>
        <v>45053AREVALO CALDERON JUAN CARLOS</v>
      </c>
      <c r="B869" s="83">
        <f>WEEKNUM(BD_ControlRegimen[[#This Row],[FECHA]],2)</f>
        <v>19</v>
      </c>
      <c r="C869" s="7">
        <v>45053</v>
      </c>
      <c r="D869" s="3" t="s">
        <v>70</v>
      </c>
      <c r="E869" s="3" t="s">
        <v>155</v>
      </c>
      <c r="F869" s="3"/>
    </row>
    <row r="870" spans="1:6" hidden="1" x14ac:dyDescent="0.3">
      <c r="A870" s="7" t="str">
        <f>BD_ControlRegimen[[#This Row],[FECHA]]&amp;BD_ControlRegimen[[#This Row],[NOMBRE]]</f>
        <v>45054AREVALO CALDERON JUAN CARLOS</v>
      </c>
      <c r="B870" s="83">
        <f>WEEKNUM(BD_ControlRegimen[[#This Row],[FECHA]],2)</f>
        <v>20</v>
      </c>
      <c r="C870" s="7">
        <v>45054</v>
      </c>
      <c r="D870" s="3" t="s">
        <v>70</v>
      </c>
      <c r="E870" s="3"/>
      <c r="F870" s="3"/>
    </row>
    <row r="871" spans="1:6" hidden="1" x14ac:dyDescent="0.3">
      <c r="A871" s="7" t="str">
        <f>BD_ControlRegimen[[#This Row],[FECHA]]&amp;BD_ControlRegimen[[#This Row],[NOMBRE]]</f>
        <v>45055AREVALO CALDERON JUAN CARLOS</v>
      </c>
      <c r="B871" s="83">
        <f>WEEKNUM(BD_ControlRegimen[[#This Row],[FECHA]],2)</f>
        <v>20</v>
      </c>
      <c r="C871" s="7">
        <v>45055</v>
      </c>
      <c r="D871" s="3" t="s">
        <v>70</v>
      </c>
      <c r="E871" s="3"/>
      <c r="F871" s="3"/>
    </row>
    <row r="872" spans="1:6" hidden="1" x14ac:dyDescent="0.3">
      <c r="A872" s="7" t="str">
        <f>BD_ControlRegimen[[#This Row],[FECHA]]&amp;BD_ControlRegimen[[#This Row],[NOMBRE]]</f>
        <v>45056AREVALO CALDERON JUAN CARLOS</v>
      </c>
      <c r="B872" s="83">
        <f>WEEKNUM(BD_ControlRegimen[[#This Row],[FECHA]],2)</f>
        <v>20</v>
      </c>
      <c r="C872" s="7">
        <v>45056</v>
      </c>
      <c r="D872" s="3" t="s">
        <v>70</v>
      </c>
      <c r="E872" s="3"/>
      <c r="F872" s="3"/>
    </row>
    <row r="873" spans="1:6" hidden="1" x14ac:dyDescent="0.3">
      <c r="A873" s="7" t="str">
        <f>BD_ControlRegimen[[#This Row],[FECHA]]&amp;BD_ControlRegimen[[#This Row],[NOMBRE]]</f>
        <v>45057AREVALO CALDERON JUAN CARLOS</v>
      </c>
      <c r="B873" s="83">
        <f>WEEKNUM(BD_ControlRegimen[[#This Row],[FECHA]],2)</f>
        <v>20</v>
      </c>
      <c r="C873" s="7">
        <v>45057</v>
      </c>
      <c r="D873" s="3" t="s">
        <v>70</v>
      </c>
      <c r="E873" s="3"/>
      <c r="F873" s="3"/>
    </row>
    <row r="874" spans="1:6" hidden="1" x14ac:dyDescent="0.3">
      <c r="A874" s="7" t="str">
        <f>BD_ControlRegimen[[#This Row],[FECHA]]&amp;BD_ControlRegimen[[#This Row],[NOMBRE]]</f>
        <v>45058AREVALO CALDERON JUAN CARLOS</v>
      </c>
      <c r="B874" s="83">
        <f>WEEKNUM(BD_ControlRegimen[[#This Row],[FECHA]],2)</f>
        <v>20</v>
      </c>
      <c r="C874" s="7">
        <v>45058</v>
      </c>
      <c r="D874" s="3" t="s">
        <v>70</v>
      </c>
      <c r="E874" s="3"/>
      <c r="F874" s="3"/>
    </row>
    <row r="875" spans="1:6" hidden="1" x14ac:dyDescent="0.3">
      <c r="A875" s="7" t="str">
        <f>BD_ControlRegimen[[#This Row],[FECHA]]&amp;BD_ControlRegimen[[#This Row],[NOMBRE]]</f>
        <v>45059AREVALO CALDERON JUAN CARLOS</v>
      </c>
      <c r="B875" s="83">
        <f>WEEKNUM(BD_ControlRegimen[[#This Row],[FECHA]],2)</f>
        <v>20</v>
      </c>
      <c r="C875" s="7">
        <v>45059</v>
      </c>
      <c r="D875" s="3" t="s">
        <v>70</v>
      </c>
      <c r="E875" s="3"/>
      <c r="F875" s="3"/>
    </row>
    <row r="876" spans="1:6" hidden="1" x14ac:dyDescent="0.3">
      <c r="A876" s="7" t="str">
        <f>BD_ControlRegimen[[#This Row],[FECHA]]&amp;BD_ControlRegimen[[#This Row],[NOMBRE]]</f>
        <v>45060AREVALO CALDERON JUAN CARLOS</v>
      </c>
      <c r="B876" s="83">
        <f>WEEKNUM(BD_ControlRegimen[[#This Row],[FECHA]],2)</f>
        <v>20</v>
      </c>
      <c r="C876" s="7">
        <v>45060</v>
      </c>
      <c r="D876" s="3" t="s">
        <v>70</v>
      </c>
      <c r="E876" s="3"/>
      <c r="F876" s="3"/>
    </row>
    <row r="877" spans="1:6" hidden="1" x14ac:dyDescent="0.3">
      <c r="A877" s="7" t="str">
        <f>BD_ControlRegimen[[#This Row],[FECHA]]&amp;BD_ControlRegimen[[#This Row],[NOMBRE]]</f>
        <v>45061AREVALO CALDERON JUAN CARLOS</v>
      </c>
      <c r="B877" s="83">
        <f>WEEKNUM(BD_ControlRegimen[[#This Row],[FECHA]],2)</f>
        <v>21</v>
      </c>
      <c r="C877" s="7">
        <v>45061</v>
      </c>
      <c r="D877" s="3" t="s">
        <v>70</v>
      </c>
      <c r="E877" s="3"/>
      <c r="F877" s="3"/>
    </row>
    <row r="878" spans="1:6" hidden="1" x14ac:dyDescent="0.3">
      <c r="A878" s="7" t="str">
        <f>BD_ControlRegimen[[#This Row],[FECHA]]&amp;BD_ControlRegimen[[#This Row],[NOMBRE]]</f>
        <v>45062AREVALO CALDERON JUAN CARLOS</v>
      </c>
      <c r="B878" s="83">
        <f>WEEKNUM(BD_ControlRegimen[[#This Row],[FECHA]],2)</f>
        <v>21</v>
      </c>
      <c r="C878" s="7">
        <v>45062</v>
      </c>
      <c r="D878" s="3" t="s">
        <v>70</v>
      </c>
      <c r="E878" s="3"/>
      <c r="F878" s="3"/>
    </row>
    <row r="879" spans="1:6" hidden="1" x14ac:dyDescent="0.3">
      <c r="A879" s="7" t="str">
        <f>BD_ControlRegimen[[#This Row],[FECHA]]&amp;BD_ControlRegimen[[#This Row],[NOMBRE]]</f>
        <v>45063AREVALO CALDERON JUAN CARLOS</v>
      </c>
      <c r="B879" s="83">
        <f>WEEKNUM(BD_ControlRegimen[[#This Row],[FECHA]],2)</f>
        <v>21</v>
      </c>
      <c r="C879" s="7">
        <v>45063</v>
      </c>
      <c r="D879" s="3" t="s">
        <v>70</v>
      </c>
      <c r="E879" s="3"/>
      <c r="F879" s="3"/>
    </row>
    <row r="880" spans="1:6" hidden="1" x14ac:dyDescent="0.3">
      <c r="A880" s="7" t="str">
        <f>BD_ControlRegimen[[#This Row],[FECHA]]&amp;BD_ControlRegimen[[#This Row],[NOMBRE]]</f>
        <v>45064AREVALO CALDERON JUAN CARLOS</v>
      </c>
      <c r="B880" s="83">
        <f>WEEKNUM(BD_ControlRegimen[[#This Row],[FECHA]],2)</f>
        <v>21</v>
      </c>
      <c r="C880" s="7">
        <v>45064</v>
      </c>
      <c r="D880" s="3" t="s">
        <v>70</v>
      </c>
      <c r="E880" s="3"/>
      <c r="F880" s="3"/>
    </row>
    <row r="881" spans="1:6" hidden="1" x14ac:dyDescent="0.3">
      <c r="A881" s="7" t="str">
        <f>BD_ControlRegimen[[#This Row],[FECHA]]&amp;BD_ControlRegimen[[#This Row],[NOMBRE]]</f>
        <v>45065AREVALO CALDERON JUAN CARLOS</v>
      </c>
      <c r="B881" s="83">
        <f>WEEKNUM(BD_ControlRegimen[[#This Row],[FECHA]],2)</f>
        <v>21</v>
      </c>
      <c r="C881" s="7">
        <v>45065</v>
      </c>
      <c r="D881" s="3" t="s">
        <v>70</v>
      </c>
      <c r="E881" s="3"/>
      <c r="F881" s="3"/>
    </row>
    <row r="882" spans="1:6" hidden="1" x14ac:dyDescent="0.3">
      <c r="A882" s="7" t="str">
        <f>BD_ControlRegimen[[#This Row],[FECHA]]&amp;BD_ControlRegimen[[#This Row],[NOMBRE]]</f>
        <v>45066AREVALO CALDERON JUAN CARLOS</v>
      </c>
      <c r="B882" s="83">
        <f>WEEKNUM(BD_ControlRegimen[[#This Row],[FECHA]],2)</f>
        <v>21</v>
      </c>
      <c r="C882" s="7">
        <v>45066</v>
      </c>
      <c r="D882" s="3" t="s">
        <v>70</v>
      </c>
      <c r="E882" s="3"/>
      <c r="F882" s="3"/>
    </row>
    <row r="883" spans="1:6" hidden="1" x14ac:dyDescent="0.3">
      <c r="A883" s="7" t="str">
        <f>BD_ControlRegimen[[#This Row],[FECHA]]&amp;BD_ControlRegimen[[#This Row],[NOMBRE]]</f>
        <v>45067AREVALO CALDERON JUAN CARLOS</v>
      </c>
      <c r="B883" s="83">
        <f>WEEKNUM(BD_ControlRegimen[[#This Row],[FECHA]],2)</f>
        <v>21</v>
      </c>
      <c r="C883" s="7">
        <v>45067</v>
      </c>
      <c r="D883" s="3" t="s">
        <v>70</v>
      </c>
      <c r="E883" s="3"/>
      <c r="F883" s="3"/>
    </row>
    <row r="884" spans="1:6" hidden="1" x14ac:dyDescent="0.3">
      <c r="A884" s="7" t="str">
        <f>BD_ControlRegimen[[#This Row],[FECHA]]&amp;BD_ControlRegimen[[#This Row],[NOMBRE]]</f>
        <v>45068AREVALO CALDERON JUAN CARLOS</v>
      </c>
      <c r="B884" s="83">
        <f>WEEKNUM(BD_ControlRegimen[[#This Row],[FECHA]],2)</f>
        <v>22</v>
      </c>
      <c r="C884" s="7">
        <v>45068</v>
      </c>
      <c r="D884" s="3" t="s">
        <v>70</v>
      </c>
      <c r="E884" s="3"/>
      <c r="F884" s="3"/>
    </row>
    <row r="885" spans="1:6" hidden="1" x14ac:dyDescent="0.3">
      <c r="A885" s="7" t="str">
        <f>BD_ControlRegimen[[#This Row],[FECHA]]&amp;BD_ControlRegimen[[#This Row],[NOMBRE]]</f>
        <v>45069AREVALO CALDERON JUAN CARLOS</v>
      </c>
      <c r="B885" s="83">
        <f>WEEKNUM(BD_ControlRegimen[[#This Row],[FECHA]],2)</f>
        <v>22</v>
      </c>
      <c r="C885" s="7">
        <v>45069</v>
      </c>
      <c r="D885" s="3" t="s">
        <v>70</v>
      </c>
      <c r="E885" s="3"/>
      <c r="F885" s="3"/>
    </row>
    <row r="886" spans="1:6" hidden="1" x14ac:dyDescent="0.3">
      <c r="A886" s="7" t="str">
        <f>BD_ControlRegimen[[#This Row],[FECHA]]&amp;BD_ControlRegimen[[#This Row],[NOMBRE]]</f>
        <v>45070AREVALO CALDERON JUAN CARLOS</v>
      </c>
      <c r="B886" s="83">
        <f>WEEKNUM(BD_ControlRegimen[[#This Row],[FECHA]],2)</f>
        <v>22</v>
      </c>
      <c r="C886" s="7">
        <v>45070</v>
      </c>
      <c r="D886" s="3" t="s">
        <v>70</v>
      </c>
      <c r="E886" s="3"/>
      <c r="F886" s="3"/>
    </row>
    <row r="887" spans="1:6" hidden="1" x14ac:dyDescent="0.3">
      <c r="A887" s="7" t="str">
        <f>BD_ControlRegimen[[#This Row],[FECHA]]&amp;BD_ControlRegimen[[#This Row],[NOMBRE]]</f>
        <v>45071AREVALO CALDERON JUAN CARLOS</v>
      </c>
      <c r="B887" s="83">
        <f>WEEKNUM(BD_ControlRegimen[[#This Row],[FECHA]],2)</f>
        <v>22</v>
      </c>
      <c r="C887" s="7">
        <v>45071</v>
      </c>
      <c r="D887" s="3" t="s">
        <v>70</v>
      </c>
      <c r="E887" s="3"/>
      <c r="F887" s="3"/>
    </row>
    <row r="888" spans="1:6" hidden="1" x14ac:dyDescent="0.3">
      <c r="A888" s="7" t="str">
        <f>BD_ControlRegimen[[#This Row],[FECHA]]&amp;BD_ControlRegimen[[#This Row],[NOMBRE]]</f>
        <v>45072AREVALO CALDERON JUAN CARLOS</v>
      </c>
      <c r="B888" s="83">
        <f>WEEKNUM(BD_ControlRegimen[[#This Row],[FECHA]],2)</f>
        <v>22</v>
      </c>
      <c r="C888" s="7">
        <v>45072</v>
      </c>
      <c r="D888" s="3" t="s">
        <v>70</v>
      </c>
      <c r="E888" s="3"/>
      <c r="F888" s="3"/>
    </row>
    <row r="889" spans="1:6" hidden="1" x14ac:dyDescent="0.3">
      <c r="A889" s="7" t="str">
        <f>BD_ControlRegimen[[#This Row],[FECHA]]&amp;BD_ControlRegimen[[#This Row],[NOMBRE]]</f>
        <v>45073AREVALO CALDERON JUAN CARLOS</v>
      </c>
      <c r="B889" s="83">
        <f>WEEKNUM(BD_ControlRegimen[[#This Row],[FECHA]],2)</f>
        <v>22</v>
      </c>
      <c r="C889" s="7">
        <v>45073</v>
      </c>
      <c r="D889" s="3" t="s">
        <v>70</v>
      </c>
      <c r="E889" s="3"/>
      <c r="F889" s="3"/>
    </row>
    <row r="890" spans="1:6" hidden="1" x14ac:dyDescent="0.3">
      <c r="A890" s="7" t="str">
        <f>BD_ControlRegimen[[#This Row],[FECHA]]&amp;BD_ControlRegimen[[#This Row],[NOMBRE]]</f>
        <v>45074AREVALO CALDERON JUAN CARLOS</v>
      </c>
      <c r="B890" s="83">
        <f>WEEKNUM(BD_ControlRegimen[[#This Row],[FECHA]],2)</f>
        <v>22</v>
      </c>
      <c r="C890" s="7">
        <v>45074</v>
      </c>
      <c r="D890" s="3" t="s">
        <v>70</v>
      </c>
      <c r="E890" s="3"/>
      <c r="F890" s="3"/>
    </row>
    <row r="891" spans="1:6" hidden="1" x14ac:dyDescent="0.3">
      <c r="A891" s="7" t="str">
        <f>BD_ControlRegimen[[#This Row],[FECHA]]&amp;BD_ControlRegimen[[#This Row],[NOMBRE]]</f>
        <v>45075AREVALO CALDERON JUAN CARLOS</v>
      </c>
      <c r="B891" s="83">
        <f>WEEKNUM(BD_ControlRegimen[[#This Row],[FECHA]],2)</f>
        <v>23</v>
      </c>
      <c r="C891" s="7">
        <v>45075</v>
      </c>
      <c r="D891" s="3" t="s">
        <v>70</v>
      </c>
      <c r="E891" s="3"/>
      <c r="F891" s="3"/>
    </row>
    <row r="892" spans="1:6" hidden="1" x14ac:dyDescent="0.3">
      <c r="A892" s="7" t="str">
        <f>BD_ControlRegimen[[#This Row],[FECHA]]&amp;BD_ControlRegimen[[#This Row],[NOMBRE]]</f>
        <v>45076AREVALO CALDERON JUAN CARLOS</v>
      </c>
      <c r="B892" s="83">
        <f>WEEKNUM(BD_ControlRegimen[[#This Row],[FECHA]],2)</f>
        <v>23</v>
      </c>
      <c r="C892" s="7">
        <v>45076</v>
      </c>
      <c r="D892" s="3" t="s">
        <v>70</v>
      </c>
      <c r="E892" s="3"/>
      <c r="F892" s="3"/>
    </row>
    <row r="893" spans="1:6" hidden="1" x14ac:dyDescent="0.3">
      <c r="A893" s="7" t="str">
        <f>BD_ControlRegimen[[#This Row],[FECHA]]&amp;BD_ControlRegimen[[#This Row],[NOMBRE]]</f>
        <v>45077AREVALO CALDERON JUAN CARLOS</v>
      </c>
      <c r="B893" s="83">
        <f>WEEKNUM(BD_ControlRegimen[[#This Row],[FECHA]],2)</f>
        <v>23</v>
      </c>
      <c r="C893" s="7">
        <v>45077</v>
      </c>
      <c r="D893" s="3" t="s">
        <v>70</v>
      </c>
      <c r="E893" s="3"/>
      <c r="F893" s="3"/>
    </row>
    <row r="894" spans="1:6" hidden="1" x14ac:dyDescent="0.3">
      <c r="A894" s="7" t="str">
        <f>BD_ControlRegimen[[#This Row],[FECHA]]&amp;BD_ControlRegimen[[#This Row],[NOMBRE]]</f>
        <v>45078AREVALO CALDERON JUAN CARLOS</v>
      </c>
      <c r="B894" s="83">
        <f>WEEKNUM(BD_ControlRegimen[[#This Row],[FECHA]],2)</f>
        <v>23</v>
      </c>
      <c r="C894" s="7">
        <v>45078</v>
      </c>
      <c r="D894" s="3" t="s">
        <v>70</v>
      </c>
      <c r="E894" s="3"/>
      <c r="F894" s="3"/>
    </row>
    <row r="895" spans="1:6" hidden="1" x14ac:dyDescent="0.3">
      <c r="A895" s="7" t="str">
        <f>BD_ControlRegimen[[#This Row],[FECHA]]&amp;BD_ControlRegimen[[#This Row],[NOMBRE]]</f>
        <v>45079AREVALO CALDERON JUAN CARLOS</v>
      </c>
      <c r="B895" s="83">
        <f>WEEKNUM(BD_ControlRegimen[[#This Row],[FECHA]],2)</f>
        <v>23</v>
      </c>
      <c r="C895" s="7">
        <v>45079</v>
      </c>
      <c r="D895" s="3" t="s">
        <v>70</v>
      </c>
      <c r="E895" s="3"/>
      <c r="F895" s="3"/>
    </row>
    <row r="896" spans="1:6" hidden="1" x14ac:dyDescent="0.3">
      <c r="A896" s="7" t="str">
        <f>BD_ControlRegimen[[#This Row],[FECHA]]&amp;BD_ControlRegimen[[#This Row],[NOMBRE]]</f>
        <v>45080AREVALO CALDERON JUAN CARLOS</v>
      </c>
      <c r="B896" s="83">
        <f>WEEKNUM(BD_ControlRegimen[[#This Row],[FECHA]],2)</f>
        <v>23</v>
      </c>
      <c r="C896" s="7">
        <v>45080</v>
      </c>
      <c r="D896" s="3" t="s">
        <v>70</v>
      </c>
      <c r="E896" s="3"/>
      <c r="F896" s="3"/>
    </row>
    <row r="897" spans="1:6" hidden="1" x14ac:dyDescent="0.3">
      <c r="A897" s="7" t="str">
        <f>BD_ControlRegimen[[#This Row],[FECHA]]&amp;BD_ControlRegimen[[#This Row],[NOMBRE]]</f>
        <v>45081AREVALO CALDERON JUAN CARLOS</v>
      </c>
      <c r="B897" s="83">
        <f>WEEKNUM(BD_ControlRegimen[[#This Row],[FECHA]],2)</f>
        <v>23</v>
      </c>
      <c r="C897" s="7">
        <v>45081</v>
      </c>
      <c r="D897" s="3" t="s">
        <v>70</v>
      </c>
      <c r="E897" s="3"/>
      <c r="F897" s="3"/>
    </row>
    <row r="898" spans="1:6" hidden="1" x14ac:dyDescent="0.3">
      <c r="A898" s="7" t="str">
        <f>BD_ControlRegimen[[#This Row],[FECHA]]&amp;BD_ControlRegimen[[#This Row],[NOMBRE]]</f>
        <v>45082AREVALO CALDERON JUAN CARLOS</v>
      </c>
      <c r="B898" s="83">
        <f>WEEKNUM(BD_ControlRegimen[[#This Row],[FECHA]],2)</f>
        <v>24</v>
      </c>
      <c r="C898" s="7">
        <v>45082</v>
      </c>
      <c r="D898" s="3" t="s">
        <v>70</v>
      </c>
      <c r="E898" s="3"/>
      <c r="F898" s="3"/>
    </row>
    <row r="899" spans="1:6" hidden="1" x14ac:dyDescent="0.3">
      <c r="A899" s="7" t="str">
        <f>BD_ControlRegimen[[#This Row],[FECHA]]&amp;BD_ControlRegimen[[#This Row],[NOMBRE]]</f>
        <v>45083AREVALO CALDERON JUAN CARLOS</v>
      </c>
      <c r="B899" s="83">
        <f>WEEKNUM(BD_ControlRegimen[[#This Row],[FECHA]],2)</f>
        <v>24</v>
      </c>
      <c r="C899" s="7">
        <v>45083</v>
      </c>
      <c r="D899" s="3" t="s">
        <v>70</v>
      </c>
      <c r="E899" s="3"/>
      <c r="F899" s="3"/>
    </row>
    <row r="900" spans="1:6" hidden="1" x14ac:dyDescent="0.3">
      <c r="A900" s="7" t="str">
        <f>BD_ControlRegimen[[#This Row],[FECHA]]&amp;BD_ControlRegimen[[#This Row],[NOMBRE]]</f>
        <v>45084AREVALO CALDERON JUAN CARLOS</v>
      </c>
      <c r="B900" s="83">
        <f>WEEKNUM(BD_ControlRegimen[[#This Row],[FECHA]],2)</f>
        <v>24</v>
      </c>
      <c r="C900" s="7">
        <v>45084</v>
      </c>
      <c r="D900" s="3" t="s">
        <v>70</v>
      </c>
      <c r="E900" s="3"/>
      <c r="F900" s="3"/>
    </row>
    <row r="901" spans="1:6" hidden="1" x14ac:dyDescent="0.3">
      <c r="A901" s="7" t="str">
        <f>BD_ControlRegimen[[#This Row],[FECHA]]&amp;BD_ControlRegimen[[#This Row],[NOMBRE]]</f>
        <v>45085AREVALO CALDERON JUAN CARLOS</v>
      </c>
      <c r="B901" s="83">
        <f>WEEKNUM(BD_ControlRegimen[[#This Row],[FECHA]],2)</f>
        <v>24</v>
      </c>
      <c r="C901" s="7">
        <v>45085</v>
      </c>
      <c r="D901" s="3" t="s">
        <v>70</v>
      </c>
      <c r="E901" s="3"/>
      <c r="F901" s="3"/>
    </row>
    <row r="902" spans="1:6" hidden="1" x14ac:dyDescent="0.3">
      <c r="A902" s="7" t="str">
        <f>BD_ControlRegimen[[#This Row],[FECHA]]&amp;BD_ControlRegimen[[#This Row],[NOMBRE]]</f>
        <v>45086AREVALO CALDERON JUAN CARLOS</v>
      </c>
      <c r="B902" s="83">
        <f>WEEKNUM(BD_ControlRegimen[[#This Row],[FECHA]],2)</f>
        <v>24</v>
      </c>
      <c r="C902" s="7">
        <v>45086</v>
      </c>
      <c r="D902" s="3" t="s">
        <v>70</v>
      </c>
      <c r="E902" s="3"/>
      <c r="F902" s="3"/>
    </row>
    <row r="903" spans="1:6" hidden="1" x14ac:dyDescent="0.3">
      <c r="A903" s="7" t="str">
        <f>BD_ControlRegimen[[#This Row],[FECHA]]&amp;BD_ControlRegimen[[#This Row],[NOMBRE]]</f>
        <v>45087AREVALO CALDERON JUAN CARLOS</v>
      </c>
      <c r="B903" s="83">
        <f>WEEKNUM(BD_ControlRegimen[[#This Row],[FECHA]],2)</f>
        <v>24</v>
      </c>
      <c r="C903" s="7">
        <v>45087</v>
      </c>
      <c r="D903" s="3" t="s">
        <v>70</v>
      </c>
      <c r="E903" s="3"/>
      <c r="F903" s="3"/>
    </row>
    <row r="904" spans="1:6" hidden="1" x14ac:dyDescent="0.3">
      <c r="A904" s="7" t="str">
        <f>BD_ControlRegimen[[#This Row],[FECHA]]&amp;BD_ControlRegimen[[#This Row],[NOMBRE]]</f>
        <v>45088AREVALO CALDERON JUAN CARLOS</v>
      </c>
      <c r="B904" s="83">
        <f>WEEKNUM(BD_ControlRegimen[[#This Row],[FECHA]],2)</f>
        <v>24</v>
      </c>
      <c r="C904" s="7">
        <v>45088</v>
      </c>
      <c r="D904" s="3" t="s">
        <v>70</v>
      </c>
      <c r="E904" s="3"/>
      <c r="F904" s="3"/>
    </row>
    <row r="905" spans="1:6" hidden="1" x14ac:dyDescent="0.3">
      <c r="A905" s="7" t="str">
        <f>BD_ControlRegimen[[#This Row],[FECHA]]&amp;BD_ControlRegimen[[#This Row],[NOMBRE]]</f>
        <v>45089AREVALO CALDERON JUAN CARLOS</v>
      </c>
      <c r="B905" s="83">
        <f>WEEKNUM(BD_ControlRegimen[[#This Row],[FECHA]],2)</f>
        <v>25</v>
      </c>
      <c r="C905" s="7">
        <v>45089</v>
      </c>
      <c r="D905" s="3" t="s">
        <v>70</v>
      </c>
      <c r="E905" s="3"/>
      <c r="F905" s="3"/>
    </row>
    <row r="906" spans="1:6" hidden="1" x14ac:dyDescent="0.3">
      <c r="A906" s="7" t="str">
        <f>BD_ControlRegimen[[#This Row],[FECHA]]&amp;BD_ControlRegimen[[#This Row],[NOMBRE]]</f>
        <v>45090AREVALO CALDERON JUAN CARLOS</v>
      </c>
      <c r="B906" s="83">
        <f>WEEKNUM(BD_ControlRegimen[[#This Row],[FECHA]],2)</f>
        <v>25</v>
      </c>
      <c r="C906" s="7">
        <v>45090</v>
      </c>
      <c r="D906" s="3" t="s">
        <v>70</v>
      </c>
      <c r="E906" s="3"/>
      <c r="F906" s="3"/>
    </row>
    <row r="907" spans="1:6" hidden="1" x14ac:dyDescent="0.3">
      <c r="A907" s="7" t="str">
        <f>BD_ControlRegimen[[#This Row],[FECHA]]&amp;BD_ControlRegimen[[#This Row],[NOMBRE]]</f>
        <v>45091AREVALO CALDERON JUAN CARLOS</v>
      </c>
      <c r="B907" s="83">
        <f>WEEKNUM(BD_ControlRegimen[[#This Row],[FECHA]],2)</f>
        <v>25</v>
      </c>
      <c r="C907" s="7">
        <v>45091</v>
      </c>
      <c r="D907" s="3" t="s">
        <v>70</v>
      </c>
      <c r="E907" s="3"/>
      <c r="F907" s="3"/>
    </row>
    <row r="908" spans="1:6" hidden="1" x14ac:dyDescent="0.3">
      <c r="A908" s="7" t="str">
        <f>BD_ControlRegimen[[#This Row],[FECHA]]&amp;BD_ControlRegimen[[#This Row],[NOMBRE]]</f>
        <v>45092AREVALO CALDERON JUAN CARLOS</v>
      </c>
      <c r="B908" s="83">
        <f>WEEKNUM(BD_ControlRegimen[[#This Row],[FECHA]],2)</f>
        <v>25</v>
      </c>
      <c r="C908" s="7">
        <v>45092</v>
      </c>
      <c r="D908" s="3" t="s">
        <v>70</v>
      </c>
      <c r="E908" s="3"/>
      <c r="F908" s="3"/>
    </row>
    <row r="909" spans="1:6" hidden="1" x14ac:dyDescent="0.3">
      <c r="A909" s="7" t="str">
        <f>BD_ControlRegimen[[#This Row],[FECHA]]&amp;BD_ControlRegimen[[#This Row],[NOMBRE]]</f>
        <v>45093AREVALO CALDERON JUAN CARLOS</v>
      </c>
      <c r="B909" s="83">
        <f>WEEKNUM(BD_ControlRegimen[[#This Row],[FECHA]],2)</f>
        <v>25</v>
      </c>
      <c r="C909" s="7">
        <v>45093</v>
      </c>
      <c r="D909" s="3" t="s">
        <v>70</v>
      </c>
      <c r="E909" s="3"/>
      <c r="F909" s="3"/>
    </row>
    <row r="910" spans="1:6" hidden="1" x14ac:dyDescent="0.3">
      <c r="A910" s="7" t="str">
        <f>BD_ControlRegimen[[#This Row],[FECHA]]&amp;BD_ControlRegimen[[#This Row],[NOMBRE]]</f>
        <v>45094AREVALO CALDERON JUAN CARLOS</v>
      </c>
      <c r="B910" s="83">
        <f>WEEKNUM(BD_ControlRegimen[[#This Row],[FECHA]],2)</f>
        <v>25</v>
      </c>
      <c r="C910" s="7">
        <v>45094</v>
      </c>
      <c r="D910" s="3" t="s">
        <v>70</v>
      </c>
      <c r="E910" s="3"/>
      <c r="F910" s="3"/>
    </row>
    <row r="911" spans="1:6" hidden="1" x14ac:dyDescent="0.3">
      <c r="A911" s="7" t="str">
        <f>BD_ControlRegimen[[#This Row],[FECHA]]&amp;BD_ControlRegimen[[#This Row],[NOMBRE]]</f>
        <v>45095AREVALO CALDERON JUAN CARLOS</v>
      </c>
      <c r="B911" s="83">
        <f>WEEKNUM(BD_ControlRegimen[[#This Row],[FECHA]],2)</f>
        <v>25</v>
      </c>
      <c r="C911" s="7">
        <v>45095</v>
      </c>
      <c r="D911" s="3" t="s">
        <v>70</v>
      </c>
      <c r="E911" s="3"/>
      <c r="F911" s="3"/>
    </row>
    <row r="912" spans="1:6" hidden="1" x14ac:dyDescent="0.3">
      <c r="A912" s="7" t="str">
        <f>BD_ControlRegimen[[#This Row],[FECHA]]&amp;BD_ControlRegimen[[#This Row],[NOMBRE]]</f>
        <v>45096AREVALO CALDERON JUAN CARLOS</v>
      </c>
      <c r="B912" s="83">
        <f>WEEKNUM(BD_ControlRegimen[[#This Row],[FECHA]],2)</f>
        <v>26</v>
      </c>
      <c r="C912" s="7">
        <v>45096</v>
      </c>
      <c r="D912" s="3" t="s">
        <v>70</v>
      </c>
      <c r="E912" s="3"/>
      <c r="F912" s="3"/>
    </row>
    <row r="913" spans="1:6" hidden="1" x14ac:dyDescent="0.3">
      <c r="A913" s="7" t="str">
        <f>BD_ControlRegimen[[#This Row],[FECHA]]&amp;BD_ControlRegimen[[#This Row],[NOMBRE]]</f>
        <v>45097AREVALO CALDERON JUAN CARLOS</v>
      </c>
      <c r="B913" s="83">
        <f>WEEKNUM(BD_ControlRegimen[[#This Row],[FECHA]],2)</f>
        <v>26</v>
      </c>
      <c r="C913" s="7">
        <v>45097</v>
      </c>
      <c r="D913" s="3" t="s">
        <v>70</v>
      </c>
      <c r="E913" s="3"/>
      <c r="F913" s="3"/>
    </row>
    <row r="914" spans="1:6" hidden="1" x14ac:dyDescent="0.3">
      <c r="A914" s="7" t="str">
        <f>BD_ControlRegimen[[#This Row],[FECHA]]&amp;BD_ControlRegimen[[#This Row],[NOMBRE]]</f>
        <v>45098AREVALO CALDERON JUAN CARLOS</v>
      </c>
      <c r="B914" s="83">
        <f>WEEKNUM(BD_ControlRegimen[[#This Row],[FECHA]],2)</f>
        <v>26</v>
      </c>
      <c r="C914" s="7">
        <v>45098</v>
      </c>
      <c r="D914" s="3" t="s">
        <v>70</v>
      </c>
      <c r="E914" s="3"/>
      <c r="F914" s="3"/>
    </row>
    <row r="915" spans="1:6" hidden="1" x14ac:dyDescent="0.3">
      <c r="A915" s="7" t="str">
        <f>BD_ControlRegimen[[#This Row],[FECHA]]&amp;BD_ControlRegimen[[#This Row],[NOMBRE]]</f>
        <v>45099AREVALO CALDERON JUAN CARLOS</v>
      </c>
      <c r="B915" s="83">
        <f>WEEKNUM(BD_ControlRegimen[[#This Row],[FECHA]],2)</f>
        <v>26</v>
      </c>
      <c r="C915" s="7">
        <v>45099</v>
      </c>
      <c r="D915" s="3" t="s">
        <v>70</v>
      </c>
      <c r="E915" s="3"/>
      <c r="F915" s="3"/>
    </row>
    <row r="916" spans="1:6" hidden="1" x14ac:dyDescent="0.3">
      <c r="A916" s="7" t="str">
        <f>BD_ControlRegimen[[#This Row],[FECHA]]&amp;BD_ControlRegimen[[#This Row],[NOMBRE]]</f>
        <v>45100AREVALO CALDERON JUAN CARLOS</v>
      </c>
      <c r="B916" s="83">
        <f>WEEKNUM(BD_ControlRegimen[[#This Row],[FECHA]],2)</f>
        <v>26</v>
      </c>
      <c r="C916" s="7">
        <v>45100</v>
      </c>
      <c r="D916" s="3" t="s">
        <v>70</v>
      </c>
      <c r="E916" s="3"/>
      <c r="F916" s="3"/>
    </row>
    <row r="917" spans="1:6" hidden="1" x14ac:dyDescent="0.3">
      <c r="A917" s="7" t="str">
        <f>BD_ControlRegimen[[#This Row],[FECHA]]&amp;BD_ControlRegimen[[#This Row],[NOMBRE]]</f>
        <v>45101AREVALO CALDERON JUAN CARLOS</v>
      </c>
      <c r="B917" s="83">
        <f>WEEKNUM(BD_ControlRegimen[[#This Row],[FECHA]],2)</f>
        <v>26</v>
      </c>
      <c r="C917" s="7">
        <v>45101</v>
      </c>
      <c r="D917" s="3" t="s">
        <v>70</v>
      </c>
      <c r="E917" s="3"/>
      <c r="F917" s="3"/>
    </row>
    <row r="918" spans="1:6" hidden="1" x14ac:dyDescent="0.3">
      <c r="A918" s="7" t="str">
        <f>BD_ControlRegimen[[#This Row],[FECHA]]&amp;BD_ControlRegimen[[#This Row],[NOMBRE]]</f>
        <v>45102AREVALO CALDERON JUAN CARLOS</v>
      </c>
      <c r="B918" s="83">
        <f>WEEKNUM(BD_ControlRegimen[[#This Row],[FECHA]],2)</f>
        <v>26</v>
      </c>
      <c r="C918" s="7">
        <v>45102</v>
      </c>
      <c r="D918" s="3" t="s">
        <v>70</v>
      </c>
      <c r="E918" s="3"/>
      <c r="F918" s="3"/>
    </row>
    <row r="919" spans="1:6" hidden="1" x14ac:dyDescent="0.3">
      <c r="A919" s="7" t="str">
        <f>BD_ControlRegimen[[#This Row],[FECHA]]&amp;BD_ControlRegimen[[#This Row],[NOMBRE]]</f>
        <v>45103AREVALO CALDERON JUAN CARLOS</v>
      </c>
      <c r="B919" s="83">
        <f>WEEKNUM(BD_ControlRegimen[[#This Row],[FECHA]],2)</f>
        <v>27</v>
      </c>
      <c r="C919" s="7">
        <v>45103</v>
      </c>
      <c r="D919" s="3" t="s">
        <v>70</v>
      </c>
      <c r="E919" s="3"/>
      <c r="F919" s="3"/>
    </row>
    <row r="920" spans="1:6" hidden="1" x14ac:dyDescent="0.3">
      <c r="A920" s="7" t="str">
        <f>BD_ControlRegimen[[#This Row],[FECHA]]&amp;BD_ControlRegimen[[#This Row],[NOMBRE]]</f>
        <v>45104AREVALO CALDERON JUAN CARLOS</v>
      </c>
      <c r="B920" s="83">
        <f>WEEKNUM(BD_ControlRegimen[[#This Row],[FECHA]],2)</f>
        <v>27</v>
      </c>
      <c r="C920" s="7">
        <v>45104</v>
      </c>
      <c r="D920" s="3" t="s">
        <v>70</v>
      </c>
      <c r="E920" s="3"/>
      <c r="F920" s="3"/>
    </row>
    <row r="921" spans="1:6" hidden="1" x14ac:dyDescent="0.3">
      <c r="A921" s="7" t="str">
        <f>BD_ControlRegimen[[#This Row],[FECHA]]&amp;BD_ControlRegimen[[#This Row],[NOMBRE]]</f>
        <v>45105AREVALO CALDERON JUAN CARLOS</v>
      </c>
      <c r="B921" s="83">
        <f>WEEKNUM(BD_ControlRegimen[[#This Row],[FECHA]],2)</f>
        <v>27</v>
      </c>
      <c r="C921" s="7">
        <v>45105</v>
      </c>
      <c r="D921" s="3" t="s">
        <v>70</v>
      </c>
      <c r="E921" s="3"/>
      <c r="F921" s="3"/>
    </row>
    <row r="922" spans="1:6" hidden="1" x14ac:dyDescent="0.3">
      <c r="A922" s="7" t="str">
        <f>BD_ControlRegimen[[#This Row],[FECHA]]&amp;BD_ControlRegimen[[#This Row],[NOMBRE]]</f>
        <v>45106AREVALO CALDERON JUAN CARLOS</v>
      </c>
      <c r="B922" s="83">
        <f>WEEKNUM(BD_ControlRegimen[[#This Row],[FECHA]],2)</f>
        <v>27</v>
      </c>
      <c r="C922" s="7">
        <v>45106</v>
      </c>
      <c r="D922" s="3" t="s">
        <v>70</v>
      </c>
      <c r="E922" s="3"/>
      <c r="F922" s="3"/>
    </row>
    <row r="923" spans="1:6" hidden="1" x14ac:dyDescent="0.3">
      <c r="A923" s="7" t="str">
        <f>BD_ControlRegimen[[#This Row],[FECHA]]&amp;BD_ControlRegimen[[#This Row],[NOMBRE]]</f>
        <v>45107AREVALO CALDERON JUAN CARLOS</v>
      </c>
      <c r="B923" s="83">
        <f>WEEKNUM(BD_ControlRegimen[[#This Row],[FECHA]],2)</f>
        <v>27</v>
      </c>
      <c r="C923" s="7">
        <v>45107</v>
      </c>
      <c r="D923" s="3" t="s">
        <v>70</v>
      </c>
      <c r="E923" s="3"/>
      <c r="F923" s="3"/>
    </row>
    <row r="924" spans="1:6" hidden="1" x14ac:dyDescent="0.3">
      <c r="A924" s="7" t="str">
        <f>BD_ControlRegimen[[#This Row],[FECHA]]&amp;BD_ControlRegimen[[#This Row],[NOMBRE]]</f>
        <v>45108AREVALO CALDERON JUAN CARLOS</v>
      </c>
      <c r="B924" s="83">
        <f>WEEKNUM(BD_ControlRegimen[[#This Row],[FECHA]],2)</f>
        <v>27</v>
      </c>
      <c r="C924" s="7">
        <v>45108</v>
      </c>
      <c r="D924" s="3" t="s">
        <v>70</v>
      </c>
      <c r="E924" s="3"/>
      <c r="F924" s="3"/>
    </row>
    <row r="925" spans="1:6" hidden="1" x14ac:dyDescent="0.3">
      <c r="A925" s="7" t="str">
        <f>BD_ControlRegimen[[#This Row],[FECHA]]&amp;BD_ControlRegimen[[#This Row],[NOMBRE]]</f>
        <v>45109AREVALO CALDERON JUAN CARLOS</v>
      </c>
      <c r="B925" s="83">
        <f>WEEKNUM(BD_ControlRegimen[[#This Row],[FECHA]],2)</f>
        <v>27</v>
      </c>
      <c r="C925" s="7">
        <v>45109</v>
      </c>
      <c r="D925" s="3" t="s">
        <v>70</v>
      </c>
      <c r="E925" s="3"/>
      <c r="F925" s="3"/>
    </row>
    <row r="926" spans="1:6" hidden="1" x14ac:dyDescent="0.3">
      <c r="A926" s="7" t="str">
        <f>BD_ControlRegimen[[#This Row],[FECHA]]&amp;BD_ControlRegimen[[#This Row],[NOMBRE]]</f>
        <v>45110AREVALO CALDERON JUAN CARLOS</v>
      </c>
      <c r="B926" s="83">
        <f>WEEKNUM(BD_ControlRegimen[[#This Row],[FECHA]],2)</f>
        <v>28</v>
      </c>
      <c r="C926" s="7">
        <v>45110</v>
      </c>
      <c r="D926" s="3" t="s">
        <v>70</v>
      </c>
      <c r="E926" s="3"/>
      <c r="F926" s="3"/>
    </row>
    <row r="927" spans="1:6" hidden="1" x14ac:dyDescent="0.3">
      <c r="A927" s="7" t="str">
        <f>BD_ControlRegimen[[#This Row],[FECHA]]&amp;BD_ControlRegimen[[#This Row],[NOMBRE]]</f>
        <v>45111AREVALO CALDERON JUAN CARLOS</v>
      </c>
      <c r="B927" s="83">
        <f>WEEKNUM(BD_ControlRegimen[[#This Row],[FECHA]],2)</f>
        <v>28</v>
      </c>
      <c r="C927" s="7">
        <v>45111</v>
      </c>
      <c r="D927" s="3" t="s">
        <v>70</v>
      </c>
      <c r="E927" s="3"/>
      <c r="F927" s="3"/>
    </row>
    <row r="928" spans="1:6" hidden="1" x14ac:dyDescent="0.3">
      <c r="A928" s="7" t="str">
        <f>BD_ControlRegimen[[#This Row],[FECHA]]&amp;BD_ControlRegimen[[#This Row],[NOMBRE]]</f>
        <v>45112AREVALO CALDERON JUAN CARLOS</v>
      </c>
      <c r="B928" s="83">
        <f>WEEKNUM(BD_ControlRegimen[[#This Row],[FECHA]],2)</f>
        <v>28</v>
      </c>
      <c r="C928" s="7">
        <v>45112</v>
      </c>
      <c r="D928" s="3" t="s">
        <v>70</v>
      </c>
      <c r="E928" s="3"/>
      <c r="F928" s="3"/>
    </row>
    <row r="929" spans="1:6" hidden="1" x14ac:dyDescent="0.3">
      <c r="A929" s="7" t="str">
        <f>BD_ControlRegimen[[#This Row],[FECHA]]&amp;BD_ControlRegimen[[#This Row],[NOMBRE]]</f>
        <v>45113AREVALO CALDERON JUAN CARLOS</v>
      </c>
      <c r="B929" s="83">
        <f>WEEKNUM(BD_ControlRegimen[[#This Row],[FECHA]],2)</f>
        <v>28</v>
      </c>
      <c r="C929" s="7">
        <v>45113</v>
      </c>
      <c r="D929" s="3" t="s">
        <v>70</v>
      </c>
      <c r="E929" s="3"/>
      <c r="F929" s="3"/>
    </row>
    <row r="930" spans="1:6" hidden="1" x14ac:dyDescent="0.3">
      <c r="A930" s="7" t="str">
        <f>BD_ControlRegimen[[#This Row],[FECHA]]&amp;BD_ControlRegimen[[#This Row],[NOMBRE]]</f>
        <v>45114AREVALO CALDERON JUAN CARLOS</v>
      </c>
      <c r="B930" s="83">
        <f>WEEKNUM(BD_ControlRegimen[[#This Row],[FECHA]],2)</f>
        <v>28</v>
      </c>
      <c r="C930" s="7">
        <v>45114</v>
      </c>
      <c r="D930" s="3" t="s">
        <v>70</v>
      </c>
      <c r="E930" s="3"/>
      <c r="F930" s="3"/>
    </row>
    <row r="931" spans="1:6" hidden="1" x14ac:dyDescent="0.3">
      <c r="A931" s="7" t="str">
        <f>BD_ControlRegimen[[#This Row],[FECHA]]&amp;BD_ControlRegimen[[#This Row],[NOMBRE]]</f>
        <v>45115AREVALO CALDERON JUAN CARLOS</v>
      </c>
      <c r="B931" s="83">
        <f>WEEKNUM(BD_ControlRegimen[[#This Row],[FECHA]],2)</f>
        <v>28</v>
      </c>
      <c r="C931" s="7">
        <v>45115</v>
      </c>
      <c r="D931" s="3" t="s">
        <v>70</v>
      </c>
      <c r="E931" s="3"/>
      <c r="F931" s="3"/>
    </row>
    <row r="932" spans="1:6" hidden="1" x14ac:dyDescent="0.3">
      <c r="A932" s="7" t="str">
        <f>BD_ControlRegimen[[#This Row],[FECHA]]&amp;BD_ControlRegimen[[#This Row],[NOMBRE]]</f>
        <v>45116AREVALO CALDERON JUAN CARLOS</v>
      </c>
      <c r="B932" s="83">
        <f>WEEKNUM(BD_ControlRegimen[[#This Row],[FECHA]],2)</f>
        <v>28</v>
      </c>
      <c r="C932" s="7">
        <v>45116</v>
      </c>
      <c r="D932" s="3" t="s">
        <v>70</v>
      </c>
      <c r="E932" s="3"/>
      <c r="F932" s="3"/>
    </row>
    <row r="933" spans="1:6" hidden="1" x14ac:dyDescent="0.3">
      <c r="A933" s="7" t="str">
        <f>BD_ControlRegimen[[#This Row],[FECHA]]&amp;BD_ControlRegimen[[#This Row],[NOMBRE]]</f>
        <v>45117AREVALO CALDERON JUAN CARLOS</v>
      </c>
      <c r="B933" s="83">
        <f>WEEKNUM(BD_ControlRegimen[[#This Row],[FECHA]],2)</f>
        <v>29</v>
      </c>
      <c r="C933" s="7">
        <v>45117</v>
      </c>
      <c r="D933" s="3" t="s">
        <v>70</v>
      </c>
      <c r="E933" s="3"/>
      <c r="F933" s="3"/>
    </row>
    <row r="934" spans="1:6" hidden="1" x14ac:dyDescent="0.3">
      <c r="A934" s="7" t="str">
        <f>BD_ControlRegimen[[#This Row],[FECHA]]&amp;BD_ControlRegimen[[#This Row],[NOMBRE]]</f>
        <v>45118AREVALO CALDERON JUAN CARLOS</v>
      </c>
      <c r="B934" s="83">
        <f>WEEKNUM(BD_ControlRegimen[[#This Row],[FECHA]],2)</f>
        <v>29</v>
      </c>
      <c r="C934" s="7">
        <v>45118</v>
      </c>
      <c r="D934" s="3" t="s">
        <v>70</v>
      </c>
      <c r="E934" s="3"/>
      <c r="F934" s="3"/>
    </row>
    <row r="935" spans="1:6" hidden="1" x14ac:dyDescent="0.3">
      <c r="A935" s="7" t="str">
        <f>BD_ControlRegimen[[#This Row],[FECHA]]&amp;BD_ControlRegimen[[#This Row],[NOMBRE]]</f>
        <v>45119AREVALO CALDERON JUAN CARLOS</v>
      </c>
      <c r="B935" s="83">
        <f>WEEKNUM(BD_ControlRegimen[[#This Row],[FECHA]],2)</f>
        <v>29</v>
      </c>
      <c r="C935" s="7">
        <v>45119</v>
      </c>
      <c r="D935" s="3" t="s">
        <v>70</v>
      </c>
      <c r="E935" s="3"/>
      <c r="F935" s="3"/>
    </row>
    <row r="936" spans="1:6" hidden="1" x14ac:dyDescent="0.3">
      <c r="A936" s="7" t="str">
        <f>BD_ControlRegimen[[#This Row],[FECHA]]&amp;BD_ControlRegimen[[#This Row],[NOMBRE]]</f>
        <v>45120AREVALO CALDERON JUAN CARLOS</v>
      </c>
      <c r="B936" s="83">
        <f>WEEKNUM(BD_ControlRegimen[[#This Row],[FECHA]],2)</f>
        <v>29</v>
      </c>
      <c r="C936" s="7">
        <v>45120</v>
      </c>
      <c r="D936" s="3" t="s">
        <v>70</v>
      </c>
      <c r="E936" s="3"/>
      <c r="F936" s="3"/>
    </row>
    <row r="937" spans="1:6" hidden="1" x14ac:dyDescent="0.3">
      <c r="A937" s="7" t="str">
        <f>BD_ControlRegimen[[#This Row],[FECHA]]&amp;BD_ControlRegimen[[#This Row],[NOMBRE]]</f>
        <v>45121AREVALO CALDERON JUAN CARLOS</v>
      </c>
      <c r="B937" s="83">
        <f>WEEKNUM(BD_ControlRegimen[[#This Row],[FECHA]],2)</f>
        <v>29</v>
      </c>
      <c r="C937" s="7">
        <v>45121</v>
      </c>
      <c r="D937" s="3" t="s">
        <v>70</v>
      </c>
      <c r="E937" s="3"/>
      <c r="F937" s="3"/>
    </row>
    <row r="938" spans="1:6" hidden="1" x14ac:dyDescent="0.3">
      <c r="A938" s="7" t="str">
        <f>BD_ControlRegimen[[#This Row],[FECHA]]&amp;BD_ControlRegimen[[#This Row],[NOMBRE]]</f>
        <v>45122AREVALO CALDERON JUAN CARLOS</v>
      </c>
      <c r="B938" s="83">
        <f>WEEKNUM(BD_ControlRegimen[[#This Row],[FECHA]],2)</f>
        <v>29</v>
      </c>
      <c r="C938" s="7">
        <v>45122</v>
      </c>
      <c r="D938" s="3" t="s">
        <v>70</v>
      </c>
      <c r="E938" s="3"/>
      <c r="F938" s="3"/>
    </row>
    <row r="939" spans="1:6" hidden="1" x14ac:dyDescent="0.3">
      <c r="A939" s="7" t="str">
        <f>BD_ControlRegimen[[#This Row],[FECHA]]&amp;BD_ControlRegimen[[#This Row],[NOMBRE]]</f>
        <v>45123AREVALO CALDERON JUAN CARLOS</v>
      </c>
      <c r="B939" s="83">
        <f>WEEKNUM(BD_ControlRegimen[[#This Row],[FECHA]],2)</f>
        <v>29</v>
      </c>
      <c r="C939" s="7">
        <v>45123</v>
      </c>
      <c r="D939" s="3" t="s">
        <v>70</v>
      </c>
      <c r="E939" s="3"/>
      <c r="F939" s="3"/>
    </row>
    <row r="940" spans="1:6" hidden="1" x14ac:dyDescent="0.3">
      <c r="A940" s="7" t="str">
        <f>BD_ControlRegimen[[#This Row],[FECHA]]&amp;BD_ControlRegimen[[#This Row],[NOMBRE]]</f>
        <v>45124AREVALO CALDERON JUAN CARLOS</v>
      </c>
      <c r="B940" s="83">
        <f>WEEKNUM(BD_ControlRegimen[[#This Row],[FECHA]],2)</f>
        <v>30</v>
      </c>
      <c r="C940" s="7">
        <v>45124</v>
      </c>
      <c r="D940" s="3" t="s">
        <v>70</v>
      </c>
      <c r="E940" s="3"/>
      <c r="F940" s="3"/>
    </row>
    <row r="941" spans="1:6" hidden="1" x14ac:dyDescent="0.3">
      <c r="A941" s="7" t="str">
        <f>BD_ControlRegimen[[#This Row],[FECHA]]&amp;BD_ControlRegimen[[#This Row],[NOMBRE]]</f>
        <v>45125AREVALO CALDERON JUAN CARLOS</v>
      </c>
      <c r="B941" s="83">
        <f>WEEKNUM(BD_ControlRegimen[[#This Row],[FECHA]],2)</f>
        <v>30</v>
      </c>
      <c r="C941" s="7">
        <v>45125</v>
      </c>
      <c r="D941" s="3" t="s">
        <v>70</v>
      </c>
      <c r="E941" s="3"/>
      <c r="F941" s="3"/>
    </row>
    <row r="942" spans="1:6" hidden="1" x14ac:dyDescent="0.3">
      <c r="A942" s="7" t="str">
        <f>BD_ControlRegimen[[#This Row],[FECHA]]&amp;BD_ControlRegimen[[#This Row],[NOMBRE]]</f>
        <v>45126AREVALO CALDERON JUAN CARLOS</v>
      </c>
      <c r="B942" s="83">
        <f>WEEKNUM(BD_ControlRegimen[[#This Row],[FECHA]],2)</f>
        <v>30</v>
      </c>
      <c r="C942" s="7">
        <v>45126</v>
      </c>
      <c r="D942" s="3" t="s">
        <v>70</v>
      </c>
      <c r="E942" s="3"/>
      <c r="F942" s="3"/>
    </row>
    <row r="943" spans="1:6" hidden="1" x14ac:dyDescent="0.3">
      <c r="A943" s="7" t="str">
        <f>BD_ControlRegimen[[#This Row],[FECHA]]&amp;BD_ControlRegimen[[#This Row],[NOMBRE]]</f>
        <v>45127AREVALO CALDERON JUAN CARLOS</v>
      </c>
      <c r="B943" s="83">
        <f>WEEKNUM(BD_ControlRegimen[[#This Row],[FECHA]],2)</f>
        <v>30</v>
      </c>
      <c r="C943" s="7">
        <v>45127</v>
      </c>
      <c r="D943" s="3" t="s">
        <v>70</v>
      </c>
      <c r="E943" s="3"/>
      <c r="F943" s="3"/>
    </row>
    <row r="944" spans="1:6" hidden="1" x14ac:dyDescent="0.3">
      <c r="A944" s="7" t="str">
        <f>BD_ControlRegimen[[#This Row],[FECHA]]&amp;BD_ControlRegimen[[#This Row],[NOMBRE]]</f>
        <v>45128AREVALO CALDERON JUAN CARLOS</v>
      </c>
      <c r="B944" s="83">
        <f>WEEKNUM(BD_ControlRegimen[[#This Row],[FECHA]],2)</f>
        <v>30</v>
      </c>
      <c r="C944" s="7">
        <v>45128</v>
      </c>
      <c r="D944" s="3" t="s">
        <v>70</v>
      </c>
      <c r="E944" s="3"/>
      <c r="F944" s="3"/>
    </row>
    <row r="945" spans="1:6" hidden="1" x14ac:dyDescent="0.3">
      <c r="A945" s="7" t="str">
        <f>BD_ControlRegimen[[#This Row],[FECHA]]&amp;BD_ControlRegimen[[#This Row],[NOMBRE]]</f>
        <v>45129AREVALO CALDERON JUAN CARLOS</v>
      </c>
      <c r="B945" s="83">
        <f>WEEKNUM(BD_ControlRegimen[[#This Row],[FECHA]],2)</f>
        <v>30</v>
      </c>
      <c r="C945" s="7">
        <v>45129</v>
      </c>
      <c r="D945" s="3" t="s">
        <v>70</v>
      </c>
      <c r="E945" s="3"/>
      <c r="F945" s="3"/>
    </row>
    <row r="946" spans="1:6" hidden="1" x14ac:dyDescent="0.3">
      <c r="A946" s="7" t="str">
        <f>BD_ControlRegimen[[#This Row],[FECHA]]&amp;BD_ControlRegimen[[#This Row],[NOMBRE]]</f>
        <v>45130AREVALO CALDERON JUAN CARLOS</v>
      </c>
      <c r="B946" s="83">
        <f>WEEKNUM(BD_ControlRegimen[[#This Row],[FECHA]],2)</f>
        <v>30</v>
      </c>
      <c r="C946" s="7">
        <v>45130</v>
      </c>
      <c r="D946" s="3" t="s">
        <v>70</v>
      </c>
      <c r="E946" s="3"/>
      <c r="F946" s="3"/>
    </row>
    <row r="947" spans="1:6" hidden="1" x14ac:dyDescent="0.3">
      <c r="A947" s="7" t="str">
        <f>BD_ControlRegimen[[#This Row],[FECHA]]&amp;BD_ControlRegimen[[#This Row],[NOMBRE]]</f>
        <v>45131AREVALO CALDERON JUAN CARLOS</v>
      </c>
      <c r="B947" s="83">
        <f>WEEKNUM(BD_ControlRegimen[[#This Row],[FECHA]],2)</f>
        <v>31</v>
      </c>
      <c r="C947" s="7">
        <v>45131</v>
      </c>
      <c r="D947" s="3" t="s">
        <v>70</v>
      </c>
      <c r="E947" s="3"/>
      <c r="F947" s="3"/>
    </row>
    <row r="948" spans="1:6" hidden="1" x14ac:dyDescent="0.3">
      <c r="A948" s="7" t="str">
        <f>BD_ControlRegimen[[#This Row],[FECHA]]&amp;BD_ControlRegimen[[#This Row],[NOMBRE]]</f>
        <v>45132AREVALO CALDERON JUAN CARLOS</v>
      </c>
      <c r="B948" s="83">
        <f>WEEKNUM(BD_ControlRegimen[[#This Row],[FECHA]],2)</f>
        <v>31</v>
      </c>
      <c r="C948" s="7">
        <v>45132</v>
      </c>
      <c r="D948" s="3" t="s">
        <v>70</v>
      </c>
      <c r="E948" s="3"/>
      <c r="F948" s="3"/>
    </row>
    <row r="949" spans="1:6" hidden="1" x14ac:dyDescent="0.3">
      <c r="A949" s="7" t="str">
        <f>BD_ControlRegimen[[#This Row],[FECHA]]&amp;BD_ControlRegimen[[#This Row],[NOMBRE]]</f>
        <v>45133AREVALO CALDERON JUAN CARLOS</v>
      </c>
      <c r="B949" s="83">
        <f>WEEKNUM(BD_ControlRegimen[[#This Row],[FECHA]],2)</f>
        <v>31</v>
      </c>
      <c r="C949" s="7">
        <v>45133</v>
      </c>
      <c r="D949" s="3" t="s">
        <v>70</v>
      </c>
      <c r="E949" s="3"/>
      <c r="F949" s="3"/>
    </row>
    <row r="950" spans="1:6" hidden="1" x14ac:dyDescent="0.3">
      <c r="A950" s="7" t="str">
        <f>BD_ControlRegimen[[#This Row],[FECHA]]&amp;BD_ControlRegimen[[#This Row],[NOMBRE]]</f>
        <v>45134AREVALO CALDERON JUAN CARLOS</v>
      </c>
      <c r="B950" s="83">
        <f>WEEKNUM(BD_ControlRegimen[[#This Row],[FECHA]],2)</f>
        <v>31</v>
      </c>
      <c r="C950" s="7">
        <v>45134</v>
      </c>
      <c r="D950" s="3" t="s">
        <v>70</v>
      </c>
      <c r="E950" s="3"/>
      <c r="F950" s="3"/>
    </row>
    <row r="951" spans="1:6" hidden="1" x14ac:dyDescent="0.3">
      <c r="A951" s="7" t="str">
        <f>BD_ControlRegimen[[#This Row],[FECHA]]&amp;BD_ControlRegimen[[#This Row],[NOMBRE]]</f>
        <v>45135AREVALO CALDERON JUAN CARLOS</v>
      </c>
      <c r="B951" s="83">
        <f>WEEKNUM(BD_ControlRegimen[[#This Row],[FECHA]],2)</f>
        <v>31</v>
      </c>
      <c r="C951" s="7">
        <v>45135</v>
      </c>
      <c r="D951" s="3" t="s">
        <v>70</v>
      </c>
      <c r="E951" s="3"/>
      <c r="F951" s="3"/>
    </row>
    <row r="952" spans="1:6" hidden="1" x14ac:dyDescent="0.3">
      <c r="A952" s="7" t="str">
        <f>BD_ControlRegimen[[#This Row],[FECHA]]&amp;BD_ControlRegimen[[#This Row],[NOMBRE]]</f>
        <v>45136AREVALO CALDERON JUAN CARLOS</v>
      </c>
      <c r="B952" s="83">
        <f>WEEKNUM(BD_ControlRegimen[[#This Row],[FECHA]],2)</f>
        <v>31</v>
      </c>
      <c r="C952" s="7">
        <v>45136</v>
      </c>
      <c r="D952" s="3" t="s">
        <v>70</v>
      </c>
      <c r="E952" s="3"/>
      <c r="F952" s="3"/>
    </row>
    <row r="953" spans="1:6" hidden="1" x14ac:dyDescent="0.3">
      <c r="A953" s="7" t="str">
        <f>BD_ControlRegimen[[#This Row],[FECHA]]&amp;BD_ControlRegimen[[#This Row],[NOMBRE]]</f>
        <v>45137AREVALO CALDERON JUAN CARLOS</v>
      </c>
      <c r="B953" s="83">
        <f>WEEKNUM(BD_ControlRegimen[[#This Row],[FECHA]],2)</f>
        <v>31</v>
      </c>
      <c r="C953" s="7">
        <v>45137</v>
      </c>
      <c r="D953" s="3" t="s">
        <v>70</v>
      </c>
      <c r="E953" s="3"/>
      <c r="F953" s="3"/>
    </row>
    <row r="954" spans="1:6" hidden="1" x14ac:dyDescent="0.3">
      <c r="A954" s="7" t="str">
        <f>BD_ControlRegimen[[#This Row],[FECHA]]&amp;BD_ControlRegimen[[#This Row],[NOMBRE]]</f>
        <v>45138AREVALO CALDERON JUAN CARLOS</v>
      </c>
      <c r="B954" s="83">
        <f>WEEKNUM(BD_ControlRegimen[[#This Row],[FECHA]],2)</f>
        <v>32</v>
      </c>
      <c r="C954" s="7">
        <v>45138</v>
      </c>
      <c r="D954" s="3" t="s">
        <v>70</v>
      </c>
      <c r="E954" s="3"/>
      <c r="F954" s="3"/>
    </row>
    <row r="955" spans="1:6" hidden="1" x14ac:dyDescent="0.3">
      <c r="A955" s="7" t="str">
        <f>BD_ControlRegimen[[#This Row],[FECHA]]&amp;BD_ControlRegimen[[#This Row],[NOMBRE]]</f>
        <v>45139AREVALO CALDERON JUAN CARLOS</v>
      </c>
      <c r="B955" s="83">
        <f>WEEKNUM(BD_ControlRegimen[[#This Row],[FECHA]],2)</f>
        <v>32</v>
      </c>
      <c r="C955" s="7">
        <v>45139</v>
      </c>
      <c r="D955" s="3" t="s">
        <v>70</v>
      </c>
      <c r="E955" s="3"/>
      <c r="F955" s="3"/>
    </row>
    <row r="956" spans="1:6" hidden="1" x14ac:dyDescent="0.3">
      <c r="A956" s="7" t="str">
        <f>BD_ControlRegimen[[#This Row],[FECHA]]&amp;BD_ControlRegimen[[#This Row],[NOMBRE]]</f>
        <v>45140AREVALO CALDERON JUAN CARLOS</v>
      </c>
      <c r="B956" s="83">
        <f>WEEKNUM(BD_ControlRegimen[[#This Row],[FECHA]],2)</f>
        <v>32</v>
      </c>
      <c r="C956" s="7">
        <v>45140</v>
      </c>
      <c r="D956" s="3" t="s">
        <v>70</v>
      </c>
      <c r="E956" s="3"/>
      <c r="F956" s="3"/>
    </row>
    <row r="957" spans="1:6" hidden="1" x14ac:dyDescent="0.3">
      <c r="A957" s="7" t="str">
        <f>BD_ControlRegimen[[#This Row],[FECHA]]&amp;BD_ControlRegimen[[#This Row],[NOMBRE]]</f>
        <v>45141AREVALO CALDERON JUAN CARLOS</v>
      </c>
      <c r="B957" s="83">
        <f>WEEKNUM(BD_ControlRegimen[[#This Row],[FECHA]],2)</f>
        <v>32</v>
      </c>
      <c r="C957" s="7">
        <v>45141</v>
      </c>
      <c r="D957" s="3" t="s">
        <v>70</v>
      </c>
      <c r="E957" s="3"/>
      <c r="F957" s="3"/>
    </row>
    <row r="958" spans="1:6" hidden="1" x14ac:dyDescent="0.3">
      <c r="A958" s="7" t="str">
        <f>BD_ControlRegimen[[#This Row],[FECHA]]&amp;BD_ControlRegimen[[#This Row],[NOMBRE]]</f>
        <v>45142AREVALO CALDERON JUAN CARLOS</v>
      </c>
      <c r="B958" s="83">
        <f>WEEKNUM(BD_ControlRegimen[[#This Row],[FECHA]],2)</f>
        <v>32</v>
      </c>
      <c r="C958" s="7">
        <v>45142</v>
      </c>
      <c r="D958" s="3" t="s">
        <v>70</v>
      </c>
      <c r="E958" s="3"/>
      <c r="F958" s="3"/>
    </row>
    <row r="959" spans="1:6" hidden="1" x14ac:dyDescent="0.3">
      <c r="A959" s="7" t="str">
        <f>BD_ControlRegimen[[#This Row],[FECHA]]&amp;BD_ControlRegimen[[#This Row],[NOMBRE]]</f>
        <v>45143AREVALO CALDERON JUAN CARLOS</v>
      </c>
      <c r="B959" s="83">
        <f>WEEKNUM(BD_ControlRegimen[[#This Row],[FECHA]],2)</f>
        <v>32</v>
      </c>
      <c r="C959" s="7">
        <v>45143</v>
      </c>
      <c r="D959" s="3" t="s">
        <v>70</v>
      </c>
      <c r="E959" s="3"/>
      <c r="F959" s="3"/>
    </row>
    <row r="960" spans="1:6" hidden="1" x14ac:dyDescent="0.3">
      <c r="A960" s="7" t="str">
        <f>BD_ControlRegimen[[#This Row],[FECHA]]&amp;BD_ControlRegimen[[#This Row],[NOMBRE]]</f>
        <v>45144AREVALO CALDERON JUAN CARLOS</v>
      </c>
      <c r="B960" s="83">
        <f>WEEKNUM(BD_ControlRegimen[[#This Row],[FECHA]],2)</f>
        <v>32</v>
      </c>
      <c r="C960" s="7">
        <v>45144</v>
      </c>
      <c r="D960" s="3" t="s">
        <v>70</v>
      </c>
      <c r="E960" s="3"/>
      <c r="F960" s="3"/>
    </row>
    <row r="961" spans="1:6" hidden="1" x14ac:dyDescent="0.3">
      <c r="A961" s="7" t="str">
        <f>BD_ControlRegimen[[#This Row],[FECHA]]&amp;BD_ControlRegimen[[#This Row],[NOMBRE]]</f>
        <v>45145AREVALO CALDERON JUAN CARLOS</v>
      </c>
      <c r="B961" s="83">
        <f>WEEKNUM(BD_ControlRegimen[[#This Row],[FECHA]],2)</f>
        <v>33</v>
      </c>
      <c r="C961" s="7">
        <v>45145</v>
      </c>
      <c r="D961" s="3" t="s">
        <v>70</v>
      </c>
      <c r="E961" s="3"/>
      <c r="F961" s="3"/>
    </row>
    <row r="962" spans="1:6" hidden="1" x14ac:dyDescent="0.3">
      <c r="A962" s="7" t="str">
        <f>BD_ControlRegimen[[#This Row],[FECHA]]&amp;BD_ControlRegimen[[#This Row],[NOMBRE]]</f>
        <v>45146AREVALO CALDERON JUAN CARLOS</v>
      </c>
      <c r="B962" s="83">
        <f>WEEKNUM(BD_ControlRegimen[[#This Row],[FECHA]],2)</f>
        <v>33</v>
      </c>
      <c r="C962" s="7">
        <v>45146</v>
      </c>
      <c r="D962" s="3" t="s">
        <v>70</v>
      </c>
      <c r="E962" s="3"/>
      <c r="F962" s="3"/>
    </row>
    <row r="963" spans="1:6" hidden="1" x14ac:dyDescent="0.3">
      <c r="A963" s="7" t="str">
        <f>BD_ControlRegimen[[#This Row],[FECHA]]&amp;BD_ControlRegimen[[#This Row],[NOMBRE]]</f>
        <v>45147AREVALO CALDERON JUAN CARLOS</v>
      </c>
      <c r="B963" s="83">
        <f>WEEKNUM(BD_ControlRegimen[[#This Row],[FECHA]],2)</f>
        <v>33</v>
      </c>
      <c r="C963" s="7">
        <v>45147</v>
      </c>
      <c r="D963" s="3" t="s">
        <v>70</v>
      </c>
      <c r="E963" s="3"/>
      <c r="F963" s="3"/>
    </row>
    <row r="964" spans="1:6" hidden="1" x14ac:dyDescent="0.3">
      <c r="A964" s="7" t="str">
        <f>BD_ControlRegimen[[#This Row],[FECHA]]&amp;BD_ControlRegimen[[#This Row],[NOMBRE]]</f>
        <v>45148AREVALO CALDERON JUAN CARLOS</v>
      </c>
      <c r="B964" s="83">
        <f>WEEKNUM(BD_ControlRegimen[[#This Row],[FECHA]],2)</f>
        <v>33</v>
      </c>
      <c r="C964" s="7">
        <v>45148</v>
      </c>
      <c r="D964" s="3" t="s">
        <v>70</v>
      </c>
      <c r="E964" s="3"/>
      <c r="F964" s="3"/>
    </row>
    <row r="965" spans="1:6" hidden="1" x14ac:dyDescent="0.3">
      <c r="A965" s="7" t="str">
        <f>BD_ControlRegimen[[#This Row],[FECHA]]&amp;BD_ControlRegimen[[#This Row],[NOMBRE]]</f>
        <v>45149AREVALO CALDERON JUAN CARLOS</v>
      </c>
      <c r="B965" s="83">
        <f>WEEKNUM(BD_ControlRegimen[[#This Row],[FECHA]],2)</f>
        <v>33</v>
      </c>
      <c r="C965" s="7">
        <v>45149</v>
      </c>
      <c r="D965" s="3" t="s">
        <v>70</v>
      </c>
      <c r="E965" s="3"/>
      <c r="F965" s="3"/>
    </row>
    <row r="966" spans="1:6" hidden="1" x14ac:dyDescent="0.3">
      <c r="A966" s="7" t="str">
        <f>BD_ControlRegimen[[#This Row],[FECHA]]&amp;BD_ControlRegimen[[#This Row],[NOMBRE]]</f>
        <v>45150AREVALO CALDERON JUAN CARLOS</v>
      </c>
      <c r="B966" s="83">
        <f>WEEKNUM(BD_ControlRegimen[[#This Row],[FECHA]],2)</f>
        <v>33</v>
      </c>
      <c r="C966" s="7">
        <v>45150</v>
      </c>
      <c r="D966" s="3" t="s">
        <v>70</v>
      </c>
      <c r="E966" s="3"/>
      <c r="F966" s="3"/>
    </row>
    <row r="967" spans="1:6" hidden="1" x14ac:dyDescent="0.3">
      <c r="A967" s="7" t="str">
        <f>BD_ControlRegimen[[#This Row],[FECHA]]&amp;BD_ControlRegimen[[#This Row],[NOMBRE]]</f>
        <v>45151AREVALO CALDERON JUAN CARLOS</v>
      </c>
      <c r="B967" s="83">
        <f>WEEKNUM(BD_ControlRegimen[[#This Row],[FECHA]],2)</f>
        <v>33</v>
      </c>
      <c r="C967" s="7">
        <v>45151</v>
      </c>
      <c r="D967" s="3" t="s">
        <v>70</v>
      </c>
      <c r="E967" s="3"/>
      <c r="F967" s="3"/>
    </row>
    <row r="968" spans="1:6" hidden="1" x14ac:dyDescent="0.3">
      <c r="A968" s="7" t="str">
        <f>BD_ControlRegimen[[#This Row],[FECHA]]&amp;BD_ControlRegimen[[#This Row],[NOMBRE]]</f>
        <v>45152AREVALO CALDERON JUAN CARLOS</v>
      </c>
      <c r="B968" s="83">
        <f>WEEKNUM(BD_ControlRegimen[[#This Row],[FECHA]],2)</f>
        <v>34</v>
      </c>
      <c r="C968" s="7">
        <v>45152</v>
      </c>
      <c r="D968" s="3" t="s">
        <v>70</v>
      </c>
      <c r="E968" s="3"/>
      <c r="F968" s="3"/>
    </row>
    <row r="969" spans="1:6" hidden="1" x14ac:dyDescent="0.3">
      <c r="A969" s="7" t="str">
        <f>BD_ControlRegimen[[#This Row],[FECHA]]&amp;BD_ControlRegimen[[#This Row],[NOMBRE]]</f>
        <v>45153AREVALO CALDERON JUAN CARLOS</v>
      </c>
      <c r="B969" s="83">
        <f>WEEKNUM(BD_ControlRegimen[[#This Row],[FECHA]],2)</f>
        <v>34</v>
      </c>
      <c r="C969" s="7">
        <v>45153</v>
      </c>
      <c r="D969" s="3" t="s">
        <v>70</v>
      </c>
      <c r="E969" s="3"/>
      <c r="F969" s="3"/>
    </row>
    <row r="970" spans="1:6" hidden="1" x14ac:dyDescent="0.3">
      <c r="A970" s="7" t="str">
        <f>BD_ControlRegimen[[#This Row],[FECHA]]&amp;BD_ControlRegimen[[#This Row],[NOMBRE]]</f>
        <v>45154AREVALO CALDERON JUAN CARLOS</v>
      </c>
      <c r="B970" s="83">
        <f>WEEKNUM(BD_ControlRegimen[[#This Row],[FECHA]],2)</f>
        <v>34</v>
      </c>
      <c r="C970" s="7">
        <v>45154</v>
      </c>
      <c r="D970" s="3" t="s">
        <v>70</v>
      </c>
      <c r="E970" s="3"/>
      <c r="F970" s="3"/>
    </row>
    <row r="971" spans="1:6" hidden="1" x14ac:dyDescent="0.3">
      <c r="A971" s="7" t="str">
        <f>BD_ControlRegimen[[#This Row],[FECHA]]&amp;BD_ControlRegimen[[#This Row],[NOMBRE]]</f>
        <v>45155AREVALO CALDERON JUAN CARLOS</v>
      </c>
      <c r="B971" s="83">
        <f>WEEKNUM(BD_ControlRegimen[[#This Row],[FECHA]],2)</f>
        <v>34</v>
      </c>
      <c r="C971" s="7">
        <v>45155</v>
      </c>
      <c r="D971" s="3" t="s">
        <v>70</v>
      </c>
      <c r="E971" s="3"/>
      <c r="F971" s="3"/>
    </row>
    <row r="972" spans="1:6" hidden="1" x14ac:dyDescent="0.3">
      <c r="A972" s="7" t="str">
        <f>BD_ControlRegimen[[#This Row],[FECHA]]&amp;BD_ControlRegimen[[#This Row],[NOMBRE]]</f>
        <v>45156AREVALO CALDERON JUAN CARLOS</v>
      </c>
      <c r="B972" s="83">
        <f>WEEKNUM(BD_ControlRegimen[[#This Row],[FECHA]],2)</f>
        <v>34</v>
      </c>
      <c r="C972" s="7">
        <v>45156</v>
      </c>
      <c r="D972" s="3" t="s">
        <v>70</v>
      </c>
      <c r="E972" s="3"/>
      <c r="F972" s="3"/>
    </row>
    <row r="973" spans="1:6" hidden="1" x14ac:dyDescent="0.3">
      <c r="A973" s="7" t="str">
        <f>BD_ControlRegimen[[#This Row],[FECHA]]&amp;BD_ControlRegimen[[#This Row],[NOMBRE]]</f>
        <v>45157AREVALO CALDERON JUAN CARLOS</v>
      </c>
      <c r="B973" s="83">
        <f>WEEKNUM(BD_ControlRegimen[[#This Row],[FECHA]],2)</f>
        <v>34</v>
      </c>
      <c r="C973" s="7">
        <v>45157</v>
      </c>
      <c r="D973" s="3" t="s">
        <v>70</v>
      </c>
      <c r="E973" s="3"/>
      <c r="F973" s="3"/>
    </row>
    <row r="974" spans="1:6" hidden="1" x14ac:dyDescent="0.3">
      <c r="A974" s="7" t="str">
        <f>BD_ControlRegimen[[#This Row],[FECHA]]&amp;BD_ControlRegimen[[#This Row],[NOMBRE]]</f>
        <v>45158AREVALO CALDERON JUAN CARLOS</v>
      </c>
      <c r="B974" s="83">
        <f>WEEKNUM(BD_ControlRegimen[[#This Row],[FECHA]],2)</f>
        <v>34</v>
      </c>
      <c r="C974" s="7">
        <v>45158</v>
      </c>
      <c r="D974" s="3" t="s">
        <v>70</v>
      </c>
      <c r="E974" s="3"/>
      <c r="F974" s="3"/>
    </row>
    <row r="975" spans="1:6" hidden="1" x14ac:dyDescent="0.3">
      <c r="A975" s="7" t="str">
        <f>BD_ControlRegimen[[#This Row],[FECHA]]&amp;BD_ControlRegimen[[#This Row],[NOMBRE]]</f>
        <v>45159AREVALO CALDERON JUAN CARLOS</v>
      </c>
      <c r="B975" s="83">
        <f>WEEKNUM(BD_ControlRegimen[[#This Row],[FECHA]],2)</f>
        <v>35</v>
      </c>
      <c r="C975" s="7">
        <v>45159</v>
      </c>
      <c r="D975" s="3" t="s">
        <v>70</v>
      </c>
      <c r="E975" s="3"/>
      <c r="F975" s="3"/>
    </row>
    <row r="976" spans="1:6" hidden="1" x14ac:dyDescent="0.3">
      <c r="A976" s="7" t="str">
        <f>BD_ControlRegimen[[#This Row],[FECHA]]&amp;BD_ControlRegimen[[#This Row],[NOMBRE]]</f>
        <v>45160AREVALO CALDERON JUAN CARLOS</v>
      </c>
      <c r="B976" s="83">
        <f>WEEKNUM(BD_ControlRegimen[[#This Row],[FECHA]],2)</f>
        <v>35</v>
      </c>
      <c r="C976" s="7">
        <v>45160</v>
      </c>
      <c r="D976" s="3" t="s">
        <v>70</v>
      </c>
      <c r="E976" s="3"/>
      <c r="F976" s="3"/>
    </row>
    <row r="977" spans="1:6" hidden="1" x14ac:dyDescent="0.3">
      <c r="A977" s="7" t="str">
        <f>BD_ControlRegimen[[#This Row],[FECHA]]&amp;BD_ControlRegimen[[#This Row],[NOMBRE]]</f>
        <v>45161AREVALO CALDERON JUAN CARLOS</v>
      </c>
      <c r="B977" s="83">
        <f>WEEKNUM(BD_ControlRegimen[[#This Row],[FECHA]],2)</f>
        <v>35</v>
      </c>
      <c r="C977" s="7">
        <v>45161</v>
      </c>
      <c r="D977" s="3" t="s">
        <v>70</v>
      </c>
      <c r="E977" s="3"/>
      <c r="F977" s="3"/>
    </row>
    <row r="978" spans="1:6" hidden="1" x14ac:dyDescent="0.3">
      <c r="A978" s="7" t="str">
        <f>BD_ControlRegimen[[#This Row],[FECHA]]&amp;BD_ControlRegimen[[#This Row],[NOMBRE]]</f>
        <v>45162AREVALO CALDERON JUAN CARLOS</v>
      </c>
      <c r="B978" s="83">
        <f>WEEKNUM(BD_ControlRegimen[[#This Row],[FECHA]],2)</f>
        <v>35</v>
      </c>
      <c r="C978" s="7">
        <v>45162</v>
      </c>
      <c r="D978" s="3" t="s">
        <v>70</v>
      </c>
      <c r="E978" s="3"/>
      <c r="F978" s="3"/>
    </row>
    <row r="979" spans="1:6" hidden="1" x14ac:dyDescent="0.3">
      <c r="A979" s="7" t="str">
        <f>BD_ControlRegimen[[#This Row],[FECHA]]&amp;BD_ControlRegimen[[#This Row],[NOMBRE]]</f>
        <v>45163AREVALO CALDERON JUAN CARLOS</v>
      </c>
      <c r="B979" s="83">
        <f>WEEKNUM(BD_ControlRegimen[[#This Row],[FECHA]],2)</f>
        <v>35</v>
      </c>
      <c r="C979" s="7">
        <v>45163</v>
      </c>
      <c r="D979" s="3" t="s">
        <v>70</v>
      </c>
      <c r="E979" s="3"/>
      <c r="F979" s="3"/>
    </row>
    <row r="980" spans="1:6" hidden="1" x14ac:dyDescent="0.3">
      <c r="A980" s="7" t="str">
        <f>BD_ControlRegimen[[#This Row],[FECHA]]&amp;BD_ControlRegimen[[#This Row],[NOMBRE]]</f>
        <v>45164AREVALO CALDERON JUAN CARLOS</v>
      </c>
      <c r="B980" s="83">
        <f>WEEKNUM(BD_ControlRegimen[[#This Row],[FECHA]],2)</f>
        <v>35</v>
      </c>
      <c r="C980" s="7">
        <v>45164</v>
      </c>
      <c r="D980" s="3" t="s">
        <v>70</v>
      </c>
      <c r="E980" s="3"/>
      <c r="F980" s="3"/>
    </row>
    <row r="981" spans="1:6" hidden="1" x14ac:dyDescent="0.3">
      <c r="A981" s="7" t="str">
        <f>BD_ControlRegimen[[#This Row],[FECHA]]&amp;BD_ControlRegimen[[#This Row],[NOMBRE]]</f>
        <v>45165AREVALO CALDERON JUAN CARLOS</v>
      </c>
      <c r="B981" s="83">
        <f>WEEKNUM(BD_ControlRegimen[[#This Row],[FECHA]],2)</f>
        <v>35</v>
      </c>
      <c r="C981" s="7">
        <v>45165</v>
      </c>
      <c r="D981" s="3" t="s">
        <v>70</v>
      </c>
      <c r="E981" s="3"/>
      <c r="F981" s="3"/>
    </row>
    <row r="982" spans="1:6" hidden="1" x14ac:dyDescent="0.3">
      <c r="A982" s="7" t="str">
        <f>BD_ControlRegimen[[#This Row],[FECHA]]&amp;BD_ControlRegimen[[#This Row],[NOMBRE]]</f>
        <v>45166AREVALO CALDERON JUAN CARLOS</v>
      </c>
      <c r="B982" s="83">
        <f>WEEKNUM(BD_ControlRegimen[[#This Row],[FECHA]],2)</f>
        <v>36</v>
      </c>
      <c r="C982" s="7">
        <v>45166</v>
      </c>
      <c r="D982" s="3" t="s">
        <v>70</v>
      </c>
      <c r="E982" s="3"/>
      <c r="F982" s="3"/>
    </row>
    <row r="983" spans="1:6" hidden="1" x14ac:dyDescent="0.3">
      <c r="A983" s="7" t="str">
        <f>BD_ControlRegimen[[#This Row],[FECHA]]&amp;BD_ControlRegimen[[#This Row],[NOMBRE]]</f>
        <v>45167AREVALO CALDERON JUAN CARLOS</v>
      </c>
      <c r="B983" s="83">
        <f>WEEKNUM(BD_ControlRegimen[[#This Row],[FECHA]],2)</f>
        <v>36</v>
      </c>
      <c r="C983" s="7">
        <v>45167</v>
      </c>
      <c r="D983" s="3" t="s">
        <v>70</v>
      </c>
      <c r="E983" s="3"/>
      <c r="F983" s="3"/>
    </row>
    <row r="984" spans="1:6" hidden="1" x14ac:dyDescent="0.3">
      <c r="A984" s="7" t="str">
        <f>BD_ControlRegimen[[#This Row],[FECHA]]&amp;BD_ControlRegimen[[#This Row],[NOMBRE]]</f>
        <v>45168AREVALO CALDERON JUAN CARLOS</v>
      </c>
      <c r="B984" s="83">
        <f>WEEKNUM(BD_ControlRegimen[[#This Row],[FECHA]],2)</f>
        <v>36</v>
      </c>
      <c r="C984" s="7">
        <v>45168</v>
      </c>
      <c r="D984" s="3" t="s">
        <v>70</v>
      </c>
      <c r="E984" s="3"/>
      <c r="F984" s="3"/>
    </row>
    <row r="985" spans="1:6" hidden="1" x14ac:dyDescent="0.3">
      <c r="A985" s="7" t="str">
        <f>BD_ControlRegimen[[#This Row],[FECHA]]&amp;BD_ControlRegimen[[#This Row],[NOMBRE]]</f>
        <v>45169AREVALO CALDERON JUAN CARLOS</v>
      </c>
      <c r="B985" s="83">
        <f>WEEKNUM(BD_ControlRegimen[[#This Row],[FECHA]],2)</f>
        <v>36</v>
      </c>
      <c r="C985" s="7">
        <v>45169</v>
      </c>
      <c r="D985" s="3" t="s">
        <v>70</v>
      </c>
      <c r="E985" s="3"/>
      <c r="F985" s="3"/>
    </row>
    <row r="986" spans="1:6" hidden="1" x14ac:dyDescent="0.3">
      <c r="A986" s="7" t="str">
        <f>BD_ControlRegimen[[#This Row],[FECHA]]&amp;BD_ControlRegimen[[#This Row],[NOMBRE]]</f>
        <v>45170AREVALO CALDERON JUAN CARLOS</v>
      </c>
      <c r="B986" s="83">
        <f>WEEKNUM(BD_ControlRegimen[[#This Row],[FECHA]],2)</f>
        <v>36</v>
      </c>
      <c r="C986" s="7">
        <v>45170</v>
      </c>
      <c r="D986" s="3" t="s">
        <v>70</v>
      </c>
      <c r="E986" s="3"/>
      <c r="F986" s="3"/>
    </row>
    <row r="987" spans="1:6" hidden="1" x14ac:dyDescent="0.3">
      <c r="A987" s="7" t="str">
        <f>BD_ControlRegimen[[#This Row],[FECHA]]&amp;BD_ControlRegimen[[#This Row],[NOMBRE]]</f>
        <v>45171AREVALO CALDERON JUAN CARLOS</v>
      </c>
      <c r="B987" s="83">
        <f>WEEKNUM(BD_ControlRegimen[[#This Row],[FECHA]],2)</f>
        <v>36</v>
      </c>
      <c r="C987" s="7">
        <v>45171</v>
      </c>
      <c r="D987" s="3" t="s">
        <v>70</v>
      </c>
      <c r="E987" s="3"/>
      <c r="F987" s="3"/>
    </row>
    <row r="988" spans="1:6" hidden="1" x14ac:dyDescent="0.3">
      <c r="A988" s="7" t="str">
        <f>BD_ControlRegimen[[#This Row],[FECHA]]&amp;BD_ControlRegimen[[#This Row],[NOMBRE]]</f>
        <v>45172AREVALO CALDERON JUAN CARLOS</v>
      </c>
      <c r="B988" s="83">
        <f>WEEKNUM(BD_ControlRegimen[[#This Row],[FECHA]],2)</f>
        <v>36</v>
      </c>
      <c r="C988" s="7">
        <v>45172</v>
      </c>
      <c r="D988" s="3" t="s">
        <v>70</v>
      </c>
      <c r="E988" s="3"/>
      <c r="F988" s="3"/>
    </row>
    <row r="989" spans="1:6" hidden="1" x14ac:dyDescent="0.3">
      <c r="A989" s="7" t="str">
        <f>BD_ControlRegimen[[#This Row],[FECHA]]&amp;BD_ControlRegimen[[#This Row],[NOMBRE]]</f>
        <v>45173AREVALO CALDERON JUAN CARLOS</v>
      </c>
      <c r="B989" s="83">
        <f>WEEKNUM(BD_ControlRegimen[[#This Row],[FECHA]],2)</f>
        <v>37</v>
      </c>
      <c r="C989" s="7">
        <v>45173</v>
      </c>
      <c r="D989" s="3" t="s">
        <v>70</v>
      </c>
      <c r="E989" s="3"/>
      <c r="F989" s="3"/>
    </row>
    <row r="990" spans="1:6" hidden="1" x14ac:dyDescent="0.3">
      <c r="A990" s="7" t="str">
        <f>BD_ControlRegimen[[#This Row],[FECHA]]&amp;BD_ControlRegimen[[#This Row],[NOMBRE]]</f>
        <v>45174AREVALO CALDERON JUAN CARLOS</v>
      </c>
      <c r="B990" s="83">
        <f>WEEKNUM(BD_ControlRegimen[[#This Row],[FECHA]],2)</f>
        <v>37</v>
      </c>
      <c r="C990" s="7">
        <v>45174</v>
      </c>
      <c r="D990" s="3" t="s">
        <v>70</v>
      </c>
      <c r="E990" s="3"/>
      <c r="F990" s="3"/>
    </row>
    <row r="991" spans="1:6" hidden="1" x14ac:dyDescent="0.3">
      <c r="A991" s="7" t="str">
        <f>BD_ControlRegimen[[#This Row],[FECHA]]&amp;BD_ControlRegimen[[#This Row],[NOMBRE]]</f>
        <v>45175AREVALO CALDERON JUAN CARLOS</v>
      </c>
      <c r="B991" s="83">
        <f>WEEKNUM(BD_ControlRegimen[[#This Row],[FECHA]],2)</f>
        <v>37</v>
      </c>
      <c r="C991" s="7">
        <v>45175</v>
      </c>
      <c r="D991" s="3" t="s">
        <v>70</v>
      </c>
      <c r="E991" s="3"/>
      <c r="F991" s="3"/>
    </row>
    <row r="992" spans="1:6" hidden="1" x14ac:dyDescent="0.3">
      <c r="A992" s="7" t="str">
        <f>BD_ControlRegimen[[#This Row],[FECHA]]&amp;BD_ControlRegimen[[#This Row],[NOMBRE]]</f>
        <v>45176AREVALO CALDERON JUAN CARLOS</v>
      </c>
      <c r="B992" s="83">
        <f>WEEKNUM(BD_ControlRegimen[[#This Row],[FECHA]],2)</f>
        <v>37</v>
      </c>
      <c r="C992" s="7">
        <v>45176</v>
      </c>
      <c r="D992" s="3" t="s">
        <v>70</v>
      </c>
      <c r="E992" s="3"/>
      <c r="F992" s="3"/>
    </row>
    <row r="993" spans="1:6" hidden="1" x14ac:dyDescent="0.3">
      <c r="A993" s="7" t="str">
        <f>BD_ControlRegimen[[#This Row],[FECHA]]&amp;BD_ControlRegimen[[#This Row],[NOMBRE]]</f>
        <v>45177AREVALO CALDERON JUAN CARLOS</v>
      </c>
      <c r="B993" s="83">
        <f>WEEKNUM(BD_ControlRegimen[[#This Row],[FECHA]],2)</f>
        <v>37</v>
      </c>
      <c r="C993" s="7">
        <v>45177</v>
      </c>
      <c r="D993" s="3" t="s">
        <v>70</v>
      </c>
      <c r="E993" s="3"/>
      <c r="F993" s="3"/>
    </row>
    <row r="994" spans="1:6" hidden="1" x14ac:dyDescent="0.3">
      <c r="A994" s="7" t="str">
        <f>BD_ControlRegimen[[#This Row],[FECHA]]&amp;BD_ControlRegimen[[#This Row],[NOMBRE]]</f>
        <v>45178AREVALO CALDERON JUAN CARLOS</v>
      </c>
      <c r="B994" s="83">
        <f>WEEKNUM(BD_ControlRegimen[[#This Row],[FECHA]],2)</f>
        <v>37</v>
      </c>
      <c r="C994" s="7">
        <v>45178</v>
      </c>
      <c r="D994" s="3" t="s">
        <v>70</v>
      </c>
      <c r="E994" s="3"/>
      <c r="F994" s="3"/>
    </row>
    <row r="995" spans="1:6" hidden="1" x14ac:dyDescent="0.3">
      <c r="A995" s="7" t="str">
        <f>BD_ControlRegimen[[#This Row],[FECHA]]&amp;BD_ControlRegimen[[#This Row],[NOMBRE]]</f>
        <v>45179AREVALO CALDERON JUAN CARLOS</v>
      </c>
      <c r="B995" s="83">
        <f>WEEKNUM(BD_ControlRegimen[[#This Row],[FECHA]],2)</f>
        <v>37</v>
      </c>
      <c r="C995" s="7">
        <v>45179</v>
      </c>
      <c r="D995" s="3" t="s">
        <v>70</v>
      </c>
      <c r="E995" s="3"/>
      <c r="F995" s="3"/>
    </row>
    <row r="996" spans="1:6" hidden="1" x14ac:dyDescent="0.3">
      <c r="A996" s="7" t="str">
        <f>BD_ControlRegimen[[#This Row],[FECHA]]&amp;BD_ControlRegimen[[#This Row],[NOMBRE]]</f>
        <v>45180AREVALO CALDERON JUAN CARLOS</v>
      </c>
      <c r="B996" s="83">
        <f>WEEKNUM(BD_ControlRegimen[[#This Row],[FECHA]],2)</f>
        <v>38</v>
      </c>
      <c r="C996" s="7">
        <v>45180</v>
      </c>
      <c r="D996" s="3" t="s">
        <v>70</v>
      </c>
      <c r="E996" s="3"/>
      <c r="F996" s="3"/>
    </row>
    <row r="997" spans="1:6" hidden="1" x14ac:dyDescent="0.3">
      <c r="A997" s="7" t="str">
        <f>BD_ControlRegimen[[#This Row],[FECHA]]&amp;BD_ControlRegimen[[#This Row],[NOMBRE]]</f>
        <v>45181AREVALO CALDERON JUAN CARLOS</v>
      </c>
      <c r="B997" s="83">
        <f>WEEKNUM(BD_ControlRegimen[[#This Row],[FECHA]],2)</f>
        <v>38</v>
      </c>
      <c r="C997" s="7">
        <v>45181</v>
      </c>
      <c r="D997" s="3" t="s">
        <v>70</v>
      </c>
      <c r="E997" s="3"/>
      <c r="F997" s="3"/>
    </row>
    <row r="998" spans="1:6" hidden="1" x14ac:dyDescent="0.3">
      <c r="A998" s="7" t="str">
        <f>BD_ControlRegimen[[#This Row],[FECHA]]&amp;BD_ControlRegimen[[#This Row],[NOMBRE]]</f>
        <v>45182AREVALO CALDERON JUAN CARLOS</v>
      </c>
      <c r="B998" s="83">
        <f>WEEKNUM(BD_ControlRegimen[[#This Row],[FECHA]],2)</f>
        <v>38</v>
      </c>
      <c r="C998" s="7">
        <v>45182</v>
      </c>
      <c r="D998" s="3" t="s">
        <v>70</v>
      </c>
      <c r="E998" s="3"/>
      <c r="F998" s="3"/>
    </row>
    <row r="999" spans="1:6" hidden="1" x14ac:dyDescent="0.3">
      <c r="A999" s="7" t="str">
        <f>BD_ControlRegimen[[#This Row],[FECHA]]&amp;BD_ControlRegimen[[#This Row],[NOMBRE]]</f>
        <v>45183AREVALO CALDERON JUAN CARLOS</v>
      </c>
      <c r="B999" s="83">
        <f>WEEKNUM(BD_ControlRegimen[[#This Row],[FECHA]],2)</f>
        <v>38</v>
      </c>
      <c r="C999" s="7">
        <v>45183</v>
      </c>
      <c r="D999" s="3" t="s">
        <v>70</v>
      </c>
      <c r="E999" s="3"/>
      <c r="F999" s="3"/>
    </row>
    <row r="1000" spans="1:6" hidden="1" x14ac:dyDescent="0.3">
      <c r="A1000" s="7" t="str">
        <f>BD_ControlRegimen[[#This Row],[FECHA]]&amp;BD_ControlRegimen[[#This Row],[NOMBRE]]</f>
        <v>45184AREVALO CALDERON JUAN CARLOS</v>
      </c>
      <c r="B1000" s="83">
        <f>WEEKNUM(BD_ControlRegimen[[#This Row],[FECHA]],2)</f>
        <v>38</v>
      </c>
      <c r="C1000" s="7">
        <v>45184</v>
      </c>
      <c r="D1000" s="3" t="s">
        <v>70</v>
      </c>
      <c r="E1000" s="3"/>
      <c r="F1000" s="3"/>
    </row>
    <row r="1001" spans="1:6" hidden="1" x14ac:dyDescent="0.3">
      <c r="A1001" s="7" t="str">
        <f>BD_ControlRegimen[[#This Row],[FECHA]]&amp;BD_ControlRegimen[[#This Row],[NOMBRE]]</f>
        <v>45185AREVALO CALDERON JUAN CARLOS</v>
      </c>
      <c r="B1001" s="83">
        <f>WEEKNUM(BD_ControlRegimen[[#This Row],[FECHA]],2)</f>
        <v>38</v>
      </c>
      <c r="C1001" s="7">
        <v>45185</v>
      </c>
      <c r="D1001" s="3" t="s">
        <v>70</v>
      </c>
      <c r="E1001" s="3"/>
      <c r="F1001" s="3"/>
    </row>
    <row r="1002" spans="1:6" hidden="1" x14ac:dyDescent="0.3">
      <c r="A1002" s="7" t="str">
        <f>BD_ControlRegimen[[#This Row],[FECHA]]&amp;BD_ControlRegimen[[#This Row],[NOMBRE]]</f>
        <v>45186AREVALO CALDERON JUAN CARLOS</v>
      </c>
      <c r="B1002" s="83">
        <f>WEEKNUM(BD_ControlRegimen[[#This Row],[FECHA]],2)</f>
        <v>38</v>
      </c>
      <c r="C1002" s="7">
        <v>45186</v>
      </c>
      <c r="D1002" s="3" t="s">
        <v>70</v>
      </c>
      <c r="E1002" s="3"/>
      <c r="F1002" s="3"/>
    </row>
    <row r="1003" spans="1:6" hidden="1" x14ac:dyDescent="0.3">
      <c r="A1003" s="7" t="str">
        <f>BD_ControlRegimen[[#This Row],[FECHA]]&amp;BD_ControlRegimen[[#This Row],[NOMBRE]]</f>
        <v>45187AREVALO CALDERON JUAN CARLOS</v>
      </c>
      <c r="B1003" s="83">
        <f>WEEKNUM(BD_ControlRegimen[[#This Row],[FECHA]],2)</f>
        <v>39</v>
      </c>
      <c r="C1003" s="7">
        <v>45187</v>
      </c>
      <c r="D1003" s="3" t="s">
        <v>70</v>
      </c>
      <c r="E1003" s="3"/>
      <c r="F1003" s="3"/>
    </row>
    <row r="1004" spans="1:6" hidden="1" x14ac:dyDescent="0.3">
      <c r="A1004" s="7" t="str">
        <f>BD_ControlRegimen[[#This Row],[FECHA]]&amp;BD_ControlRegimen[[#This Row],[NOMBRE]]</f>
        <v>45188AREVALO CALDERON JUAN CARLOS</v>
      </c>
      <c r="B1004" s="83">
        <f>WEEKNUM(BD_ControlRegimen[[#This Row],[FECHA]],2)</f>
        <v>39</v>
      </c>
      <c r="C1004" s="7">
        <v>45188</v>
      </c>
      <c r="D1004" s="3" t="s">
        <v>70</v>
      </c>
      <c r="E1004" s="3"/>
      <c r="F1004" s="3"/>
    </row>
    <row r="1005" spans="1:6" hidden="1" x14ac:dyDescent="0.3">
      <c r="A1005" s="7" t="str">
        <f>BD_ControlRegimen[[#This Row],[FECHA]]&amp;BD_ControlRegimen[[#This Row],[NOMBRE]]</f>
        <v>45189AREVALO CALDERON JUAN CARLOS</v>
      </c>
      <c r="B1005" s="83">
        <f>WEEKNUM(BD_ControlRegimen[[#This Row],[FECHA]],2)</f>
        <v>39</v>
      </c>
      <c r="C1005" s="7">
        <v>45189</v>
      </c>
      <c r="D1005" s="3" t="s">
        <v>70</v>
      </c>
      <c r="E1005" s="3"/>
      <c r="F1005" s="3"/>
    </row>
    <row r="1006" spans="1:6" hidden="1" x14ac:dyDescent="0.3">
      <c r="A1006" s="7" t="str">
        <f>BD_ControlRegimen[[#This Row],[FECHA]]&amp;BD_ControlRegimen[[#This Row],[NOMBRE]]</f>
        <v>45190AREVALO CALDERON JUAN CARLOS</v>
      </c>
      <c r="B1006" s="83">
        <f>WEEKNUM(BD_ControlRegimen[[#This Row],[FECHA]],2)</f>
        <v>39</v>
      </c>
      <c r="C1006" s="7">
        <v>45190</v>
      </c>
      <c r="D1006" s="3" t="s">
        <v>70</v>
      </c>
      <c r="E1006" s="3"/>
      <c r="F1006" s="3"/>
    </row>
    <row r="1007" spans="1:6" hidden="1" x14ac:dyDescent="0.3">
      <c r="A1007" s="7" t="str">
        <f>BD_ControlRegimen[[#This Row],[FECHA]]&amp;BD_ControlRegimen[[#This Row],[NOMBRE]]</f>
        <v>45191AREVALO CALDERON JUAN CARLOS</v>
      </c>
      <c r="B1007" s="83">
        <f>WEEKNUM(BD_ControlRegimen[[#This Row],[FECHA]],2)</f>
        <v>39</v>
      </c>
      <c r="C1007" s="7">
        <v>45191</v>
      </c>
      <c r="D1007" s="3" t="s">
        <v>70</v>
      </c>
      <c r="E1007" s="3"/>
      <c r="F1007" s="3"/>
    </row>
    <row r="1008" spans="1:6" hidden="1" x14ac:dyDescent="0.3">
      <c r="A1008" s="7" t="str">
        <f>BD_ControlRegimen[[#This Row],[FECHA]]&amp;BD_ControlRegimen[[#This Row],[NOMBRE]]</f>
        <v>45192AREVALO CALDERON JUAN CARLOS</v>
      </c>
      <c r="B1008" s="83">
        <f>WEEKNUM(BD_ControlRegimen[[#This Row],[FECHA]],2)</f>
        <v>39</v>
      </c>
      <c r="C1008" s="7">
        <v>45192</v>
      </c>
      <c r="D1008" s="3" t="s">
        <v>70</v>
      </c>
      <c r="E1008" s="3"/>
      <c r="F1008" s="3"/>
    </row>
    <row r="1009" spans="1:6" hidden="1" x14ac:dyDescent="0.3">
      <c r="A1009" s="7" t="str">
        <f>BD_ControlRegimen[[#This Row],[FECHA]]&amp;BD_ControlRegimen[[#This Row],[NOMBRE]]</f>
        <v>45193AREVALO CALDERON JUAN CARLOS</v>
      </c>
      <c r="B1009" s="83">
        <f>WEEKNUM(BD_ControlRegimen[[#This Row],[FECHA]],2)</f>
        <v>39</v>
      </c>
      <c r="C1009" s="7">
        <v>45193</v>
      </c>
      <c r="D1009" s="3" t="s">
        <v>70</v>
      </c>
      <c r="E1009" s="3"/>
      <c r="F1009" s="3"/>
    </row>
    <row r="1010" spans="1:6" hidden="1" x14ac:dyDescent="0.3">
      <c r="A1010" s="7" t="str">
        <f>BD_ControlRegimen[[#This Row],[FECHA]]&amp;BD_ControlRegimen[[#This Row],[NOMBRE]]</f>
        <v>45194AREVALO CALDERON JUAN CARLOS</v>
      </c>
      <c r="B1010" s="83">
        <f>WEEKNUM(BD_ControlRegimen[[#This Row],[FECHA]],2)</f>
        <v>40</v>
      </c>
      <c r="C1010" s="7">
        <v>45194</v>
      </c>
      <c r="D1010" s="3" t="s">
        <v>70</v>
      </c>
      <c r="E1010" s="3"/>
      <c r="F1010" s="3"/>
    </row>
    <row r="1011" spans="1:6" hidden="1" x14ac:dyDescent="0.3">
      <c r="A1011" s="7" t="str">
        <f>BD_ControlRegimen[[#This Row],[FECHA]]&amp;BD_ControlRegimen[[#This Row],[NOMBRE]]</f>
        <v>45195AREVALO CALDERON JUAN CARLOS</v>
      </c>
      <c r="B1011" s="83">
        <f>WEEKNUM(BD_ControlRegimen[[#This Row],[FECHA]],2)</f>
        <v>40</v>
      </c>
      <c r="C1011" s="7">
        <v>45195</v>
      </c>
      <c r="D1011" s="3" t="s">
        <v>70</v>
      </c>
      <c r="E1011" s="3"/>
      <c r="F1011" s="3"/>
    </row>
    <row r="1012" spans="1:6" hidden="1" x14ac:dyDescent="0.3">
      <c r="A1012" s="7" t="str">
        <f>BD_ControlRegimen[[#This Row],[FECHA]]&amp;BD_ControlRegimen[[#This Row],[NOMBRE]]</f>
        <v>45196AREVALO CALDERON JUAN CARLOS</v>
      </c>
      <c r="B1012" s="83">
        <f>WEEKNUM(BD_ControlRegimen[[#This Row],[FECHA]],2)</f>
        <v>40</v>
      </c>
      <c r="C1012" s="7">
        <v>45196</v>
      </c>
      <c r="D1012" s="3" t="s">
        <v>70</v>
      </c>
      <c r="E1012" s="3"/>
      <c r="F1012" s="3"/>
    </row>
    <row r="1013" spans="1:6" hidden="1" x14ac:dyDescent="0.3">
      <c r="A1013" s="7" t="str">
        <f>BD_ControlRegimen[[#This Row],[FECHA]]&amp;BD_ControlRegimen[[#This Row],[NOMBRE]]</f>
        <v>45197AREVALO CALDERON JUAN CARLOS</v>
      </c>
      <c r="B1013" s="83">
        <f>WEEKNUM(BD_ControlRegimen[[#This Row],[FECHA]],2)</f>
        <v>40</v>
      </c>
      <c r="C1013" s="7">
        <v>45197</v>
      </c>
      <c r="D1013" s="3" t="s">
        <v>70</v>
      </c>
      <c r="E1013" s="3"/>
      <c r="F1013" s="3"/>
    </row>
    <row r="1014" spans="1:6" hidden="1" x14ac:dyDescent="0.3">
      <c r="A1014" s="7" t="str">
        <f>BD_ControlRegimen[[#This Row],[FECHA]]&amp;BD_ControlRegimen[[#This Row],[NOMBRE]]</f>
        <v>45198AREVALO CALDERON JUAN CARLOS</v>
      </c>
      <c r="B1014" s="83">
        <f>WEEKNUM(BD_ControlRegimen[[#This Row],[FECHA]],2)</f>
        <v>40</v>
      </c>
      <c r="C1014" s="7">
        <v>45198</v>
      </c>
      <c r="D1014" s="3" t="s">
        <v>70</v>
      </c>
      <c r="E1014" s="3"/>
      <c r="F1014" s="3"/>
    </row>
    <row r="1015" spans="1:6" hidden="1" x14ac:dyDescent="0.3">
      <c r="A1015" s="7" t="str">
        <f>BD_ControlRegimen[[#This Row],[FECHA]]&amp;BD_ControlRegimen[[#This Row],[NOMBRE]]</f>
        <v>45199AREVALO CALDERON JUAN CARLOS</v>
      </c>
      <c r="B1015" s="83">
        <f>WEEKNUM(BD_ControlRegimen[[#This Row],[FECHA]],2)</f>
        <v>40</v>
      </c>
      <c r="C1015" s="7">
        <v>45199</v>
      </c>
      <c r="D1015" s="3" t="s">
        <v>70</v>
      </c>
      <c r="E1015" s="3"/>
      <c r="F1015" s="3"/>
    </row>
    <row r="1016" spans="1:6" hidden="1" x14ac:dyDescent="0.3">
      <c r="A1016" s="7" t="str">
        <f>BD_ControlRegimen[[#This Row],[FECHA]]&amp;BD_ControlRegimen[[#This Row],[NOMBRE]]</f>
        <v>45200AREVALO CALDERON JUAN CARLOS</v>
      </c>
      <c r="B1016" s="83">
        <f>WEEKNUM(BD_ControlRegimen[[#This Row],[FECHA]],2)</f>
        <v>40</v>
      </c>
      <c r="C1016" s="7">
        <v>45200</v>
      </c>
      <c r="D1016" s="3" t="s">
        <v>70</v>
      </c>
      <c r="E1016" s="3"/>
      <c r="F1016" s="3"/>
    </row>
    <row r="1017" spans="1:6" hidden="1" x14ac:dyDescent="0.3">
      <c r="A1017" s="7" t="str">
        <f>BD_ControlRegimen[[#This Row],[FECHA]]&amp;BD_ControlRegimen[[#This Row],[NOMBRE]]</f>
        <v>45201AREVALO CALDERON JUAN CARLOS</v>
      </c>
      <c r="B1017" s="83">
        <f>WEEKNUM(BD_ControlRegimen[[#This Row],[FECHA]],2)</f>
        <v>41</v>
      </c>
      <c r="C1017" s="7">
        <v>45201</v>
      </c>
      <c r="D1017" s="3" t="s">
        <v>70</v>
      </c>
      <c r="E1017" s="3"/>
      <c r="F1017" s="3"/>
    </row>
    <row r="1018" spans="1:6" hidden="1" x14ac:dyDescent="0.3">
      <c r="A1018" s="7" t="str">
        <f>BD_ControlRegimen[[#This Row],[FECHA]]&amp;BD_ControlRegimen[[#This Row],[NOMBRE]]</f>
        <v>45202AREVALO CALDERON JUAN CARLOS</v>
      </c>
      <c r="B1018" s="83">
        <f>WEEKNUM(BD_ControlRegimen[[#This Row],[FECHA]],2)</f>
        <v>41</v>
      </c>
      <c r="C1018" s="7">
        <v>45202</v>
      </c>
      <c r="D1018" s="3" t="s">
        <v>70</v>
      </c>
      <c r="E1018" s="3"/>
      <c r="F1018" s="3"/>
    </row>
    <row r="1019" spans="1:6" hidden="1" x14ac:dyDescent="0.3">
      <c r="A1019" s="7" t="str">
        <f>BD_ControlRegimen[[#This Row],[FECHA]]&amp;BD_ControlRegimen[[#This Row],[NOMBRE]]</f>
        <v>45203AREVALO CALDERON JUAN CARLOS</v>
      </c>
      <c r="B1019" s="83">
        <f>WEEKNUM(BD_ControlRegimen[[#This Row],[FECHA]],2)</f>
        <v>41</v>
      </c>
      <c r="C1019" s="7">
        <v>45203</v>
      </c>
      <c r="D1019" s="3" t="s">
        <v>70</v>
      </c>
      <c r="E1019" s="3"/>
      <c r="F1019" s="3"/>
    </row>
    <row r="1020" spans="1:6" hidden="1" x14ac:dyDescent="0.3">
      <c r="A1020" s="7" t="str">
        <f>BD_ControlRegimen[[#This Row],[FECHA]]&amp;BD_ControlRegimen[[#This Row],[NOMBRE]]</f>
        <v>45204AREVALO CALDERON JUAN CARLOS</v>
      </c>
      <c r="B1020" s="83">
        <f>WEEKNUM(BD_ControlRegimen[[#This Row],[FECHA]],2)</f>
        <v>41</v>
      </c>
      <c r="C1020" s="7">
        <v>45204</v>
      </c>
      <c r="D1020" s="3" t="s">
        <v>70</v>
      </c>
      <c r="E1020" s="3"/>
      <c r="F1020" s="3"/>
    </row>
    <row r="1021" spans="1:6" hidden="1" x14ac:dyDescent="0.3">
      <c r="A1021" s="7" t="str">
        <f>BD_ControlRegimen[[#This Row],[FECHA]]&amp;BD_ControlRegimen[[#This Row],[NOMBRE]]</f>
        <v>45205AREVALO CALDERON JUAN CARLOS</v>
      </c>
      <c r="B1021" s="83">
        <f>WEEKNUM(BD_ControlRegimen[[#This Row],[FECHA]],2)</f>
        <v>41</v>
      </c>
      <c r="C1021" s="7">
        <v>45205</v>
      </c>
      <c r="D1021" s="3" t="s">
        <v>70</v>
      </c>
      <c r="E1021" s="3"/>
      <c r="F1021" s="3"/>
    </row>
    <row r="1022" spans="1:6" hidden="1" x14ac:dyDescent="0.3">
      <c r="A1022" s="7" t="str">
        <f>BD_ControlRegimen[[#This Row],[FECHA]]&amp;BD_ControlRegimen[[#This Row],[NOMBRE]]</f>
        <v>45206AREVALO CALDERON JUAN CARLOS</v>
      </c>
      <c r="B1022" s="83">
        <f>WEEKNUM(BD_ControlRegimen[[#This Row],[FECHA]],2)</f>
        <v>41</v>
      </c>
      <c r="C1022" s="7">
        <v>45206</v>
      </c>
      <c r="D1022" s="3" t="s">
        <v>70</v>
      </c>
      <c r="E1022" s="3"/>
      <c r="F1022" s="3"/>
    </row>
    <row r="1023" spans="1:6" hidden="1" x14ac:dyDescent="0.3">
      <c r="A1023" s="7" t="str">
        <f>BD_ControlRegimen[[#This Row],[FECHA]]&amp;BD_ControlRegimen[[#This Row],[NOMBRE]]</f>
        <v>45207AREVALO CALDERON JUAN CARLOS</v>
      </c>
      <c r="B1023" s="83">
        <f>WEEKNUM(BD_ControlRegimen[[#This Row],[FECHA]],2)</f>
        <v>41</v>
      </c>
      <c r="C1023" s="7">
        <v>45207</v>
      </c>
      <c r="D1023" s="3" t="s">
        <v>70</v>
      </c>
      <c r="E1023" s="3"/>
      <c r="F1023" s="3"/>
    </row>
    <row r="1024" spans="1:6" hidden="1" x14ac:dyDescent="0.3">
      <c r="A1024" s="7" t="str">
        <f>BD_ControlRegimen[[#This Row],[FECHA]]&amp;BD_ControlRegimen[[#This Row],[NOMBRE]]</f>
        <v>45208AREVALO CALDERON JUAN CARLOS</v>
      </c>
      <c r="B1024" s="83">
        <f>WEEKNUM(BD_ControlRegimen[[#This Row],[FECHA]],2)</f>
        <v>42</v>
      </c>
      <c r="C1024" s="7">
        <v>45208</v>
      </c>
      <c r="D1024" s="3" t="s">
        <v>70</v>
      </c>
      <c r="E1024" s="3"/>
      <c r="F1024" s="3"/>
    </row>
    <row r="1025" spans="1:6" hidden="1" x14ac:dyDescent="0.3">
      <c r="A1025" s="7" t="str">
        <f>BD_ControlRegimen[[#This Row],[FECHA]]&amp;BD_ControlRegimen[[#This Row],[NOMBRE]]</f>
        <v>45209AREVALO CALDERON JUAN CARLOS</v>
      </c>
      <c r="B1025" s="83">
        <f>WEEKNUM(BD_ControlRegimen[[#This Row],[FECHA]],2)</f>
        <v>42</v>
      </c>
      <c r="C1025" s="7">
        <v>45209</v>
      </c>
      <c r="D1025" s="3" t="s">
        <v>70</v>
      </c>
      <c r="E1025" s="3"/>
      <c r="F1025" s="3"/>
    </row>
    <row r="1026" spans="1:6" hidden="1" x14ac:dyDescent="0.3">
      <c r="A1026" s="7" t="str">
        <f>BD_ControlRegimen[[#This Row],[FECHA]]&amp;BD_ControlRegimen[[#This Row],[NOMBRE]]</f>
        <v>45210AREVALO CALDERON JUAN CARLOS</v>
      </c>
      <c r="B1026" s="83">
        <f>WEEKNUM(BD_ControlRegimen[[#This Row],[FECHA]],2)</f>
        <v>42</v>
      </c>
      <c r="C1026" s="7">
        <v>45210</v>
      </c>
      <c r="D1026" s="3" t="s">
        <v>70</v>
      </c>
      <c r="E1026" s="3"/>
      <c r="F1026" s="3"/>
    </row>
    <row r="1027" spans="1:6" hidden="1" x14ac:dyDescent="0.3">
      <c r="A1027" s="7" t="str">
        <f>BD_ControlRegimen[[#This Row],[FECHA]]&amp;BD_ControlRegimen[[#This Row],[NOMBRE]]</f>
        <v>45211AREVALO CALDERON JUAN CARLOS</v>
      </c>
      <c r="B1027" s="83">
        <f>WEEKNUM(BD_ControlRegimen[[#This Row],[FECHA]],2)</f>
        <v>42</v>
      </c>
      <c r="C1027" s="7">
        <v>45211</v>
      </c>
      <c r="D1027" s="3" t="s">
        <v>70</v>
      </c>
      <c r="E1027" s="3"/>
      <c r="F1027" s="3"/>
    </row>
    <row r="1028" spans="1:6" hidden="1" x14ac:dyDescent="0.3">
      <c r="A1028" s="7" t="str">
        <f>BD_ControlRegimen[[#This Row],[FECHA]]&amp;BD_ControlRegimen[[#This Row],[NOMBRE]]</f>
        <v>45212AREVALO CALDERON JUAN CARLOS</v>
      </c>
      <c r="B1028" s="83">
        <f>WEEKNUM(BD_ControlRegimen[[#This Row],[FECHA]],2)</f>
        <v>42</v>
      </c>
      <c r="C1028" s="7">
        <v>45212</v>
      </c>
      <c r="D1028" s="3" t="s">
        <v>70</v>
      </c>
      <c r="E1028" s="3"/>
      <c r="F1028" s="3"/>
    </row>
    <row r="1029" spans="1:6" hidden="1" x14ac:dyDescent="0.3">
      <c r="A1029" s="7" t="str">
        <f>BD_ControlRegimen[[#This Row],[FECHA]]&amp;BD_ControlRegimen[[#This Row],[NOMBRE]]</f>
        <v>45213AREVALO CALDERON JUAN CARLOS</v>
      </c>
      <c r="B1029" s="83">
        <f>WEEKNUM(BD_ControlRegimen[[#This Row],[FECHA]],2)</f>
        <v>42</v>
      </c>
      <c r="C1029" s="7">
        <v>45213</v>
      </c>
      <c r="D1029" s="3" t="s">
        <v>70</v>
      </c>
      <c r="E1029" s="3"/>
      <c r="F1029" s="3"/>
    </row>
    <row r="1030" spans="1:6" hidden="1" x14ac:dyDescent="0.3">
      <c r="A1030" s="7" t="str">
        <f>BD_ControlRegimen[[#This Row],[FECHA]]&amp;BD_ControlRegimen[[#This Row],[NOMBRE]]</f>
        <v>45214AREVALO CALDERON JUAN CARLOS</v>
      </c>
      <c r="B1030" s="83">
        <f>WEEKNUM(BD_ControlRegimen[[#This Row],[FECHA]],2)</f>
        <v>42</v>
      </c>
      <c r="C1030" s="7">
        <v>45214</v>
      </c>
      <c r="D1030" s="3" t="s">
        <v>70</v>
      </c>
      <c r="E1030" s="3"/>
      <c r="F1030" s="3"/>
    </row>
    <row r="1031" spans="1:6" hidden="1" x14ac:dyDescent="0.3">
      <c r="A1031" s="7" t="str">
        <f>BD_ControlRegimen[[#This Row],[FECHA]]&amp;BD_ControlRegimen[[#This Row],[NOMBRE]]</f>
        <v>45215AREVALO CALDERON JUAN CARLOS</v>
      </c>
      <c r="B1031" s="83">
        <f>WEEKNUM(BD_ControlRegimen[[#This Row],[FECHA]],2)</f>
        <v>43</v>
      </c>
      <c r="C1031" s="7">
        <v>45215</v>
      </c>
      <c r="D1031" s="3" t="s">
        <v>70</v>
      </c>
      <c r="E1031" s="3"/>
      <c r="F1031" s="3"/>
    </row>
    <row r="1032" spans="1:6" hidden="1" x14ac:dyDescent="0.3">
      <c r="A1032" s="7" t="str">
        <f>BD_ControlRegimen[[#This Row],[FECHA]]&amp;BD_ControlRegimen[[#This Row],[NOMBRE]]</f>
        <v>45216AREVALO CALDERON JUAN CARLOS</v>
      </c>
      <c r="B1032" s="83">
        <f>WEEKNUM(BD_ControlRegimen[[#This Row],[FECHA]],2)</f>
        <v>43</v>
      </c>
      <c r="C1032" s="7">
        <v>45216</v>
      </c>
      <c r="D1032" s="3" t="s">
        <v>70</v>
      </c>
      <c r="E1032" s="3"/>
      <c r="F1032" s="3"/>
    </row>
    <row r="1033" spans="1:6" hidden="1" x14ac:dyDescent="0.3">
      <c r="A1033" s="7" t="str">
        <f>BD_ControlRegimen[[#This Row],[FECHA]]&amp;BD_ControlRegimen[[#This Row],[NOMBRE]]</f>
        <v>45217AREVALO CALDERON JUAN CARLOS</v>
      </c>
      <c r="B1033" s="83">
        <f>WEEKNUM(BD_ControlRegimen[[#This Row],[FECHA]],2)</f>
        <v>43</v>
      </c>
      <c r="C1033" s="7">
        <v>45217</v>
      </c>
      <c r="D1033" s="3" t="s">
        <v>70</v>
      </c>
      <c r="E1033" s="3"/>
      <c r="F1033" s="3"/>
    </row>
    <row r="1034" spans="1:6" hidden="1" x14ac:dyDescent="0.3">
      <c r="A1034" s="7" t="str">
        <f>BD_ControlRegimen[[#This Row],[FECHA]]&amp;BD_ControlRegimen[[#This Row],[NOMBRE]]</f>
        <v>45218AREVALO CALDERON JUAN CARLOS</v>
      </c>
      <c r="B1034" s="83">
        <f>WEEKNUM(BD_ControlRegimen[[#This Row],[FECHA]],2)</f>
        <v>43</v>
      </c>
      <c r="C1034" s="7">
        <v>45218</v>
      </c>
      <c r="D1034" s="3" t="s">
        <v>70</v>
      </c>
      <c r="E1034" s="3"/>
      <c r="F1034" s="3"/>
    </row>
    <row r="1035" spans="1:6" hidden="1" x14ac:dyDescent="0.3">
      <c r="A1035" s="7" t="str">
        <f>BD_ControlRegimen[[#This Row],[FECHA]]&amp;BD_ControlRegimen[[#This Row],[NOMBRE]]</f>
        <v>45219AREVALO CALDERON JUAN CARLOS</v>
      </c>
      <c r="B1035" s="83">
        <f>WEEKNUM(BD_ControlRegimen[[#This Row],[FECHA]],2)</f>
        <v>43</v>
      </c>
      <c r="C1035" s="7">
        <v>45219</v>
      </c>
      <c r="D1035" s="3" t="s">
        <v>70</v>
      </c>
      <c r="E1035" s="3"/>
      <c r="F1035" s="3"/>
    </row>
    <row r="1036" spans="1:6" hidden="1" x14ac:dyDescent="0.3">
      <c r="A1036" s="7" t="str">
        <f>BD_ControlRegimen[[#This Row],[FECHA]]&amp;BD_ControlRegimen[[#This Row],[NOMBRE]]</f>
        <v>45220AREVALO CALDERON JUAN CARLOS</v>
      </c>
      <c r="B1036" s="83">
        <f>WEEKNUM(BD_ControlRegimen[[#This Row],[FECHA]],2)</f>
        <v>43</v>
      </c>
      <c r="C1036" s="7">
        <v>45220</v>
      </c>
      <c r="D1036" s="3" t="s">
        <v>70</v>
      </c>
      <c r="E1036" s="3"/>
      <c r="F1036" s="3"/>
    </row>
    <row r="1037" spans="1:6" hidden="1" x14ac:dyDescent="0.3">
      <c r="A1037" s="7" t="str">
        <f>BD_ControlRegimen[[#This Row],[FECHA]]&amp;BD_ControlRegimen[[#This Row],[NOMBRE]]</f>
        <v>45221AREVALO CALDERON JUAN CARLOS</v>
      </c>
      <c r="B1037" s="83">
        <f>WEEKNUM(BD_ControlRegimen[[#This Row],[FECHA]],2)</f>
        <v>43</v>
      </c>
      <c r="C1037" s="7">
        <v>45221</v>
      </c>
      <c r="D1037" s="3" t="s">
        <v>70</v>
      </c>
      <c r="E1037" s="3"/>
      <c r="F1037" s="3"/>
    </row>
    <row r="1038" spans="1:6" hidden="1" x14ac:dyDescent="0.3">
      <c r="A1038" s="7" t="str">
        <f>BD_ControlRegimen[[#This Row],[FECHA]]&amp;BD_ControlRegimen[[#This Row],[NOMBRE]]</f>
        <v>45222AREVALO CALDERON JUAN CARLOS</v>
      </c>
      <c r="B1038" s="83">
        <f>WEEKNUM(BD_ControlRegimen[[#This Row],[FECHA]],2)</f>
        <v>44</v>
      </c>
      <c r="C1038" s="7">
        <v>45222</v>
      </c>
      <c r="D1038" s="3" t="s">
        <v>70</v>
      </c>
      <c r="E1038" s="3"/>
      <c r="F1038" s="3"/>
    </row>
    <row r="1039" spans="1:6" hidden="1" x14ac:dyDescent="0.3">
      <c r="A1039" s="7" t="str">
        <f>BD_ControlRegimen[[#This Row],[FECHA]]&amp;BD_ControlRegimen[[#This Row],[NOMBRE]]</f>
        <v>45223AREVALO CALDERON JUAN CARLOS</v>
      </c>
      <c r="B1039" s="83">
        <f>WEEKNUM(BD_ControlRegimen[[#This Row],[FECHA]],2)</f>
        <v>44</v>
      </c>
      <c r="C1039" s="7">
        <v>45223</v>
      </c>
      <c r="D1039" s="3" t="s">
        <v>70</v>
      </c>
      <c r="E1039" s="3"/>
      <c r="F1039" s="3"/>
    </row>
    <row r="1040" spans="1:6" hidden="1" x14ac:dyDescent="0.3">
      <c r="A1040" s="7" t="str">
        <f>BD_ControlRegimen[[#This Row],[FECHA]]&amp;BD_ControlRegimen[[#This Row],[NOMBRE]]</f>
        <v>45224AREVALO CALDERON JUAN CARLOS</v>
      </c>
      <c r="B1040" s="83">
        <f>WEEKNUM(BD_ControlRegimen[[#This Row],[FECHA]],2)</f>
        <v>44</v>
      </c>
      <c r="C1040" s="7">
        <v>45224</v>
      </c>
      <c r="D1040" s="3" t="s">
        <v>70</v>
      </c>
      <c r="E1040" s="3"/>
      <c r="F1040" s="3"/>
    </row>
    <row r="1041" spans="1:6" hidden="1" x14ac:dyDescent="0.3">
      <c r="A1041" s="7" t="str">
        <f>BD_ControlRegimen[[#This Row],[FECHA]]&amp;BD_ControlRegimen[[#This Row],[NOMBRE]]</f>
        <v>45225AREVALO CALDERON JUAN CARLOS</v>
      </c>
      <c r="B1041" s="83">
        <f>WEEKNUM(BD_ControlRegimen[[#This Row],[FECHA]],2)</f>
        <v>44</v>
      </c>
      <c r="C1041" s="7">
        <v>45225</v>
      </c>
      <c r="D1041" s="3" t="s">
        <v>70</v>
      </c>
      <c r="E1041" s="3"/>
      <c r="F1041" s="3"/>
    </row>
    <row r="1042" spans="1:6" hidden="1" x14ac:dyDescent="0.3">
      <c r="A1042" s="7" t="str">
        <f>BD_ControlRegimen[[#This Row],[FECHA]]&amp;BD_ControlRegimen[[#This Row],[NOMBRE]]</f>
        <v>45226AREVALO CALDERON JUAN CARLOS</v>
      </c>
      <c r="B1042" s="83">
        <f>WEEKNUM(BD_ControlRegimen[[#This Row],[FECHA]],2)</f>
        <v>44</v>
      </c>
      <c r="C1042" s="7">
        <v>45226</v>
      </c>
      <c r="D1042" s="3" t="s">
        <v>70</v>
      </c>
      <c r="E1042" s="3"/>
      <c r="F1042" s="3"/>
    </row>
    <row r="1043" spans="1:6" hidden="1" x14ac:dyDescent="0.3">
      <c r="A1043" s="7" t="str">
        <f>BD_ControlRegimen[[#This Row],[FECHA]]&amp;BD_ControlRegimen[[#This Row],[NOMBRE]]</f>
        <v>45227AREVALO CALDERON JUAN CARLOS</v>
      </c>
      <c r="B1043" s="83">
        <f>WEEKNUM(BD_ControlRegimen[[#This Row],[FECHA]],2)</f>
        <v>44</v>
      </c>
      <c r="C1043" s="7">
        <v>45227</v>
      </c>
      <c r="D1043" s="3" t="s">
        <v>70</v>
      </c>
      <c r="E1043" s="3"/>
      <c r="F1043" s="3"/>
    </row>
    <row r="1044" spans="1:6" hidden="1" x14ac:dyDescent="0.3">
      <c r="A1044" s="7" t="str">
        <f>BD_ControlRegimen[[#This Row],[FECHA]]&amp;BD_ControlRegimen[[#This Row],[NOMBRE]]</f>
        <v>45228AREVALO CALDERON JUAN CARLOS</v>
      </c>
      <c r="B1044" s="83">
        <f>WEEKNUM(BD_ControlRegimen[[#This Row],[FECHA]],2)</f>
        <v>44</v>
      </c>
      <c r="C1044" s="7">
        <v>45228</v>
      </c>
      <c r="D1044" s="3" t="s">
        <v>70</v>
      </c>
      <c r="E1044" s="3"/>
      <c r="F1044" s="3"/>
    </row>
    <row r="1045" spans="1:6" hidden="1" x14ac:dyDescent="0.3">
      <c r="A1045" s="7" t="str">
        <f>BD_ControlRegimen[[#This Row],[FECHA]]&amp;BD_ControlRegimen[[#This Row],[NOMBRE]]</f>
        <v>45229AREVALO CALDERON JUAN CARLOS</v>
      </c>
      <c r="B1045" s="83">
        <f>WEEKNUM(BD_ControlRegimen[[#This Row],[FECHA]],2)</f>
        <v>45</v>
      </c>
      <c r="C1045" s="7">
        <v>45229</v>
      </c>
      <c r="D1045" s="3" t="s">
        <v>70</v>
      </c>
      <c r="E1045" s="3"/>
      <c r="F1045" s="3"/>
    </row>
    <row r="1046" spans="1:6" hidden="1" x14ac:dyDescent="0.3">
      <c r="A1046" s="7" t="str">
        <f>BD_ControlRegimen[[#This Row],[FECHA]]&amp;BD_ControlRegimen[[#This Row],[NOMBRE]]</f>
        <v>45230AREVALO CALDERON JUAN CARLOS</v>
      </c>
      <c r="B1046" s="83">
        <f>WEEKNUM(BD_ControlRegimen[[#This Row],[FECHA]],2)</f>
        <v>45</v>
      </c>
      <c r="C1046" s="7">
        <v>45230</v>
      </c>
      <c r="D1046" s="3" t="s">
        <v>70</v>
      </c>
      <c r="E1046" s="3"/>
      <c r="F1046" s="3"/>
    </row>
    <row r="1047" spans="1:6" hidden="1" x14ac:dyDescent="0.3">
      <c r="A1047" s="7" t="str">
        <f>BD_ControlRegimen[[#This Row],[FECHA]]&amp;BD_ControlRegimen[[#This Row],[NOMBRE]]</f>
        <v>45231AREVALO CALDERON JUAN CARLOS</v>
      </c>
      <c r="B1047" s="83">
        <f>WEEKNUM(BD_ControlRegimen[[#This Row],[FECHA]],2)</f>
        <v>45</v>
      </c>
      <c r="C1047" s="7">
        <v>45231</v>
      </c>
      <c r="D1047" s="3" t="s">
        <v>70</v>
      </c>
      <c r="E1047" s="3"/>
      <c r="F1047" s="3"/>
    </row>
    <row r="1048" spans="1:6" hidden="1" x14ac:dyDescent="0.3">
      <c r="A1048" s="7" t="str">
        <f>BD_ControlRegimen[[#This Row],[FECHA]]&amp;BD_ControlRegimen[[#This Row],[NOMBRE]]</f>
        <v>45232AREVALO CALDERON JUAN CARLOS</v>
      </c>
      <c r="B1048" s="83">
        <f>WEEKNUM(BD_ControlRegimen[[#This Row],[FECHA]],2)</f>
        <v>45</v>
      </c>
      <c r="C1048" s="7">
        <v>45232</v>
      </c>
      <c r="D1048" s="3" t="s">
        <v>70</v>
      </c>
      <c r="E1048" s="3"/>
      <c r="F1048" s="3"/>
    </row>
    <row r="1049" spans="1:6" hidden="1" x14ac:dyDescent="0.3">
      <c r="A1049" s="7" t="str">
        <f>BD_ControlRegimen[[#This Row],[FECHA]]&amp;BD_ControlRegimen[[#This Row],[NOMBRE]]</f>
        <v>45233AREVALO CALDERON JUAN CARLOS</v>
      </c>
      <c r="B1049" s="83">
        <f>WEEKNUM(BD_ControlRegimen[[#This Row],[FECHA]],2)</f>
        <v>45</v>
      </c>
      <c r="C1049" s="7">
        <v>45233</v>
      </c>
      <c r="D1049" s="3" t="s">
        <v>70</v>
      </c>
      <c r="E1049" s="3"/>
      <c r="F1049" s="3"/>
    </row>
    <row r="1050" spans="1:6" hidden="1" x14ac:dyDescent="0.3">
      <c r="A1050" s="7" t="str">
        <f>BD_ControlRegimen[[#This Row],[FECHA]]&amp;BD_ControlRegimen[[#This Row],[NOMBRE]]</f>
        <v>45234AREVALO CALDERON JUAN CARLOS</v>
      </c>
      <c r="B1050" s="83">
        <f>WEEKNUM(BD_ControlRegimen[[#This Row],[FECHA]],2)</f>
        <v>45</v>
      </c>
      <c r="C1050" s="7">
        <v>45234</v>
      </c>
      <c r="D1050" s="3" t="s">
        <v>70</v>
      </c>
      <c r="E1050" s="3"/>
      <c r="F1050" s="3"/>
    </row>
    <row r="1051" spans="1:6" hidden="1" x14ac:dyDescent="0.3">
      <c r="A1051" s="7" t="str">
        <f>BD_ControlRegimen[[#This Row],[FECHA]]&amp;BD_ControlRegimen[[#This Row],[NOMBRE]]</f>
        <v>45235AREVALO CALDERON JUAN CARLOS</v>
      </c>
      <c r="B1051" s="83">
        <f>WEEKNUM(BD_ControlRegimen[[#This Row],[FECHA]],2)</f>
        <v>45</v>
      </c>
      <c r="C1051" s="7">
        <v>45235</v>
      </c>
      <c r="D1051" s="3" t="s">
        <v>70</v>
      </c>
      <c r="E1051" s="3"/>
      <c r="F1051" s="3"/>
    </row>
    <row r="1052" spans="1:6" hidden="1" x14ac:dyDescent="0.3">
      <c r="A1052" s="7" t="str">
        <f>BD_ControlRegimen[[#This Row],[FECHA]]&amp;BD_ControlRegimen[[#This Row],[NOMBRE]]</f>
        <v>45236AREVALO CALDERON JUAN CARLOS</v>
      </c>
      <c r="B1052" s="83">
        <f>WEEKNUM(BD_ControlRegimen[[#This Row],[FECHA]],2)</f>
        <v>46</v>
      </c>
      <c r="C1052" s="7">
        <v>45236</v>
      </c>
      <c r="D1052" s="3" t="s">
        <v>70</v>
      </c>
      <c r="E1052" s="3"/>
      <c r="F1052" s="3"/>
    </row>
    <row r="1053" spans="1:6" hidden="1" x14ac:dyDescent="0.3">
      <c r="A1053" s="7" t="str">
        <f>BD_ControlRegimen[[#This Row],[FECHA]]&amp;BD_ControlRegimen[[#This Row],[NOMBRE]]</f>
        <v>45237AREVALO CALDERON JUAN CARLOS</v>
      </c>
      <c r="B1053" s="83">
        <f>WEEKNUM(BD_ControlRegimen[[#This Row],[FECHA]],2)</f>
        <v>46</v>
      </c>
      <c r="C1053" s="7">
        <v>45237</v>
      </c>
      <c r="D1053" s="3" t="s">
        <v>70</v>
      </c>
      <c r="E1053" s="3"/>
      <c r="F1053" s="3"/>
    </row>
    <row r="1054" spans="1:6" hidden="1" x14ac:dyDescent="0.3">
      <c r="A1054" s="7" t="str">
        <f>BD_ControlRegimen[[#This Row],[FECHA]]&amp;BD_ControlRegimen[[#This Row],[NOMBRE]]</f>
        <v>45238AREVALO CALDERON JUAN CARLOS</v>
      </c>
      <c r="B1054" s="83">
        <f>WEEKNUM(BD_ControlRegimen[[#This Row],[FECHA]],2)</f>
        <v>46</v>
      </c>
      <c r="C1054" s="7">
        <v>45238</v>
      </c>
      <c r="D1054" s="3" t="s">
        <v>70</v>
      </c>
      <c r="E1054" s="3"/>
      <c r="F1054" s="3"/>
    </row>
    <row r="1055" spans="1:6" hidden="1" x14ac:dyDescent="0.3">
      <c r="A1055" s="7" t="str">
        <f>BD_ControlRegimen[[#This Row],[FECHA]]&amp;BD_ControlRegimen[[#This Row],[NOMBRE]]</f>
        <v>45239AREVALO CALDERON JUAN CARLOS</v>
      </c>
      <c r="B1055" s="83">
        <f>WEEKNUM(BD_ControlRegimen[[#This Row],[FECHA]],2)</f>
        <v>46</v>
      </c>
      <c r="C1055" s="7">
        <v>45239</v>
      </c>
      <c r="D1055" s="3" t="s">
        <v>70</v>
      </c>
      <c r="E1055" s="3"/>
      <c r="F1055" s="3"/>
    </row>
    <row r="1056" spans="1:6" hidden="1" x14ac:dyDescent="0.3">
      <c r="A1056" s="7" t="str">
        <f>BD_ControlRegimen[[#This Row],[FECHA]]&amp;BD_ControlRegimen[[#This Row],[NOMBRE]]</f>
        <v>45240AREVALO CALDERON JUAN CARLOS</v>
      </c>
      <c r="B1056" s="83">
        <f>WEEKNUM(BD_ControlRegimen[[#This Row],[FECHA]],2)</f>
        <v>46</v>
      </c>
      <c r="C1056" s="7">
        <v>45240</v>
      </c>
      <c r="D1056" s="3" t="s">
        <v>70</v>
      </c>
      <c r="E1056" s="3"/>
      <c r="F1056" s="3"/>
    </row>
    <row r="1057" spans="1:6" hidden="1" x14ac:dyDescent="0.3">
      <c r="A1057" s="7" t="str">
        <f>BD_ControlRegimen[[#This Row],[FECHA]]&amp;BD_ControlRegimen[[#This Row],[NOMBRE]]</f>
        <v>45241AREVALO CALDERON JUAN CARLOS</v>
      </c>
      <c r="B1057" s="83">
        <f>WEEKNUM(BD_ControlRegimen[[#This Row],[FECHA]],2)</f>
        <v>46</v>
      </c>
      <c r="C1057" s="7">
        <v>45241</v>
      </c>
      <c r="D1057" s="3" t="s">
        <v>70</v>
      </c>
      <c r="E1057" s="3"/>
      <c r="F1057" s="3"/>
    </row>
    <row r="1058" spans="1:6" hidden="1" x14ac:dyDescent="0.3">
      <c r="A1058" s="7" t="str">
        <f>BD_ControlRegimen[[#This Row],[FECHA]]&amp;BD_ControlRegimen[[#This Row],[NOMBRE]]</f>
        <v>45242AREVALO CALDERON JUAN CARLOS</v>
      </c>
      <c r="B1058" s="83">
        <f>WEEKNUM(BD_ControlRegimen[[#This Row],[FECHA]],2)</f>
        <v>46</v>
      </c>
      <c r="C1058" s="7">
        <v>45242</v>
      </c>
      <c r="D1058" s="3" t="s">
        <v>70</v>
      </c>
      <c r="E1058" s="3"/>
      <c r="F1058" s="3"/>
    </row>
    <row r="1059" spans="1:6" hidden="1" x14ac:dyDescent="0.3">
      <c r="A1059" s="7" t="str">
        <f>BD_ControlRegimen[[#This Row],[FECHA]]&amp;BD_ControlRegimen[[#This Row],[NOMBRE]]</f>
        <v>45243AREVALO CALDERON JUAN CARLOS</v>
      </c>
      <c r="B1059" s="83">
        <f>WEEKNUM(BD_ControlRegimen[[#This Row],[FECHA]],2)</f>
        <v>47</v>
      </c>
      <c r="C1059" s="7">
        <v>45243</v>
      </c>
      <c r="D1059" s="3" t="s">
        <v>70</v>
      </c>
      <c r="E1059" s="3"/>
      <c r="F1059" s="3"/>
    </row>
    <row r="1060" spans="1:6" hidden="1" x14ac:dyDescent="0.3">
      <c r="A1060" s="7" t="str">
        <f>BD_ControlRegimen[[#This Row],[FECHA]]&amp;BD_ControlRegimen[[#This Row],[NOMBRE]]</f>
        <v>45244AREVALO CALDERON JUAN CARLOS</v>
      </c>
      <c r="B1060" s="83">
        <f>WEEKNUM(BD_ControlRegimen[[#This Row],[FECHA]],2)</f>
        <v>47</v>
      </c>
      <c r="C1060" s="7">
        <v>45244</v>
      </c>
      <c r="D1060" s="3" t="s">
        <v>70</v>
      </c>
      <c r="E1060" s="3"/>
      <c r="F1060" s="3"/>
    </row>
    <row r="1061" spans="1:6" hidden="1" x14ac:dyDescent="0.3">
      <c r="A1061" s="7" t="str">
        <f>BD_ControlRegimen[[#This Row],[FECHA]]&amp;BD_ControlRegimen[[#This Row],[NOMBRE]]</f>
        <v>45245AREVALO CALDERON JUAN CARLOS</v>
      </c>
      <c r="B1061" s="83">
        <f>WEEKNUM(BD_ControlRegimen[[#This Row],[FECHA]],2)</f>
        <v>47</v>
      </c>
      <c r="C1061" s="7">
        <v>45245</v>
      </c>
      <c r="D1061" s="3" t="s">
        <v>70</v>
      </c>
      <c r="E1061" s="3"/>
      <c r="F1061" s="3"/>
    </row>
    <row r="1062" spans="1:6" hidden="1" x14ac:dyDescent="0.3">
      <c r="A1062" s="7" t="str">
        <f>BD_ControlRegimen[[#This Row],[FECHA]]&amp;BD_ControlRegimen[[#This Row],[NOMBRE]]</f>
        <v>45246AREVALO CALDERON JUAN CARLOS</v>
      </c>
      <c r="B1062" s="83">
        <f>WEEKNUM(BD_ControlRegimen[[#This Row],[FECHA]],2)</f>
        <v>47</v>
      </c>
      <c r="C1062" s="7">
        <v>45246</v>
      </c>
      <c r="D1062" s="3" t="s">
        <v>70</v>
      </c>
      <c r="E1062" s="3"/>
      <c r="F1062" s="3"/>
    </row>
    <row r="1063" spans="1:6" hidden="1" x14ac:dyDescent="0.3">
      <c r="A1063" s="7" t="str">
        <f>BD_ControlRegimen[[#This Row],[FECHA]]&amp;BD_ControlRegimen[[#This Row],[NOMBRE]]</f>
        <v>45247AREVALO CALDERON JUAN CARLOS</v>
      </c>
      <c r="B1063" s="83">
        <f>WEEKNUM(BD_ControlRegimen[[#This Row],[FECHA]],2)</f>
        <v>47</v>
      </c>
      <c r="C1063" s="7">
        <v>45247</v>
      </c>
      <c r="D1063" s="3" t="s">
        <v>70</v>
      </c>
      <c r="E1063" s="3"/>
      <c r="F1063" s="3"/>
    </row>
    <row r="1064" spans="1:6" hidden="1" x14ac:dyDescent="0.3">
      <c r="A1064" s="7" t="str">
        <f>BD_ControlRegimen[[#This Row],[FECHA]]&amp;BD_ControlRegimen[[#This Row],[NOMBRE]]</f>
        <v>45248AREVALO CALDERON JUAN CARLOS</v>
      </c>
      <c r="B1064" s="83">
        <f>WEEKNUM(BD_ControlRegimen[[#This Row],[FECHA]],2)</f>
        <v>47</v>
      </c>
      <c r="C1064" s="7">
        <v>45248</v>
      </c>
      <c r="D1064" s="3" t="s">
        <v>70</v>
      </c>
      <c r="E1064" s="3"/>
      <c r="F1064" s="3"/>
    </row>
    <row r="1065" spans="1:6" hidden="1" x14ac:dyDescent="0.3">
      <c r="A1065" s="7" t="str">
        <f>BD_ControlRegimen[[#This Row],[FECHA]]&amp;BD_ControlRegimen[[#This Row],[NOMBRE]]</f>
        <v>45249AREVALO CALDERON JUAN CARLOS</v>
      </c>
      <c r="B1065" s="83">
        <f>WEEKNUM(BD_ControlRegimen[[#This Row],[FECHA]],2)</f>
        <v>47</v>
      </c>
      <c r="C1065" s="7">
        <v>45249</v>
      </c>
      <c r="D1065" s="3" t="s">
        <v>70</v>
      </c>
      <c r="E1065" s="3"/>
      <c r="F1065" s="3"/>
    </row>
    <row r="1066" spans="1:6" hidden="1" x14ac:dyDescent="0.3">
      <c r="A1066" s="7" t="str">
        <f>BD_ControlRegimen[[#This Row],[FECHA]]&amp;BD_ControlRegimen[[#This Row],[NOMBRE]]</f>
        <v>45250AREVALO CALDERON JUAN CARLOS</v>
      </c>
      <c r="B1066" s="83">
        <f>WEEKNUM(BD_ControlRegimen[[#This Row],[FECHA]],2)</f>
        <v>48</v>
      </c>
      <c r="C1066" s="7">
        <v>45250</v>
      </c>
      <c r="D1066" s="3" t="s">
        <v>70</v>
      </c>
      <c r="E1066" s="3"/>
      <c r="F1066" s="3"/>
    </row>
    <row r="1067" spans="1:6" hidden="1" x14ac:dyDescent="0.3">
      <c r="A1067" s="7" t="str">
        <f>BD_ControlRegimen[[#This Row],[FECHA]]&amp;BD_ControlRegimen[[#This Row],[NOMBRE]]</f>
        <v>45251AREVALO CALDERON JUAN CARLOS</v>
      </c>
      <c r="B1067" s="83">
        <f>WEEKNUM(BD_ControlRegimen[[#This Row],[FECHA]],2)</f>
        <v>48</v>
      </c>
      <c r="C1067" s="7">
        <v>45251</v>
      </c>
      <c r="D1067" s="3" t="s">
        <v>70</v>
      </c>
      <c r="E1067" s="3"/>
      <c r="F1067" s="3"/>
    </row>
    <row r="1068" spans="1:6" hidden="1" x14ac:dyDescent="0.3">
      <c r="A1068" s="7" t="str">
        <f>BD_ControlRegimen[[#This Row],[FECHA]]&amp;BD_ControlRegimen[[#This Row],[NOMBRE]]</f>
        <v>45252AREVALO CALDERON JUAN CARLOS</v>
      </c>
      <c r="B1068" s="83">
        <f>WEEKNUM(BD_ControlRegimen[[#This Row],[FECHA]],2)</f>
        <v>48</v>
      </c>
      <c r="C1068" s="7">
        <v>45252</v>
      </c>
      <c r="D1068" s="3" t="s">
        <v>70</v>
      </c>
      <c r="E1068" s="3"/>
      <c r="F1068" s="3"/>
    </row>
    <row r="1069" spans="1:6" hidden="1" x14ac:dyDescent="0.3">
      <c r="A1069" s="7" t="str">
        <f>BD_ControlRegimen[[#This Row],[FECHA]]&amp;BD_ControlRegimen[[#This Row],[NOMBRE]]</f>
        <v>45253AREVALO CALDERON JUAN CARLOS</v>
      </c>
      <c r="B1069" s="83">
        <f>WEEKNUM(BD_ControlRegimen[[#This Row],[FECHA]],2)</f>
        <v>48</v>
      </c>
      <c r="C1069" s="7">
        <v>45253</v>
      </c>
      <c r="D1069" s="3" t="s">
        <v>70</v>
      </c>
      <c r="E1069" s="3"/>
      <c r="F1069" s="3"/>
    </row>
    <row r="1070" spans="1:6" hidden="1" x14ac:dyDescent="0.3">
      <c r="A1070" s="7" t="str">
        <f>BD_ControlRegimen[[#This Row],[FECHA]]&amp;BD_ControlRegimen[[#This Row],[NOMBRE]]</f>
        <v>45254AREVALO CALDERON JUAN CARLOS</v>
      </c>
      <c r="B1070" s="83">
        <f>WEEKNUM(BD_ControlRegimen[[#This Row],[FECHA]],2)</f>
        <v>48</v>
      </c>
      <c r="C1070" s="7">
        <v>45254</v>
      </c>
      <c r="D1070" s="3" t="s">
        <v>70</v>
      </c>
      <c r="E1070" s="3"/>
      <c r="F1070" s="3"/>
    </row>
    <row r="1071" spans="1:6" hidden="1" x14ac:dyDescent="0.3">
      <c r="A1071" s="7" t="str">
        <f>BD_ControlRegimen[[#This Row],[FECHA]]&amp;BD_ControlRegimen[[#This Row],[NOMBRE]]</f>
        <v>45255AREVALO CALDERON JUAN CARLOS</v>
      </c>
      <c r="B1071" s="83">
        <f>WEEKNUM(BD_ControlRegimen[[#This Row],[FECHA]],2)</f>
        <v>48</v>
      </c>
      <c r="C1071" s="7">
        <v>45255</v>
      </c>
      <c r="D1071" s="3" t="s">
        <v>70</v>
      </c>
      <c r="E1071" s="3"/>
      <c r="F1071" s="3"/>
    </row>
    <row r="1072" spans="1:6" hidden="1" x14ac:dyDescent="0.3">
      <c r="A1072" s="7" t="str">
        <f>BD_ControlRegimen[[#This Row],[FECHA]]&amp;BD_ControlRegimen[[#This Row],[NOMBRE]]</f>
        <v>45256AREVALO CALDERON JUAN CARLOS</v>
      </c>
      <c r="B1072" s="83">
        <f>WEEKNUM(BD_ControlRegimen[[#This Row],[FECHA]],2)</f>
        <v>48</v>
      </c>
      <c r="C1072" s="7">
        <v>45256</v>
      </c>
      <c r="D1072" s="3" t="s">
        <v>70</v>
      </c>
      <c r="E1072" s="3"/>
      <c r="F1072" s="3"/>
    </row>
    <row r="1073" spans="1:6" hidden="1" x14ac:dyDescent="0.3">
      <c r="A1073" s="7" t="str">
        <f>BD_ControlRegimen[[#This Row],[FECHA]]&amp;BD_ControlRegimen[[#This Row],[NOMBRE]]</f>
        <v>45257AREVALO CALDERON JUAN CARLOS</v>
      </c>
      <c r="B1073" s="83">
        <f>WEEKNUM(BD_ControlRegimen[[#This Row],[FECHA]],2)</f>
        <v>49</v>
      </c>
      <c r="C1073" s="7">
        <v>45257</v>
      </c>
      <c r="D1073" s="3" t="s">
        <v>70</v>
      </c>
      <c r="E1073" s="3"/>
      <c r="F1073" s="3"/>
    </row>
    <row r="1074" spans="1:6" hidden="1" x14ac:dyDescent="0.3">
      <c r="A1074" s="7" t="str">
        <f>BD_ControlRegimen[[#This Row],[FECHA]]&amp;BD_ControlRegimen[[#This Row],[NOMBRE]]</f>
        <v>45258AREVALO CALDERON JUAN CARLOS</v>
      </c>
      <c r="B1074" s="83">
        <f>WEEKNUM(BD_ControlRegimen[[#This Row],[FECHA]],2)</f>
        <v>49</v>
      </c>
      <c r="C1074" s="7">
        <v>45258</v>
      </c>
      <c r="D1074" s="3" t="s">
        <v>70</v>
      </c>
      <c r="E1074" s="3"/>
      <c r="F1074" s="3"/>
    </row>
    <row r="1075" spans="1:6" hidden="1" x14ac:dyDescent="0.3">
      <c r="A1075" s="7" t="str">
        <f>BD_ControlRegimen[[#This Row],[FECHA]]&amp;BD_ControlRegimen[[#This Row],[NOMBRE]]</f>
        <v>45259AREVALO CALDERON JUAN CARLOS</v>
      </c>
      <c r="B1075" s="83">
        <f>WEEKNUM(BD_ControlRegimen[[#This Row],[FECHA]],2)</f>
        <v>49</v>
      </c>
      <c r="C1075" s="7">
        <v>45259</v>
      </c>
      <c r="D1075" s="3" t="s">
        <v>70</v>
      </c>
      <c r="E1075" s="3"/>
      <c r="F1075" s="3"/>
    </row>
    <row r="1076" spans="1:6" hidden="1" x14ac:dyDescent="0.3">
      <c r="A1076" s="7" t="str">
        <f>BD_ControlRegimen[[#This Row],[FECHA]]&amp;BD_ControlRegimen[[#This Row],[NOMBRE]]</f>
        <v>45260AREVALO CALDERON JUAN CARLOS</v>
      </c>
      <c r="B1076" s="83">
        <f>WEEKNUM(BD_ControlRegimen[[#This Row],[FECHA]],2)</f>
        <v>49</v>
      </c>
      <c r="C1076" s="7">
        <v>45260</v>
      </c>
      <c r="D1076" s="3" t="s">
        <v>70</v>
      </c>
      <c r="E1076" s="3"/>
      <c r="F1076" s="3"/>
    </row>
    <row r="1077" spans="1:6" hidden="1" x14ac:dyDescent="0.3">
      <c r="A1077" s="7" t="str">
        <f>BD_ControlRegimen[[#This Row],[FECHA]]&amp;BD_ControlRegimen[[#This Row],[NOMBRE]]</f>
        <v>45261AREVALO CALDERON JUAN CARLOS</v>
      </c>
      <c r="B1077" s="83">
        <f>WEEKNUM(BD_ControlRegimen[[#This Row],[FECHA]],2)</f>
        <v>49</v>
      </c>
      <c r="C1077" s="7">
        <v>45261</v>
      </c>
      <c r="D1077" s="3" t="s">
        <v>70</v>
      </c>
      <c r="E1077" s="3"/>
      <c r="F1077" s="3"/>
    </row>
    <row r="1078" spans="1:6" hidden="1" x14ac:dyDescent="0.3">
      <c r="A1078" s="7" t="str">
        <f>BD_ControlRegimen[[#This Row],[FECHA]]&amp;BD_ControlRegimen[[#This Row],[NOMBRE]]</f>
        <v>45262AREVALO CALDERON JUAN CARLOS</v>
      </c>
      <c r="B1078" s="83">
        <f>WEEKNUM(BD_ControlRegimen[[#This Row],[FECHA]],2)</f>
        <v>49</v>
      </c>
      <c r="C1078" s="7">
        <v>45262</v>
      </c>
      <c r="D1078" s="3" t="s">
        <v>70</v>
      </c>
      <c r="E1078" s="3"/>
      <c r="F1078" s="3"/>
    </row>
    <row r="1079" spans="1:6" hidden="1" x14ac:dyDescent="0.3">
      <c r="A1079" s="7" t="str">
        <f>BD_ControlRegimen[[#This Row],[FECHA]]&amp;BD_ControlRegimen[[#This Row],[NOMBRE]]</f>
        <v>45263AREVALO CALDERON JUAN CARLOS</v>
      </c>
      <c r="B1079" s="83">
        <f>WEEKNUM(BD_ControlRegimen[[#This Row],[FECHA]],2)</f>
        <v>49</v>
      </c>
      <c r="C1079" s="7">
        <v>45263</v>
      </c>
      <c r="D1079" s="3" t="s">
        <v>70</v>
      </c>
      <c r="E1079" s="3"/>
      <c r="F1079" s="3"/>
    </row>
    <row r="1080" spans="1:6" hidden="1" x14ac:dyDescent="0.3">
      <c r="A1080" s="7" t="str">
        <f>BD_ControlRegimen[[#This Row],[FECHA]]&amp;BD_ControlRegimen[[#This Row],[NOMBRE]]</f>
        <v>45264AREVALO CALDERON JUAN CARLOS</v>
      </c>
      <c r="B1080" s="83">
        <f>WEEKNUM(BD_ControlRegimen[[#This Row],[FECHA]],2)</f>
        <v>50</v>
      </c>
      <c r="C1080" s="7">
        <v>45264</v>
      </c>
      <c r="D1080" s="3" t="s">
        <v>70</v>
      </c>
      <c r="E1080" s="3"/>
      <c r="F1080" s="3"/>
    </row>
    <row r="1081" spans="1:6" hidden="1" x14ac:dyDescent="0.3">
      <c r="A1081" s="7" t="str">
        <f>BD_ControlRegimen[[#This Row],[FECHA]]&amp;BD_ControlRegimen[[#This Row],[NOMBRE]]</f>
        <v>45265AREVALO CALDERON JUAN CARLOS</v>
      </c>
      <c r="B1081" s="83">
        <f>WEEKNUM(BD_ControlRegimen[[#This Row],[FECHA]],2)</f>
        <v>50</v>
      </c>
      <c r="C1081" s="7">
        <v>45265</v>
      </c>
      <c r="D1081" s="3" t="s">
        <v>70</v>
      </c>
      <c r="E1081" s="3"/>
      <c r="F1081" s="3"/>
    </row>
    <row r="1082" spans="1:6" hidden="1" x14ac:dyDescent="0.3">
      <c r="A1082" s="7" t="str">
        <f>BD_ControlRegimen[[#This Row],[FECHA]]&amp;BD_ControlRegimen[[#This Row],[NOMBRE]]</f>
        <v>45266AREVALO CALDERON JUAN CARLOS</v>
      </c>
      <c r="B1082" s="83">
        <f>WEEKNUM(BD_ControlRegimen[[#This Row],[FECHA]],2)</f>
        <v>50</v>
      </c>
      <c r="C1082" s="7">
        <v>45266</v>
      </c>
      <c r="D1082" s="3" t="s">
        <v>70</v>
      </c>
      <c r="E1082" s="3"/>
      <c r="F1082" s="3"/>
    </row>
    <row r="1083" spans="1:6" hidden="1" x14ac:dyDescent="0.3">
      <c r="A1083" s="7" t="str">
        <f>BD_ControlRegimen[[#This Row],[FECHA]]&amp;BD_ControlRegimen[[#This Row],[NOMBRE]]</f>
        <v>45267AREVALO CALDERON JUAN CARLOS</v>
      </c>
      <c r="B1083" s="83">
        <f>WEEKNUM(BD_ControlRegimen[[#This Row],[FECHA]],2)</f>
        <v>50</v>
      </c>
      <c r="C1083" s="7">
        <v>45267</v>
      </c>
      <c r="D1083" s="3" t="s">
        <v>70</v>
      </c>
      <c r="E1083" s="3"/>
      <c r="F1083" s="3"/>
    </row>
    <row r="1084" spans="1:6" hidden="1" x14ac:dyDescent="0.3">
      <c r="A1084" s="7" t="str">
        <f>BD_ControlRegimen[[#This Row],[FECHA]]&amp;BD_ControlRegimen[[#This Row],[NOMBRE]]</f>
        <v>45268AREVALO CALDERON JUAN CARLOS</v>
      </c>
      <c r="B1084" s="83">
        <f>WEEKNUM(BD_ControlRegimen[[#This Row],[FECHA]],2)</f>
        <v>50</v>
      </c>
      <c r="C1084" s="7">
        <v>45268</v>
      </c>
      <c r="D1084" s="3" t="s">
        <v>70</v>
      </c>
      <c r="E1084" s="3"/>
      <c r="F1084" s="3"/>
    </row>
    <row r="1085" spans="1:6" hidden="1" x14ac:dyDescent="0.3">
      <c r="A1085" s="7" t="str">
        <f>BD_ControlRegimen[[#This Row],[FECHA]]&amp;BD_ControlRegimen[[#This Row],[NOMBRE]]</f>
        <v>45269AREVALO CALDERON JUAN CARLOS</v>
      </c>
      <c r="B1085" s="83">
        <f>WEEKNUM(BD_ControlRegimen[[#This Row],[FECHA]],2)</f>
        <v>50</v>
      </c>
      <c r="C1085" s="7">
        <v>45269</v>
      </c>
      <c r="D1085" s="3" t="s">
        <v>70</v>
      </c>
      <c r="E1085" s="3"/>
      <c r="F1085" s="3"/>
    </row>
    <row r="1086" spans="1:6" hidden="1" x14ac:dyDescent="0.3">
      <c r="A1086" s="7" t="str">
        <f>BD_ControlRegimen[[#This Row],[FECHA]]&amp;BD_ControlRegimen[[#This Row],[NOMBRE]]</f>
        <v>45270AREVALO CALDERON JUAN CARLOS</v>
      </c>
      <c r="B1086" s="83">
        <f>WEEKNUM(BD_ControlRegimen[[#This Row],[FECHA]],2)</f>
        <v>50</v>
      </c>
      <c r="C1086" s="7">
        <v>45270</v>
      </c>
      <c r="D1086" s="3" t="s">
        <v>70</v>
      </c>
      <c r="E1086" s="3"/>
      <c r="F1086" s="3"/>
    </row>
    <row r="1087" spans="1:6" hidden="1" x14ac:dyDescent="0.3">
      <c r="A1087" s="7" t="str">
        <f>BD_ControlRegimen[[#This Row],[FECHA]]&amp;BD_ControlRegimen[[#This Row],[NOMBRE]]</f>
        <v>45271AREVALO CALDERON JUAN CARLOS</v>
      </c>
      <c r="B1087" s="83">
        <f>WEEKNUM(BD_ControlRegimen[[#This Row],[FECHA]],2)</f>
        <v>51</v>
      </c>
      <c r="C1087" s="7">
        <v>45271</v>
      </c>
      <c r="D1087" s="3" t="s">
        <v>70</v>
      </c>
      <c r="E1087" s="3"/>
      <c r="F1087" s="3"/>
    </row>
    <row r="1088" spans="1:6" hidden="1" x14ac:dyDescent="0.3">
      <c r="A1088" s="7" t="str">
        <f>BD_ControlRegimen[[#This Row],[FECHA]]&amp;BD_ControlRegimen[[#This Row],[NOMBRE]]</f>
        <v>45272AREVALO CALDERON JUAN CARLOS</v>
      </c>
      <c r="B1088" s="83">
        <f>WEEKNUM(BD_ControlRegimen[[#This Row],[FECHA]],2)</f>
        <v>51</v>
      </c>
      <c r="C1088" s="7">
        <v>45272</v>
      </c>
      <c r="D1088" s="3" t="s">
        <v>70</v>
      </c>
      <c r="E1088" s="3"/>
      <c r="F1088" s="3"/>
    </row>
    <row r="1089" spans="1:6" hidden="1" x14ac:dyDescent="0.3">
      <c r="A1089" s="7" t="str">
        <f>BD_ControlRegimen[[#This Row],[FECHA]]&amp;BD_ControlRegimen[[#This Row],[NOMBRE]]</f>
        <v>45273AREVALO CALDERON JUAN CARLOS</v>
      </c>
      <c r="B1089" s="83">
        <f>WEEKNUM(BD_ControlRegimen[[#This Row],[FECHA]],2)</f>
        <v>51</v>
      </c>
      <c r="C1089" s="7">
        <v>45273</v>
      </c>
      <c r="D1089" s="3" t="s">
        <v>70</v>
      </c>
      <c r="E1089" s="3"/>
      <c r="F1089" s="3"/>
    </row>
    <row r="1090" spans="1:6" hidden="1" x14ac:dyDescent="0.3">
      <c r="A1090" s="7" t="str">
        <f>BD_ControlRegimen[[#This Row],[FECHA]]&amp;BD_ControlRegimen[[#This Row],[NOMBRE]]</f>
        <v>45274AREVALO CALDERON JUAN CARLOS</v>
      </c>
      <c r="B1090" s="83">
        <f>WEEKNUM(BD_ControlRegimen[[#This Row],[FECHA]],2)</f>
        <v>51</v>
      </c>
      <c r="C1090" s="7">
        <v>45274</v>
      </c>
      <c r="D1090" s="3" t="s">
        <v>70</v>
      </c>
      <c r="E1090" s="3"/>
      <c r="F1090" s="3"/>
    </row>
    <row r="1091" spans="1:6" hidden="1" x14ac:dyDescent="0.3">
      <c r="A1091" s="7" t="str">
        <f>BD_ControlRegimen[[#This Row],[FECHA]]&amp;BD_ControlRegimen[[#This Row],[NOMBRE]]</f>
        <v>45275AREVALO CALDERON JUAN CARLOS</v>
      </c>
      <c r="B1091" s="83">
        <f>WEEKNUM(BD_ControlRegimen[[#This Row],[FECHA]],2)</f>
        <v>51</v>
      </c>
      <c r="C1091" s="7">
        <v>45275</v>
      </c>
      <c r="D1091" s="3" t="s">
        <v>70</v>
      </c>
      <c r="E1091" s="3"/>
      <c r="F1091" s="3"/>
    </row>
    <row r="1092" spans="1:6" hidden="1" x14ac:dyDescent="0.3">
      <c r="A1092" s="7" t="str">
        <f>BD_ControlRegimen[[#This Row],[FECHA]]&amp;BD_ControlRegimen[[#This Row],[NOMBRE]]</f>
        <v>45276AREVALO CALDERON JUAN CARLOS</v>
      </c>
      <c r="B1092" s="83">
        <f>WEEKNUM(BD_ControlRegimen[[#This Row],[FECHA]],2)</f>
        <v>51</v>
      </c>
      <c r="C1092" s="7">
        <v>45276</v>
      </c>
      <c r="D1092" s="3" t="s">
        <v>70</v>
      </c>
      <c r="E1092" s="3"/>
      <c r="F1092" s="3"/>
    </row>
    <row r="1093" spans="1:6" hidden="1" x14ac:dyDescent="0.3">
      <c r="A1093" s="7" t="str">
        <f>BD_ControlRegimen[[#This Row],[FECHA]]&amp;BD_ControlRegimen[[#This Row],[NOMBRE]]</f>
        <v>45277AREVALO CALDERON JUAN CARLOS</v>
      </c>
      <c r="B1093" s="83">
        <f>WEEKNUM(BD_ControlRegimen[[#This Row],[FECHA]],2)</f>
        <v>51</v>
      </c>
      <c r="C1093" s="7">
        <v>45277</v>
      </c>
      <c r="D1093" s="3" t="s">
        <v>70</v>
      </c>
      <c r="E1093" s="3"/>
      <c r="F1093" s="3"/>
    </row>
    <row r="1094" spans="1:6" hidden="1" x14ac:dyDescent="0.3">
      <c r="A1094" s="7" t="str">
        <f>BD_ControlRegimen[[#This Row],[FECHA]]&amp;BD_ControlRegimen[[#This Row],[NOMBRE]]</f>
        <v>45278AREVALO CALDERON JUAN CARLOS</v>
      </c>
      <c r="B1094" s="83">
        <f>WEEKNUM(BD_ControlRegimen[[#This Row],[FECHA]],2)</f>
        <v>52</v>
      </c>
      <c r="C1094" s="7">
        <v>45278</v>
      </c>
      <c r="D1094" s="3" t="s">
        <v>70</v>
      </c>
      <c r="E1094" s="3"/>
      <c r="F1094" s="3"/>
    </row>
    <row r="1095" spans="1:6" hidden="1" x14ac:dyDescent="0.3">
      <c r="A1095" s="7" t="str">
        <f>BD_ControlRegimen[[#This Row],[FECHA]]&amp;BD_ControlRegimen[[#This Row],[NOMBRE]]</f>
        <v>45279AREVALO CALDERON JUAN CARLOS</v>
      </c>
      <c r="B1095" s="83">
        <f>WEEKNUM(BD_ControlRegimen[[#This Row],[FECHA]],2)</f>
        <v>52</v>
      </c>
      <c r="C1095" s="7">
        <v>45279</v>
      </c>
      <c r="D1095" s="3" t="s">
        <v>70</v>
      </c>
      <c r="E1095" s="3"/>
      <c r="F1095" s="3"/>
    </row>
    <row r="1096" spans="1:6" hidden="1" x14ac:dyDescent="0.3">
      <c r="A1096" s="7" t="str">
        <f>BD_ControlRegimen[[#This Row],[FECHA]]&amp;BD_ControlRegimen[[#This Row],[NOMBRE]]</f>
        <v>45280AREVALO CALDERON JUAN CARLOS</v>
      </c>
      <c r="B1096" s="83">
        <f>WEEKNUM(BD_ControlRegimen[[#This Row],[FECHA]],2)</f>
        <v>52</v>
      </c>
      <c r="C1096" s="7">
        <v>45280</v>
      </c>
      <c r="D1096" s="3" t="s">
        <v>70</v>
      </c>
      <c r="E1096" s="3"/>
      <c r="F1096" s="3"/>
    </row>
    <row r="1097" spans="1:6" hidden="1" x14ac:dyDescent="0.3">
      <c r="A1097" s="7" t="str">
        <f>BD_ControlRegimen[[#This Row],[FECHA]]&amp;BD_ControlRegimen[[#This Row],[NOMBRE]]</f>
        <v>45281AREVALO CALDERON JUAN CARLOS</v>
      </c>
      <c r="B1097" s="83">
        <f>WEEKNUM(BD_ControlRegimen[[#This Row],[FECHA]],2)</f>
        <v>52</v>
      </c>
      <c r="C1097" s="7">
        <v>45281</v>
      </c>
      <c r="D1097" s="3" t="s">
        <v>70</v>
      </c>
      <c r="E1097" s="3"/>
      <c r="F1097" s="3"/>
    </row>
    <row r="1098" spans="1:6" hidden="1" x14ac:dyDescent="0.3">
      <c r="A1098" s="7" t="str">
        <f>BD_ControlRegimen[[#This Row],[FECHA]]&amp;BD_ControlRegimen[[#This Row],[NOMBRE]]</f>
        <v>45282AREVALO CALDERON JUAN CARLOS</v>
      </c>
      <c r="B1098" s="83">
        <f>WEEKNUM(BD_ControlRegimen[[#This Row],[FECHA]],2)</f>
        <v>52</v>
      </c>
      <c r="C1098" s="7">
        <v>45282</v>
      </c>
      <c r="D1098" s="3" t="s">
        <v>70</v>
      </c>
      <c r="E1098" s="3"/>
      <c r="F1098" s="3"/>
    </row>
    <row r="1099" spans="1:6" hidden="1" x14ac:dyDescent="0.3">
      <c r="A1099" s="7" t="str">
        <f>BD_ControlRegimen[[#This Row],[FECHA]]&amp;BD_ControlRegimen[[#This Row],[NOMBRE]]</f>
        <v>45283AREVALO CALDERON JUAN CARLOS</v>
      </c>
      <c r="B1099" s="83">
        <f>WEEKNUM(BD_ControlRegimen[[#This Row],[FECHA]],2)</f>
        <v>52</v>
      </c>
      <c r="C1099" s="7">
        <v>45283</v>
      </c>
      <c r="D1099" s="3" t="s">
        <v>70</v>
      </c>
      <c r="E1099" s="3"/>
      <c r="F1099" s="3"/>
    </row>
    <row r="1100" spans="1:6" hidden="1" x14ac:dyDescent="0.3">
      <c r="A1100" s="7" t="str">
        <f>BD_ControlRegimen[[#This Row],[FECHA]]&amp;BD_ControlRegimen[[#This Row],[NOMBRE]]</f>
        <v>45284AREVALO CALDERON JUAN CARLOS</v>
      </c>
      <c r="B1100" s="83">
        <f>WEEKNUM(BD_ControlRegimen[[#This Row],[FECHA]],2)</f>
        <v>52</v>
      </c>
      <c r="C1100" s="7">
        <v>45284</v>
      </c>
      <c r="D1100" s="3" t="s">
        <v>70</v>
      </c>
      <c r="E1100" s="3"/>
      <c r="F1100" s="3"/>
    </row>
    <row r="1101" spans="1:6" hidden="1" x14ac:dyDescent="0.3">
      <c r="A1101" s="7" t="str">
        <f>BD_ControlRegimen[[#This Row],[FECHA]]&amp;BD_ControlRegimen[[#This Row],[NOMBRE]]</f>
        <v>45285AREVALO CALDERON JUAN CARLOS</v>
      </c>
      <c r="B1101" s="83">
        <f>WEEKNUM(BD_ControlRegimen[[#This Row],[FECHA]],2)</f>
        <v>53</v>
      </c>
      <c r="C1101" s="7">
        <v>45285</v>
      </c>
      <c r="D1101" s="3" t="s">
        <v>70</v>
      </c>
      <c r="E1101" s="3"/>
      <c r="F1101" s="3"/>
    </row>
    <row r="1102" spans="1:6" hidden="1" x14ac:dyDescent="0.3">
      <c r="A1102" s="7" t="str">
        <f>BD_ControlRegimen[[#This Row],[FECHA]]&amp;BD_ControlRegimen[[#This Row],[NOMBRE]]</f>
        <v>45286AREVALO CALDERON JUAN CARLOS</v>
      </c>
      <c r="B1102" s="83">
        <f>WEEKNUM(BD_ControlRegimen[[#This Row],[FECHA]],2)</f>
        <v>53</v>
      </c>
      <c r="C1102" s="7">
        <v>45286</v>
      </c>
      <c r="D1102" s="3" t="s">
        <v>70</v>
      </c>
      <c r="E1102" s="3"/>
      <c r="F1102" s="3"/>
    </row>
    <row r="1103" spans="1:6" hidden="1" x14ac:dyDescent="0.3">
      <c r="A1103" s="7" t="str">
        <f>BD_ControlRegimen[[#This Row],[FECHA]]&amp;BD_ControlRegimen[[#This Row],[NOMBRE]]</f>
        <v>45287AREVALO CALDERON JUAN CARLOS</v>
      </c>
      <c r="B1103" s="83">
        <f>WEEKNUM(BD_ControlRegimen[[#This Row],[FECHA]],2)</f>
        <v>53</v>
      </c>
      <c r="C1103" s="7">
        <v>45287</v>
      </c>
      <c r="D1103" s="3" t="s">
        <v>70</v>
      </c>
      <c r="E1103" s="3"/>
      <c r="F1103" s="3"/>
    </row>
    <row r="1104" spans="1:6" hidden="1" x14ac:dyDescent="0.3">
      <c r="A1104" s="7" t="str">
        <f>BD_ControlRegimen[[#This Row],[FECHA]]&amp;BD_ControlRegimen[[#This Row],[NOMBRE]]</f>
        <v>45288AREVALO CALDERON JUAN CARLOS</v>
      </c>
      <c r="B1104" s="83">
        <f>WEEKNUM(BD_ControlRegimen[[#This Row],[FECHA]],2)</f>
        <v>53</v>
      </c>
      <c r="C1104" s="7">
        <v>45288</v>
      </c>
      <c r="D1104" s="3" t="s">
        <v>70</v>
      </c>
      <c r="E1104" s="3"/>
      <c r="F1104" s="3"/>
    </row>
    <row r="1105" spans="1:6" hidden="1" x14ac:dyDescent="0.3">
      <c r="A1105" s="7" t="str">
        <f>BD_ControlRegimen[[#This Row],[FECHA]]&amp;BD_ControlRegimen[[#This Row],[NOMBRE]]</f>
        <v>45289AREVALO CALDERON JUAN CARLOS</v>
      </c>
      <c r="B1105" s="83">
        <f>WEEKNUM(BD_ControlRegimen[[#This Row],[FECHA]],2)</f>
        <v>53</v>
      </c>
      <c r="C1105" s="7">
        <v>45289</v>
      </c>
      <c r="D1105" s="3" t="s">
        <v>70</v>
      </c>
      <c r="E1105" s="3"/>
      <c r="F1105" s="3"/>
    </row>
    <row r="1106" spans="1:6" hidden="1" x14ac:dyDescent="0.3">
      <c r="A1106" s="7" t="str">
        <f>BD_ControlRegimen[[#This Row],[FECHA]]&amp;BD_ControlRegimen[[#This Row],[NOMBRE]]</f>
        <v>45290AREVALO CALDERON JUAN CARLOS</v>
      </c>
      <c r="B1106" s="83">
        <f>WEEKNUM(BD_ControlRegimen[[#This Row],[FECHA]],2)</f>
        <v>53</v>
      </c>
      <c r="C1106" s="7">
        <v>45290</v>
      </c>
      <c r="D1106" s="3" t="s">
        <v>70</v>
      </c>
      <c r="E1106" s="3"/>
      <c r="F1106" s="3"/>
    </row>
    <row r="1107" spans="1:6" hidden="1" x14ac:dyDescent="0.3">
      <c r="A1107" s="7" t="str">
        <f>BD_ControlRegimen[[#This Row],[FECHA]]&amp;BD_ControlRegimen[[#This Row],[NOMBRE]]</f>
        <v>45291AREVALO CALDERON JUAN CARLOS</v>
      </c>
      <c r="B1107" s="83">
        <f>WEEKNUM(BD_ControlRegimen[[#This Row],[FECHA]],2)</f>
        <v>53</v>
      </c>
      <c r="C1107" s="7">
        <v>45291</v>
      </c>
      <c r="D1107" s="3" t="s">
        <v>70</v>
      </c>
      <c r="E1107" s="3"/>
      <c r="F1107" s="3"/>
    </row>
    <row r="1108" spans="1:6" hidden="1" x14ac:dyDescent="0.3">
      <c r="A1108" s="99" t="str">
        <f>BD_ControlRegimen[[#This Row],[FECHA]]&amp;BD_ControlRegimen[[#This Row],[NOMBRE]]</f>
        <v>44927AVILA OBLEA PERCY CARLOS</v>
      </c>
      <c r="B1108" s="100">
        <f>WEEKNUM(BD_ControlRegimen[[#This Row],[FECHA]],2)</f>
        <v>1</v>
      </c>
      <c r="C1108" s="99">
        <v>44927</v>
      </c>
      <c r="D1108" s="3" t="s">
        <v>10</v>
      </c>
      <c r="E1108" s="101"/>
      <c r="F1108" s="101"/>
    </row>
    <row r="1109" spans="1:6" hidden="1" x14ac:dyDescent="0.3">
      <c r="A1109" s="99" t="str">
        <f>BD_ControlRegimen[[#This Row],[FECHA]]&amp;BD_ControlRegimen[[#This Row],[NOMBRE]]</f>
        <v>44928AVILA OBLEA PERCY CARLOS</v>
      </c>
      <c r="B1109" s="100">
        <f>WEEKNUM(BD_ControlRegimen[[#This Row],[FECHA]],2)</f>
        <v>2</v>
      </c>
      <c r="C1109" s="99">
        <v>44928</v>
      </c>
      <c r="D1109" s="3" t="s">
        <v>10</v>
      </c>
      <c r="E1109" s="101"/>
      <c r="F1109" s="101"/>
    </row>
    <row r="1110" spans="1:6" hidden="1" x14ac:dyDescent="0.3">
      <c r="A1110" s="99" t="str">
        <f>BD_ControlRegimen[[#This Row],[FECHA]]&amp;BD_ControlRegimen[[#This Row],[NOMBRE]]</f>
        <v>44929AVILA OBLEA PERCY CARLOS</v>
      </c>
      <c r="B1110" s="100">
        <f>WEEKNUM(BD_ControlRegimen[[#This Row],[FECHA]],2)</f>
        <v>2</v>
      </c>
      <c r="C1110" s="99">
        <v>44929</v>
      </c>
      <c r="D1110" s="3" t="s">
        <v>10</v>
      </c>
      <c r="E1110" s="101"/>
      <c r="F1110" s="101"/>
    </row>
    <row r="1111" spans="1:6" hidden="1" x14ac:dyDescent="0.3">
      <c r="A1111" s="99" t="str">
        <f>BD_ControlRegimen[[#This Row],[FECHA]]&amp;BD_ControlRegimen[[#This Row],[NOMBRE]]</f>
        <v>44930AVILA OBLEA PERCY CARLOS</v>
      </c>
      <c r="B1111" s="100">
        <f>WEEKNUM(BD_ControlRegimen[[#This Row],[FECHA]],2)</f>
        <v>2</v>
      </c>
      <c r="C1111" s="99">
        <v>44930</v>
      </c>
      <c r="D1111" s="3" t="s">
        <v>10</v>
      </c>
      <c r="E1111" s="101"/>
      <c r="F1111" s="101"/>
    </row>
    <row r="1112" spans="1:6" hidden="1" x14ac:dyDescent="0.3">
      <c r="A1112" s="99" t="str">
        <f>BD_ControlRegimen[[#This Row],[FECHA]]&amp;BD_ControlRegimen[[#This Row],[NOMBRE]]</f>
        <v>44931AVILA OBLEA PERCY CARLOS</v>
      </c>
      <c r="B1112" s="100">
        <f>WEEKNUM(BD_ControlRegimen[[#This Row],[FECHA]],2)</f>
        <v>2</v>
      </c>
      <c r="C1112" s="99">
        <v>44931</v>
      </c>
      <c r="D1112" s="3" t="s">
        <v>10</v>
      </c>
      <c r="E1112" s="101"/>
      <c r="F1112" s="101"/>
    </row>
    <row r="1113" spans="1:6" hidden="1" x14ac:dyDescent="0.3">
      <c r="A1113" s="99" t="str">
        <f>BD_ControlRegimen[[#This Row],[FECHA]]&amp;BD_ControlRegimen[[#This Row],[NOMBRE]]</f>
        <v>44932AVILA OBLEA PERCY CARLOS</v>
      </c>
      <c r="B1113" s="100">
        <f>WEEKNUM(BD_ControlRegimen[[#This Row],[FECHA]],2)</f>
        <v>2</v>
      </c>
      <c r="C1113" s="99">
        <v>44932</v>
      </c>
      <c r="D1113" s="3" t="s">
        <v>10</v>
      </c>
      <c r="E1113" s="101"/>
      <c r="F1113" s="101"/>
    </row>
    <row r="1114" spans="1:6" hidden="1" x14ac:dyDescent="0.3">
      <c r="A1114" s="99" t="str">
        <f>BD_ControlRegimen[[#This Row],[FECHA]]&amp;BD_ControlRegimen[[#This Row],[NOMBRE]]</f>
        <v>44933AVILA OBLEA PERCY CARLOS</v>
      </c>
      <c r="B1114" s="100">
        <f>WEEKNUM(BD_ControlRegimen[[#This Row],[FECHA]],2)</f>
        <v>2</v>
      </c>
      <c r="C1114" s="99">
        <v>44933</v>
      </c>
      <c r="D1114" s="3" t="s">
        <v>10</v>
      </c>
      <c r="E1114" s="101"/>
      <c r="F1114" s="101"/>
    </row>
    <row r="1115" spans="1:6" hidden="1" x14ac:dyDescent="0.3">
      <c r="A1115" s="99" t="str">
        <f>BD_ControlRegimen[[#This Row],[FECHA]]&amp;BD_ControlRegimen[[#This Row],[NOMBRE]]</f>
        <v>44934AVILA OBLEA PERCY CARLOS</v>
      </c>
      <c r="B1115" s="100">
        <f>WEEKNUM(BD_ControlRegimen[[#This Row],[FECHA]],2)</f>
        <v>2</v>
      </c>
      <c r="C1115" s="99">
        <v>44934</v>
      </c>
      <c r="D1115" s="3" t="s">
        <v>10</v>
      </c>
      <c r="E1115" s="101"/>
      <c r="F1115" s="101"/>
    </row>
    <row r="1116" spans="1:6" hidden="1" x14ac:dyDescent="0.3">
      <c r="A1116" s="99" t="str">
        <f>BD_ControlRegimen[[#This Row],[FECHA]]&amp;BD_ControlRegimen[[#This Row],[NOMBRE]]</f>
        <v>44935AVILA OBLEA PERCY CARLOS</v>
      </c>
      <c r="B1116" s="100">
        <f>WEEKNUM(BD_ControlRegimen[[#This Row],[FECHA]],2)</f>
        <v>3</v>
      </c>
      <c r="C1116" s="99">
        <v>44935</v>
      </c>
      <c r="D1116" s="3" t="s">
        <v>10</v>
      </c>
      <c r="E1116" s="101"/>
      <c r="F1116" s="101"/>
    </row>
    <row r="1117" spans="1:6" hidden="1" x14ac:dyDescent="0.3">
      <c r="A1117" s="99" t="str">
        <f>BD_ControlRegimen[[#This Row],[FECHA]]&amp;BD_ControlRegimen[[#This Row],[NOMBRE]]</f>
        <v>44936AVILA OBLEA PERCY CARLOS</v>
      </c>
      <c r="B1117" s="100">
        <f>WEEKNUM(BD_ControlRegimen[[#This Row],[FECHA]],2)</f>
        <v>3</v>
      </c>
      <c r="C1117" s="99">
        <v>44936</v>
      </c>
      <c r="D1117" s="3" t="s">
        <v>10</v>
      </c>
      <c r="E1117" s="101"/>
      <c r="F1117" s="101"/>
    </row>
    <row r="1118" spans="1:6" hidden="1" x14ac:dyDescent="0.3">
      <c r="A1118" s="99" t="str">
        <f>BD_ControlRegimen[[#This Row],[FECHA]]&amp;BD_ControlRegimen[[#This Row],[NOMBRE]]</f>
        <v>44937AVILA OBLEA PERCY CARLOS</v>
      </c>
      <c r="B1118" s="100">
        <f>WEEKNUM(BD_ControlRegimen[[#This Row],[FECHA]],2)</f>
        <v>3</v>
      </c>
      <c r="C1118" s="99">
        <v>44937</v>
      </c>
      <c r="D1118" s="3" t="s">
        <v>10</v>
      </c>
      <c r="E1118" s="101"/>
      <c r="F1118" s="101"/>
    </row>
    <row r="1119" spans="1:6" hidden="1" x14ac:dyDescent="0.3">
      <c r="A1119" s="99" t="str">
        <f>BD_ControlRegimen[[#This Row],[FECHA]]&amp;BD_ControlRegimen[[#This Row],[NOMBRE]]</f>
        <v>44938AVILA OBLEA PERCY CARLOS</v>
      </c>
      <c r="B1119" s="100">
        <f>WEEKNUM(BD_ControlRegimen[[#This Row],[FECHA]],2)</f>
        <v>3</v>
      </c>
      <c r="C1119" s="99">
        <v>44938</v>
      </c>
      <c r="D1119" s="3" t="s">
        <v>10</v>
      </c>
      <c r="E1119" s="101"/>
      <c r="F1119" s="101"/>
    </row>
    <row r="1120" spans="1:6" hidden="1" x14ac:dyDescent="0.3">
      <c r="A1120" s="99" t="str">
        <f>BD_ControlRegimen[[#This Row],[FECHA]]&amp;BD_ControlRegimen[[#This Row],[NOMBRE]]</f>
        <v>44939AVILA OBLEA PERCY CARLOS</v>
      </c>
      <c r="B1120" s="100">
        <f>WEEKNUM(BD_ControlRegimen[[#This Row],[FECHA]],2)</f>
        <v>3</v>
      </c>
      <c r="C1120" s="99">
        <v>44939</v>
      </c>
      <c r="D1120" s="3" t="s">
        <v>10</v>
      </c>
      <c r="E1120" s="101"/>
      <c r="F1120" s="101"/>
    </row>
    <row r="1121" spans="1:6" hidden="1" x14ac:dyDescent="0.3">
      <c r="A1121" s="99" t="str">
        <f>BD_ControlRegimen[[#This Row],[FECHA]]&amp;BD_ControlRegimen[[#This Row],[NOMBRE]]</f>
        <v>44940AVILA OBLEA PERCY CARLOS</v>
      </c>
      <c r="B1121" s="100">
        <f>WEEKNUM(BD_ControlRegimen[[#This Row],[FECHA]],2)</f>
        <v>3</v>
      </c>
      <c r="C1121" s="99">
        <v>44940</v>
      </c>
      <c r="D1121" s="3" t="s">
        <v>10</v>
      </c>
      <c r="E1121" s="101"/>
      <c r="F1121" s="101"/>
    </row>
    <row r="1122" spans="1:6" hidden="1" x14ac:dyDescent="0.3">
      <c r="A1122" s="99" t="str">
        <f>BD_ControlRegimen[[#This Row],[FECHA]]&amp;BD_ControlRegimen[[#This Row],[NOMBRE]]</f>
        <v>44941AVILA OBLEA PERCY CARLOS</v>
      </c>
      <c r="B1122" s="100">
        <f>WEEKNUM(BD_ControlRegimen[[#This Row],[FECHA]],2)</f>
        <v>3</v>
      </c>
      <c r="C1122" s="99">
        <v>44941</v>
      </c>
      <c r="D1122" s="3" t="s">
        <v>10</v>
      </c>
      <c r="E1122" s="101"/>
      <c r="F1122" s="101"/>
    </row>
    <row r="1123" spans="1:6" hidden="1" x14ac:dyDescent="0.3">
      <c r="A1123" s="99" t="str">
        <f>BD_ControlRegimen[[#This Row],[FECHA]]&amp;BD_ControlRegimen[[#This Row],[NOMBRE]]</f>
        <v>44942AVILA OBLEA PERCY CARLOS</v>
      </c>
      <c r="B1123" s="100">
        <f>WEEKNUM(BD_ControlRegimen[[#This Row],[FECHA]],2)</f>
        <v>4</v>
      </c>
      <c r="C1123" s="99">
        <v>44942</v>
      </c>
      <c r="D1123" s="3" t="s">
        <v>10</v>
      </c>
      <c r="E1123" s="101"/>
      <c r="F1123" s="101"/>
    </row>
    <row r="1124" spans="1:6" hidden="1" x14ac:dyDescent="0.3">
      <c r="A1124" s="99" t="str">
        <f>BD_ControlRegimen[[#This Row],[FECHA]]&amp;BD_ControlRegimen[[#This Row],[NOMBRE]]</f>
        <v>44943AVILA OBLEA PERCY CARLOS</v>
      </c>
      <c r="B1124" s="100">
        <f>WEEKNUM(BD_ControlRegimen[[#This Row],[FECHA]],2)</f>
        <v>4</v>
      </c>
      <c r="C1124" s="99">
        <v>44943</v>
      </c>
      <c r="D1124" s="3" t="s">
        <v>10</v>
      </c>
      <c r="E1124" s="101"/>
      <c r="F1124" s="101"/>
    </row>
    <row r="1125" spans="1:6" hidden="1" x14ac:dyDescent="0.3">
      <c r="A1125" s="99" t="str">
        <f>BD_ControlRegimen[[#This Row],[FECHA]]&amp;BD_ControlRegimen[[#This Row],[NOMBRE]]</f>
        <v>44944AVILA OBLEA PERCY CARLOS</v>
      </c>
      <c r="B1125" s="100">
        <f>WEEKNUM(BD_ControlRegimen[[#This Row],[FECHA]],2)</f>
        <v>4</v>
      </c>
      <c r="C1125" s="99">
        <v>44944</v>
      </c>
      <c r="D1125" s="3" t="s">
        <v>10</v>
      </c>
      <c r="E1125" s="101"/>
      <c r="F1125" s="101"/>
    </row>
    <row r="1126" spans="1:6" hidden="1" x14ac:dyDescent="0.3">
      <c r="A1126" s="99" t="str">
        <f>BD_ControlRegimen[[#This Row],[FECHA]]&amp;BD_ControlRegimen[[#This Row],[NOMBRE]]</f>
        <v>44945AVILA OBLEA PERCY CARLOS</v>
      </c>
      <c r="B1126" s="100">
        <f>WEEKNUM(BD_ControlRegimen[[#This Row],[FECHA]],2)</f>
        <v>4</v>
      </c>
      <c r="C1126" s="99">
        <v>44945</v>
      </c>
      <c r="D1126" s="3" t="s">
        <v>10</v>
      </c>
      <c r="E1126" s="101"/>
      <c r="F1126" s="101"/>
    </row>
    <row r="1127" spans="1:6" hidden="1" x14ac:dyDescent="0.3">
      <c r="A1127" s="99" t="str">
        <f>BD_ControlRegimen[[#This Row],[FECHA]]&amp;BD_ControlRegimen[[#This Row],[NOMBRE]]</f>
        <v>44946AVILA OBLEA PERCY CARLOS</v>
      </c>
      <c r="B1127" s="100">
        <f>WEEKNUM(BD_ControlRegimen[[#This Row],[FECHA]],2)</f>
        <v>4</v>
      </c>
      <c r="C1127" s="99">
        <v>44946</v>
      </c>
      <c r="D1127" s="3" t="s">
        <v>10</v>
      </c>
      <c r="E1127" s="101"/>
      <c r="F1127" s="101"/>
    </row>
    <row r="1128" spans="1:6" hidden="1" x14ac:dyDescent="0.3">
      <c r="A1128" s="99" t="str">
        <f>BD_ControlRegimen[[#This Row],[FECHA]]&amp;BD_ControlRegimen[[#This Row],[NOMBRE]]</f>
        <v>44947AVILA OBLEA PERCY CARLOS</v>
      </c>
      <c r="B1128" s="100">
        <f>WEEKNUM(BD_ControlRegimen[[#This Row],[FECHA]],2)</f>
        <v>4</v>
      </c>
      <c r="C1128" s="99">
        <v>44947</v>
      </c>
      <c r="D1128" s="3" t="s">
        <v>10</v>
      </c>
      <c r="E1128" s="101"/>
      <c r="F1128" s="101"/>
    </row>
    <row r="1129" spans="1:6" hidden="1" x14ac:dyDescent="0.3">
      <c r="A1129" s="99" t="str">
        <f>BD_ControlRegimen[[#This Row],[FECHA]]&amp;BD_ControlRegimen[[#This Row],[NOMBRE]]</f>
        <v>44948AVILA OBLEA PERCY CARLOS</v>
      </c>
      <c r="B1129" s="100">
        <f>WEEKNUM(BD_ControlRegimen[[#This Row],[FECHA]],2)</f>
        <v>4</v>
      </c>
      <c r="C1129" s="99">
        <v>44948</v>
      </c>
      <c r="D1129" s="3" t="s">
        <v>10</v>
      </c>
      <c r="E1129" s="101"/>
      <c r="F1129" s="101"/>
    </row>
    <row r="1130" spans="1:6" hidden="1" x14ac:dyDescent="0.3">
      <c r="A1130" s="99" t="str">
        <f>BD_ControlRegimen[[#This Row],[FECHA]]&amp;BD_ControlRegimen[[#This Row],[NOMBRE]]</f>
        <v>44949AVILA OBLEA PERCY CARLOS</v>
      </c>
      <c r="B1130" s="100">
        <f>WEEKNUM(BD_ControlRegimen[[#This Row],[FECHA]],2)</f>
        <v>5</v>
      </c>
      <c r="C1130" s="99">
        <v>44949</v>
      </c>
      <c r="D1130" s="3" t="s">
        <v>10</v>
      </c>
      <c r="E1130" s="101"/>
      <c r="F1130" s="101"/>
    </row>
    <row r="1131" spans="1:6" hidden="1" x14ac:dyDescent="0.3">
      <c r="A1131" s="99" t="str">
        <f>BD_ControlRegimen[[#This Row],[FECHA]]&amp;BD_ControlRegimen[[#This Row],[NOMBRE]]</f>
        <v>44950AVILA OBLEA PERCY CARLOS</v>
      </c>
      <c r="B1131" s="100">
        <f>WEEKNUM(BD_ControlRegimen[[#This Row],[FECHA]],2)</f>
        <v>5</v>
      </c>
      <c r="C1131" s="99">
        <v>44950</v>
      </c>
      <c r="D1131" s="3" t="s">
        <v>10</v>
      </c>
      <c r="E1131" s="101"/>
      <c r="F1131" s="101"/>
    </row>
    <row r="1132" spans="1:6" hidden="1" x14ac:dyDescent="0.3">
      <c r="A1132" s="99" t="str">
        <f>BD_ControlRegimen[[#This Row],[FECHA]]&amp;BD_ControlRegimen[[#This Row],[NOMBRE]]</f>
        <v>44951AVILA OBLEA PERCY CARLOS</v>
      </c>
      <c r="B1132" s="100">
        <f>WEEKNUM(BD_ControlRegimen[[#This Row],[FECHA]],2)</f>
        <v>5</v>
      </c>
      <c r="C1132" s="99">
        <v>44951</v>
      </c>
      <c r="D1132" s="3" t="s">
        <v>10</v>
      </c>
      <c r="E1132" s="101"/>
      <c r="F1132" s="101"/>
    </row>
    <row r="1133" spans="1:6" hidden="1" x14ac:dyDescent="0.3">
      <c r="A1133" s="99" t="str">
        <f>BD_ControlRegimen[[#This Row],[FECHA]]&amp;BD_ControlRegimen[[#This Row],[NOMBRE]]</f>
        <v>44952AVILA OBLEA PERCY CARLOS</v>
      </c>
      <c r="B1133" s="100">
        <f>WEEKNUM(BD_ControlRegimen[[#This Row],[FECHA]],2)</f>
        <v>5</v>
      </c>
      <c r="C1133" s="99">
        <v>44952</v>
      </c>
      <c r="D1133" s="3" t="s">
        <v>10</v>
      </c>
      <c r="E1133" s="101"/>
      <c r="F1133" s="101"/>
    </row>
    <row r="1134" spans="1:6" hidden="1" x14ac:dyDescent="0.3">
      <c r="A1134" s="99" t="str">
        <f>BD_ControlRegimen[[#This Row],[FECHA]]&amp;BD_ControlRegimen[[#This Row],[NOMBRE]]</f>
        <v>44953AVILA OBLEA PERCY CARLOS</v>
      </c>
      <c r="B1134" s="100">
        <f>WEEKNUM(BD_ControlRegimen[[#This Row],[FECHA]],2)</f>
        <v>5</v>
      </c>
      <c r="C1134" s="99">
        <v>44953</v>
      </c>
      <c r="D1134" s="3" t="s">
        <v>10</v>
      </c>
      <c r="E1134" s="101"/>
      <c r="F1134" s="101"/>
    </row>
    <row r="1135" spans="1:6" hidden="1" x14ac:dyDescent="0.3">
      <c r="A1135" s="99" t="str">
        <f>BD_ControlRegimen[[#This Row],[FECHA]]&amp;BD_ControlRegimen[[#This Row],[NOMBRE]]</f>
        <v>44954AVILA OBLEA PERCY CARLOS</v>
      </c>
      <c r="B1135" s="100">
        <f>WEEKNUM(BD_ControlRegimen[[#This Row],[FECHA]],2)</f>
        <v>5</v>
      </c>
      <c r="C1135" s="99">
        <v>44954</v>
      </c>
      <c r="D1135" s="3" t="s">
        <v>10</v>
      </c>
      <c r="E1135" s="101"/>
      <c r="F1135" s="101"/>
    </row>
    <row r="1136" spans="1:6" hidden="1" x14ac:dyDescent="0.3">
      <c r="A1136" s="99" t="str">
        <f>BD_ControlRegimen[[#This Row],[FECHA]]&amp;BD_ControlRegimen[[#This Row],[NOMBRE]]</f>
        <v>44955AVILA OBLEA PERCY CARLOS</v>
      </c>
      <c r="B1136" s="100">
        <f>WEEKNUM(BD_ControlRegimen[[#This Row],[FECHA]],2)</f>
        <v>5</v>
      </c>
      <c r="C1136" s="99">
        <v>44955</v>
      </c>
      <c r="D1136" s="3" t="s">
        <v>10</v>
      </c>
      <c r="E1136" s="101"/>
      <c r="F1136" s="101"/>
    </row>
    <row r="1137" spans="1:6" hidden="1" x14ac:dyDescent="0.3">
      <c r="A1137" s="99" t="str">
        <f>BD_ControlRegimen[[#This Row],[FECHA]]&amp;BD_ControlRegimen[[#This Row],[NOMBRE]]</f>
        <v>44956AVILA OBLEA PERCY CARLOS</v>
      </c>
      <c r="B1137" s="100">
        <f>WEEKNUM(BD_ControlRegimen[[#This Row],[FECHA]],2)</f>
        <v>6</v>
      </c>
      <c r="C1137" s="99">
        <v>44956</v>
      </c>
      <c r="D1137" s="3" t="s">
        <v>10</v>
      </c>
      <c r="E1137" s="101"/>
      <c r="F1137" s="101"/>
    </row>
    <row r="1138" spans="1:6" hidden="1" x14ac:dyDescent="0.3">
      <c r="A1138" s="99" t="str">
        <f>BD_ControlRegimen[[#This Row],[FECHA]]&amp;BD_ControlRegimen[[#This Row],[NOMBRE]]</f>
        <v>44957AVILA OBLEA PERCY CARLOS</v>
      </c>
      <c r="B1138" s="100">
        <f>WEEKNUM(BD_ControlRegimen[[#This Row],[FECHA]],2)</f>
        <v>6</v>
      </c>
      <c r="C1138" s="99">
        <v>44957</v>
      </c>
      <c r="D1138" s="3" t="s">
        <v>10</v>
      </c>
      <c r="E1138" s="101"/>
      <c r="F1138" s="101"/>
    </row>
    <row r="1139" spans="1:6" hidden="1" x14ac:dyDescent="0.3">
      <c r="A1139" s="99" t="str">
        <f>BD_ControlRegimen[[#This Row],[FECHA]]&amp;BD_ControlRegimen[[#This Row],[NOMBRE]]</f>
        <v>44958AVILA OBLEA PERCY CARLOS</v>
      </c>
      <c r="B1139" s="100">
        <f>WEEKNUM(BD_ControlRegimen[[#This Row],[FECHA]],2)</f>
        <v>6</v>
      </c>
      <c r="C1139" s="99">
        <v>44958</v>
      </c>
      <c r="D1139" s="3" t="s">
        <v>10</v>
      </c>
      <c r="E1139" s="101"/>
      <c r="F1139" s="101"/>
    </row>
    <row r="1140" spans="1:6" hidden="1" x14ac:dyDescent="0.3">
      <c r="A1140" s="99" t="str">
        <f>BD_ControlRegimen[[#This Row],[FECHA]]&amp;BD_ControlRegimen[[#This Row],[NOMBRE]]</f>
        <v>44959AVILA OBLEA PERCY CARLOS</v>
      </c>
      <c r="B1140" s="100">
        <f>WEEKNUM(BD_ControlRegimen[[#This Row],[FECHA]],2)</f>
        <v>6</v>
      </c>
      <c r="C1140" s="99">
        <v>44959</v>
      </c>
      <c r="D1140" s="3" t="s">
        <v>10</v>
      </c>
      <c r="E1140" s="101"/>
      <c r="F1140" s="101"/>
    </row>
    <row r="1141" spans="1:6" hidden="1" x14ac:dyDescent="0.3">
      <c r="A1141" s="99" t="str">
        <f>BD_ControlRegimen[[#This Row],[FECHA]]&amp;BD_ControlRegimen[[#This Row],[NOMBRE]]</f>
        <v>44960AVILA OBLEA PERCY CARLOS</v>
      </c>
      <c r="B1141" s="100">
        <f>WEEKNUM(BD_ControlRegimen[[#This Row],[FECHA]],2)</f>
        <v>6</v>
      </c>
      <c r="C1141" s="99">
        <v>44960</v>
      </c>
      <c r="D1141" s="3" t="s">
        <v>10</v>
      </c>
      <c r="E1141" s="101"/>
      <c r="F1141" s="101"/>
    </row>
    <row r="1142" spans="1:6" hidden="1" x14ac:dyDescent="0.3">
      <c r="A1142" s="99" t="str">
        <f>BD_ControlRegimen[[#This Row],[FECHA]]&amp;BD_ControlRegimen[[#This Row],[NOMBRE]]</f>
        <v>44961AVILA OBLEA PERCY CARLOS</v>
      </c>
      <c r="B1142" s="100">
        <f>WEEKNUM(BD_ControlRegimen[[#This Row],[FECHA]],2)</f>
        <v>6</v>
      </c>
      <c r="C1142" s="99">
        <v>44961</v>
      </c>
      <c r="D1142" s="3" t="s">
        <v>10</v>
      </c>
      <c r="E1142" s="101"/>
      <c r="F1142" s="101"/>
    </row>
    <row r="1143" spans="1:6" hidden="1" x14ac:dyDescent="0.3">
      <c r="A1143" s="99" t="str">
        <f>BD_ControlRegimen[[#This Row],[FECHA]]&amp;BD_ControlRegimen[[#This Row],[NOMBRE]]</f>
        <v>44962AVILA OBLEA PERCY CARLOS</v>
      </c>
      <c r="B1143" s="100">
        <f>WEEKNUM(BD_ControlRegimen[[#This Row],[FECHA]],2)</f>
        <v>6</v>
      </c>
      <c r="C1143" s="99">
        <v>44962</v>
      </c>
      <c r="D1143" s="3" t="s">
        <v>10</v>
      </c>
      <c r="E1143" s="101"/>
      <c r="F1143" s="101"/>
    </row>
    <row r="1144" spans="1:6" hidden="1" x14ac:dyDescent="0.3">
      <c r="A1144" s="99" t="str">
        <f>BD_ControlRegimen[[#This Row],[FECHA]]&amp;BD_ControlRegimen[[#This Row],[NOMBRE]]</f>
        <v>44963AVILA OBLEA PERCY CARLOS</v>
      </c>
      <c r="B1144" s="100">
        <f>WEEKNUM(BD_ControlRegimen[[#This Row],[FECHA]],2)</f>
        <v>7</v>
      </c>
      <c r="C1144" s="99">
        <v>44963</v>
      </c>
      <c r="D1144" s="3" t="s">
        <v>10</v>
      </c>
      <c r="E1144" s="101"/>
      <c r="F1144" s="101"/>
    </row>
    <row r="1145" spans="1:6" hidden="1" x14ac:dyDescent="0.3">
      <c r="A1145" s="99" t="str">
        <f>BD_ControlRegimen[[#This Row],[FECHA]]&amp;BD_ControlRegimen[[#This Row],[NOMBRE]]</f>
        <v>44964AVILA OBLEA PERCY CARLOS</v>
      </c>
      <c r="B1145" s="100">
        <f>WEEKNUM(BD_ControlRegimen[[#This Row],[FECHA]],2)</f>
        <v>7</v>
      </c>
      <c r="C1145" s="99">
        <v>44964</v>
      </c>
      <c r="D1145" s="3" t="s">
        <v>10</v>
      </c>
      <c r="E1145" s="101"/>
      <c r="F1145" s="101"/>
    </row>
    <row r="1146" spans="1:6" hidden="1" x14ac:dyDescent="0.3">
      <c r="A1146" s="99" t="str">
        <f>BD_ControlRegimen[[#This Row],[FECHA]]&amp;BD_ControlRegimen[[#This Row],[NOMBRE]]</f>
        <v>44965AVILA OBLEA PERCY CARLOS</v>
      </c>
      <c r="B1146" s="100">
        <f>WEEKNUM(BD_ControlRegimen[[#This Row],[FECHA]],2)</f>
        <v>7</v>
      </c>
      <c r="C1146" s="99">
        <v>44965</v>
      </c>
      <c r="D1146" s="3" t="s">
        <v>10</v>
      </c>
      <c r="E1146" s="101"/>
      <c r="F1146" s="101"/>
    </row>
    <row r="1147" spans="1:6" hidden="1" x14ac:dyDescent="0.3">
      <c r="A1147" s="99" t="str">
        <f>BD_ControlRegimen[[#This Row],[FECHA]]&amp;BD_ControlRegimen[[#This Row],[NOMBRE]]</f>
        <v>44966AVILA OBLEA PERCY CARLOS</v>
      </c>
      <c r="B1147" s="100">
        <f>WEEKNUM(BD_ControlRegimen[[#This Row],[FECHA]],2)</f>
        <v>7</v>
      </c>
      <c r="C1147" s="99">
        <v>44966</v>
      </c>
      <c r="D1147" s="3" t="s">
        <v>10</v>
      </c>
      <c r="E1147" s="101"/>
      <c r="F1147" s="101"/>
    </row>
    <row r="1148" spans="1:6" hidden="1" x14ac:dyDescent="0.3">
      <c r="A1148" s="99" t="str">
        <f>BD_ControlRegimen[[#This Row],[FECHA]]&amp;BD_ControlRegimen[[#This Row],[NOMBRE]]</f>
        <v>44967AVILA OBLEA PERCY CARLOS</v>
      </c>
      <c r="B1148" s="100">
        <f>WEEKNUM(BD_ControlRegimen[[#This Row],[FECHA]],2)</f>
        <v>7</v>
      </c>
      <c r="C1148" s="99">
        <v>44967</v>
      </c>
      <c r="D1148" s="3" t="s">
        <v>10</v>
      </c>
      <c r="E1148" s="101"/>
      <c r="F1148" s="101"/>
    </row>
    <row r="1149" spans="1:6" hidden="1" x14ac:dyDescent="0.3">
      <c r="A1149" s="99" t="str">
        <f>BD_ControlRegimen[[#This Row],[FECHA]]&amp;BD_ControlRegimen[[#This Row],[NOMBRE]]</f>
        <v>44968AVILA OBLEA PERCY CARLOS</v>
      </c>
      <c r="B1149" s="100">
        <f>WEEKNUM(BD_ControlRegimen[[#This Row],[FECHA]],2)</f>
        <v>7</v>
      </c>
      <c r="C1149" s="99">
        <v>44968</v>
      </c>
      <c r="D1149" s="3" t="s">
        <v>10</v>
      </c>
      <c r="E1149" s="101"/>
      <c r="F1149" s="101"/>
    </row>
    <row r="1150" spans="1:6" hidden="1" x14ac:dyDescent="0.3">
      <c r="A1150" s="99" t="str">
        <f>BD_ControlRegimen[[#This Row],[FECHA]]&amp;BD_ControlRegimen[[#This Row],[NOMBRE]]</f>
        <v>44969AVILA OBLEA PERCY CARLOS</v>
      </c>
      <c r="B1150" s="100">
        <f>WEEKNUM(BD_ControlRegimen[[#This Row],[FECHA]],2)</f>
        <v>7</v>
      </c>
      <c r="C1150" s="99">
        <v>44969</v>
      </c>
      <c r="D1150" s="3" t="s">
        <v>10</v>
      </c>
      <c r="E1150" s="101"/>
      <c r="F1150" s="101"/>
    </row>
    <row r="1151" spans="1:6" hidden="1" x14ac:dyDescent="0.3">
      <c r="A1151" s="99" t="str">
        <f>BD_ControlRegimen[[#This Row],[FECHA]]&amp;BD_ControlRegimen[[#This Row],[NOMBRE]]</f>
        <v>44970AVILA OBLEA PERCY CARLOS</v>
      </c>
      <c r="B1151" s="100">
        <f>WEEKNUM(BD_ControlRegimen[[#This Row],[FECHA]],2)</f>
        <v>8</v>
      </c>
      <c r="C1151" s="99">
        <v>44970</v>
      </c>
      <c r="D1151" s="3" t="s">
        <v>10</v>
      </c>
      <c r="E1151" s="101"/>
      <c r="F1151" s="101"/>
    </row>
    <row r="1152" spans="1:6" hidden="1" x14ac:dyDescent="0.3">
      <c r="A1152" s="99" t="str">
        <f>BD_ControlRegimen[[#This Row],[FECHA]]&amp;BD_ControlRegimen[[#This Row],[NOMBRE]]</f>
        <v>44971AVILA OBLEA PERCY CARLOS</v>
      </c>
      <c r="B1152" s="100">
        <f>WEEKNUM(BD_ControlRegimen[[#This Row],[FECHA]],2)</f>
        <v>8</v>
      </c>
      <c r="C1152" s="99">
        <v>44971</v>
      </c>
      <c r="D1152" s="3" t="s">
        <v>10</v>
      </c>
      <c r="E1152" s="101"/>
      <c r="F1152" s="101"/>
    </row>
    <row r="1153" spans="1:6" hidden="1" x14ac:dyDescent="0.3">
      <c r="A1153" s="99" t="str">
        <f>BD_ControlRegimen[[#This Row],[FECHA]]&amp;BD_ControlRegimen[[#This Row],[NOMBRE]]</f>
        <v>44972AVILA OBLEA PERCY CARLOS</v>
      </c>
      <c r="B1153" s="100">
        <f>WEEKNUM(BD_ControlRegimen[[#This Row],[FECHA]],2)</f>
        <v>8</v>
      </c>
      <c r="C1153" s="99">
        <v>44972</v>
      </c>
      <c r="D1153" s="3" t="s">
        <v>10</v>
      </c>
      <c r="E1153" s="101"/>
      <c r="F1153" s="101"/>
    </row>
    <row r="1154" spans="1:6" hidden="1" x14ac:dyDescent="0.3">
      <c r="A1154" s="99" t="str">
        <f>BD_ControlRegimen[[#This Row],[FECHA]]&amp;BD_ControlRegimen[[#This Row],[NOMBRE]]</f>
        <v>44973AVILA OBLEA PERCY CARLOS</v>
      </c>
      <c r="B1154" s="100">
        <f>WEEKNUM(BD_ControlRegimen[[#This Row],[FECHA]],2)</f>
        <v>8</v>
      </c>
      <c r="C1154" s="99">
        <v>44973</v>
      </c>
      <c r="D1154" s="3" t="s">
        <v>10</v>
      </c>
      <c r="E1154" s="101"/>
      <c r="F1154" s="101"/>
    </row>
    <row r="1155" spans="1:6" hidden="1" x14ac:dyDescent="0.3">
      <c r="A1155" s="99" t="str">
        <f>BD_ControlRegimen[[#This Row],[FECHA]]&amp;BD_ControlRegimen[[#This Row],[NOMBRE]]</f>
        <v>44974AVILA OBLEA PERCY CARLOS</v>
      </c>
      <c r="B1155" s="100">
        <f>WEEKNUM(BD_ControlRegimen[[#This Row],[FECHA]],2)</f>
        <v>8</v>
      </c>
      <c r="C1155" s="99">
        <v>44974</v>
      </c>
      <c r="D1155" s="3" t="s">
        <v>10</v>
      </c>
      <c r="E1155" s="101"/>
      <c r="F1155" s="101"/>
    </row>
    <row r="1156" spans="1:6" hidden="1" x14ac:dyDescent="0.3">
      <c r="A1156" s="99" t="str">
        <f>BD_ControlRegimen[[#This Row],[FECHA]]&amp;BD_ControlRegimen[[#This Row],[NOMBRE]]</f>
        <v>44975AVILA OBLEA PERCY CARLOS</v>
      </c>
      <c r="B1156" s="100">
        <f>WEEKNUM(BD_ControlRegimen[[#This Row],[FECHA]],2)</f>
        <v>8</v>
      </c>
      <c r="C1156" s="99">
        <v>44975</v>
      </c>
      <c r="D1156" s="3" t="s">
        <v>10</v>
      </c>
      <c r="E1156" s="101"/>
      <c r="F1156" s="101"/>
    </row>
    <row r="1157" spans="1:6" hidden="1" x14ac:dyDescent="0.3">
      <c r="A1157" s="99" t="str">
        <f>BD_ControlRegimen[[#This Row],[FECHA]]&amp;BD_ControlRegimen[[#This Row],[NOMBRE]]</f>
        <v>44976AVILA OBLEA PERCY CARLOS</v>
      </c>
      <c r="B1157" s="100">
        <f>WEEKNUM(BD_ControlRegimen[[#This Row],[FECHA]],2)</f>
        <v>8</v>
      </c>
      <c r="C1157" s="99">
        <v>44976</v>
      </c>
      <c r="D1157" s="3" t="s">
        <v>10</v>
      </c>
      <c r="E1157" s="101"/>
      <c r="F1157" s="101"/>
    </row>
    <row r="1158" spans="1:6" hidden="1" x14ac:dyDescent="0.3">
      <c r="A1158" s="99" t="str">
        <f>BD_ControlRegimen[[#This Row],[FECHA]]&amp;BD_ControlRegimen[[#This Row],[NOMBRE]]</f>
        <v>44977AVILA OBLEA PERCY CARLOS</v>
      </c>
      <c r="B1158" s="100">
        <f>WEEKNUM(BD_ControlRegimen[[#This Row],[FECHA]],2)</f>
        <v>9</v>
      </c>
      <c r="C1158" s="99">
        <v>44977</v>
      </c>
      <c r="D1158" s="3" t="s">
        <v>10</v>
      </c>
      <c r="E1158" s="101"/>
      <c r="F1158" s="101"/>
    </row>
    <row r="1159" spans="1:6" hidden="1" x14ac:dyDescent="0.3">
      <c r="A1159" s="99" t="str">
        <f>BD_ControlRegimen[[#This Row],[FECHA]]&amp;BD_ControlRegimen[[#This Row],[NOMBRE]]</f>
        <v>44978AVILA OBLEA PERCY CARLOS</v>
      </c>
      <c r="B1159" s="100">
        <f>WEEKNUM(BD_ControlRegimen[[#This Row],[FECHA]],2)</f>
        <v>9</v>
      </c>
      <c r="C1159" s="99">
        <v>44978</v>
      </c>
      <c r="D1159" s="3" t="s">
        <v>10</v>
      </c>
      <c r="E1159" s="101"/>
      <c r="F1159" s="101"/>
    </row>
    <row r="1160" spans="1:6" hidden="1" x14ac:dyDescent="0.3">
      <c r="A1160" s="99" t="str">
        <f>BD_ControlRegimen[[#This Row],[FECHA]]&amp;BD_ControlRegimen[[#This Row],[NOMBRE]]</f>
        <v>44979AVILA OBLEA PERCY CARLOS</v>
      </c>
      <c r="B1160" s="100">
        <f>WEEKNUM(BD_ControlRegimen[[#This Row],[FECHA]],2)</f>
        <v>9</v>
      </c>
      <c r="C1160" s="99">
        <v>44979</v>
      </c>
      <c r="D1160" s="3" t="s">
        <v>10</v>
      </c>
      <c r="E1160" s="101"/>
      <c r="F1160" s="101"/>
    </row>
    <row r="1161" spans="1:6" hidden="1" x14ac:dyDescent="0.3">
      <c r="A1161" s="99" t="str">
        <f>BD_ControlRegimen[[#This Row],[FECHA]]&amp;BD_ControlRegimen[[#This Row],[NOMBRE]]</f>
        <v>44980AVILA OBLEA PERCY CARLOS</v>
      </c>
      <c r="B1161" s="100">
        <f>WEEKNUM(BD_ControlRegimen[[#This Row],[FECHA]],2)</f>
        <v>9</v>
      </c>
      <c r="C1161" s="99">
        <v>44980</v>
      </c>
      <c r="D1161" s="3" t="s">
        <v>10</v>
      </c>
      <c r="E1161" s="101"/>
      <c r="F1161" s="101"/>
    </row>
    <row r="1162" spans="1:6" hidden="1" x14ac:dyDescent="0.3">
      <c r="A1162" s="99" t="str">
        <f>BD_ControlRegimen[[#This Row],[FECHA]]&amp;BD_ControlRegimen[[#This Row],[NOMBRE]]</f>
        <v>44981AVILA OBLEA PERCY CARLOS</v>
      </c>
      <c r="B1162" s="100">
        <f>WEEKNUM(BD_ControlRegimen[[#This Row],[FECHA]],2)</f>
        <v>9</v>
      </c>
      <c r="C1162" s="99">
        <v>44981</v>
      </c>
      <c r="D1162" s="3" t="s">
        <v>10</v>
      </c>
      <c r="E1162" s="101"/>
      <c r="F1162" s="101"/>
    </row>
    <row r="1163" spans="1:6" hidden="1" x14ac:dyDescent="0.3">
      <c r="A1163" s="99" t="str">
        <f>BD_ControlRegimen[[#This Row],[FECHA]]&amp;BD_ControlRegimen[[#This Row],[NOMBRE]]</f>
        <v>44982AVILA OBLEA PERCY CARLOS</v>
      </c>
      <c r="B1163" s="100">
        <f>WEEKNUM(BD_ControlRegimen[[#This Row],[FECHA]],2)</f>
        <v>9</v>
      </c>
      <c r="C1163" s="99">
        <v>44982</v>
      </c>
      <c r="D1163" s="3" t="s">
        <v>10</v>
      </c>
      <c r="E1163" s="101"/>
      <c r="F1163" s="101"/>
    </row>
    <row r="1164" spans="1:6" hidden="1" x14ac:dyDescent="0.3">
      <c r="A1164" s="99" t="str">
        <f>BD_ControlRegimen[[#This Row],[FECHA]]&amp;BD_ControlRegimen[[#This Row],[NOMBRE]]</f>
        <v>44983AVILA OBLEA PERCY CARLOS</v>
      </c>
      <c r="B1164" s="100">
        <f>WEEKNUM(BD_ControlRegimen[[#This Row],[FECHA]],2)</f>
        <v>9</v>
      </c>
      <c r="C1164" s="99">
        <v>44983</v>
      </c>
      <c r="D1164" s="3" t="s">
        <v>10</v>
      </c>
      <c r="E1164" s="101"/>
      <c r="F1164" s="101"/>
    </row>
    <row r="1165" spans="1:6" hidden="1" x14ac:dyDescent="0.3">
      <c r="A1165" s="99" t="str">
        <f>BD_ControlRegimen[[#This Row],[FECHA]]&amp;BD_ControlRegimen[[#This Row],[NOMBRE]]</f>
        <v>44984AVILA OBLEA PERCY CARLOS</v>
      </c>
      <c r="B1165" s="100">
        <f>WEEKNUM(BD_ControlRegimen[[#This Row],[FECHA]],2)</f>
        <v>10</v>
      </c>
      <c r="C1165" s="99">
        <v>44984</v>
      </c>
      <c r="D1165" s="3" t="s">
        <v>10</v>
      </c>
      <c r="E1165" s="101"/>
      <c r="F1165" s="101"/>
    </row>
    <row r="1166" spans="1:6" hidden="1" x14ac:dyDescent="0.3">
      <c r="A1166" s="99" t="str">
        <f>BD_ControlRegimen[[#This Row],[FECHA]]&amp;BD_ControlRegimen[[#This Row],[NOMBRE]]</f>
        <v>44985AVILA OBLEA PERCY CARLOS</v>
      </c>
      <c r="B1166" s="100">
        <f>WEEKNUM(BD_ControlRegimen[[#This Row],[FECHA]],2)</f>
        <v>10</v>
      </c>
      <c r="C1166" s="99">
        <v>44985</v>
      </c>
      <c r="D1166" s="3" t="s">
        <v>10</v>
      </c>
      <c r="E1166" s="101"/>
      <c r="F1166" s="101"/>
    </row>
    <row r="1167" spans="1:6" hidden="1" x14ac:dyDescent="0.3">
      <c r="A1167" s="99" t="str">
        <f>BD_ControlRegimen[[#This Row],[FECHA]]&amp;BD_ControlRegimen[[#This Row],[NOMBRE]]</f>
        <v>44986AVILA OBLEA PERCY CARLOS</v>
      </c>
      <c r="B1167" s="100">
        <f>WEEKNUM(BD_ControlRegimen[[#This Row],[FECHA]],2)</f>
        <v>10</v>
      </c>
      <c r="C1167" s="99">
        <v>44986</v>
      </c>
      <c r="D1167" s="3" t="s">
        <v>10</v>
      </c>
      <c r="E1167" s="101"/>
      <c r="F1167" s="101"/>
    </row>
    <row r="1168" spans="1:6" hidden="1" x14ac:dyDescent="0.3">
      <c r="A1168" s="99" t="str">
        <f>BD_ControlRegimen[[#This Row],[FECHA]]&amp;BD_ControlRegimen[[#This Row],[NOMBRE]]</f>
        <v>44987AVILA OBLEA PERCY CARLOS</v>
      </c>
      <c r="B1168" s="100">
        <f>WEEKNUM(BD_ControlRegimen[[#This Row],[FECHA]],2)</f>
        <v>10</v>
      </c>
      <c r="C1168" s="99">
        <v>44987</v>
      </c>
      <c r="D1168" s="3" t="s">
        <v>10</v>
      </c>
      <c r="E1168" s="101"/>
      <c r="F1168" s="101"/>
    </row>
    <row r="1169" spans="1:6" hidden="1" x14ac:dyDescent="0.3">
      <c r="A1169" s="99" t="str">
        <f>BD_ControlRegimen[[#This Row],[FECHA]]&amp;BD_ControlRegimen[[#This Row],[NOMBRE]]</f>
        <v>44988AVILA OBLEA PERCY CARLOS</v>
      </c>
      <c r="B1169" s="100">
        <f>WEEKNUM(BD_ControlRegimen[[#This Row],[FECHA]],2)</f>
        <v>10</v>
      </c>
      <c r="C1169" s="99">
        <v>44988</v>
      </c>
      <c r="D1169" s="3" t="s">
        <v>10</v>
      </c>
      <c r="E1169" s="101"/>
      <c r="F1169" s="101"/>
    </row>
    <row r="1170" spans="1:6" hidden="1" x14ac:dyDescent="0.3">
      <c r="A1170" s="99" t="str">
        <f>BD_ControlRegimen[[#This Row],[FECHA]]&amp;BD_ControlRegimen[[#This Row],[NOMBRE]]</f>
        <v>44989AVILA OBLEA PERCY CARLOS</v>
      </c>
      <c r="B1170" s="100">
        <f>WEEKNUM(BD_ControlRegimen[[#This Row],[FECHA]],2)</f>
        <v>10</v>
      </c>
      <c r="C1170" s="99">
        <v>44989</v>
      </c>
      <c r="D1170" s="3" t="s">
        <v>10</v>
      </c>
      <c r="E1170" s="101"/>
      <c r="F1170" s="101"/>
    </row>
    <row r="1171" spans="1:6" hidden="1" x14ac:dyDescent="0.3">
      <c r="A1171" s="99" t="str">
        <f>BD_ControlRegimen[[#This Row],[FECHA]]&amp;BD_ControlRegimen[[#This Row],[NOMBRE]]</f>
        <v>44990AVILA OBLEA PERCY CARLOS</v>
      </c>
      <c r="B1171" s="100">
        <f>WEEKNUM(BD_ControlRegimen[[#This Row],[FECHA]],2)</f>
        <v>10</v>
      </c>
      <c r="C1171" s="99">
        <v>44990</v>
      </c>
      <c r="D1171" s="3" t="s">
        <v>10</v>
      </c>
      <c r="E1171" s="101"/>
      <c r="F1171" s="101"/>
    </row>
    <row r="1172" spans="1:6" hidden="1" x14ac:dyDescent="0.3">
      <c r="A1172" s="99" t="str">
        <f>BD_ControlRegimen[[#This Row],[FECHA]]&amp;BD_ControlRegimen[[#This Row],[NOMBRE]]</f>
        <v>44991AVILA OBLEA PERCY CARLOS</v>
      </c>
      <c r="B1172" s="100">
        <f>WEEKNUM(BD_ControlRegimen[[#This Row],[FECHA]],2)</f>
        <v>11</v>
      </c>
      <c r="C1172" s="99">
        <v>44991</v>
      </c>
      <c r="D1172" s="3" t="s">
        <v>10</v>
      </c>
      <c r="E1172" s="101"/>
      <c r="F1172" s="101"/>
    </row>
    <row r="1173" spans="1:6" hidden="1" x14ac:dyDescent="0.3">
      <c r="A1173" s="99" t="str">
        <f>BD_ControlRegimen[[#This Row],[FECHA]]&amp;BD_ControlRegimen[[#This Row],[NOMBRE]]</f>
        <v>44992AVILA OBLEA PERCY CARLOS</v>
      </c>
      <c r="B1173" s="100">
        <f>WEEKNUM(BD_ControlRegimen[[#This Row],[FECHA]],2)</f>
        <v>11</v>
      </c>
      <c r="C1173" s="99">
        <v>44992</v>
      </c>
      <c r="D1173" s="3" t="s">
        <v>10</v>
      </c>
      <c r="E1173" s="101"/>
      <c r="F1173" s="101"/>
    </row>
    <row r="1174" spans="1:6" hidden="1" x14ac:dyDescent="0.3">
      <c r="A1174" s="99" t="str">
        <f>BD_ControlRegimen[[#This Row],[FECHA]]&amp;BD_ControlRegimen[[#This Row],[NOMBRE]]</f>
        <v>44993AVILA OBLEA PERCY CARLOS</v>
      </c>
      <c r="B1174" s="100">
        <f>WEEKNUM(BD_ControlRegimen[[#This Row],[FECHA]],2)</f>
        <v>11</v>
      </c>
      <c r="C1174" s="99">
        <v>44993</v>
      </c>
      <c r="D1174" s="3" t="s">
        <v>10</v>
      </c>
      <c r="E1174" s="101"/>
      <c r="F1174" s="101"/>
    </row>
    <row r="1175" spans="1:6" hidden="1" x14ac:dyDescent="0.3">
      <c r="A1175" s="99" t="str">
        <f>BD_ControlRegimen[[#This Row],[FECHA]]&amp;BD_ControlRegimen[[#This Row],[NOMBRE]]</f>
        <v>44994AVILA OBLEA PERCY CARLOS</v>
      </c>
      <c r="B1175" s="100">
        <f>WEEKNUM(BD_ControlRegimen[[#This Row],[FECHA]],2)</f>
        <v>11</v>
      </c>
      <c r="C1175" s="99">
        <v>44994</v>
      </c>
      <c r="D1175" s="3" t="s">
        <v>10</v>
      </c>
      <c r="E1175" s="101"/>
      <c r="F1175" s="101"/>
    </row>
    <row r="1176" spans="1:6" hidden="1" x14ac:dyDescent="0.3">
      <c r="A1176" s="99" t="str">
        <f>BD_ControlRegimen[[#This Row],[FECHA]]&amp;BD_ControlRegimen[[#This Row],[NOMBRE]]</f>
        <v>44995AVILA OBLEA PERCY CARLOS</v>
      </c>
      <c r="B1176" s="100">
        <f>WEEKNUM(BD_ControlRegimen[[#This Row],[FECHA]],2)</f>
        <v>11</v>
      </c>
      <c r="C1176" s="99">
        <v>44995</v>
      </c>
      <c r="D1176" s="3" t="s">
        <v>10</v>
      </c>
      <c r="E1176" s="101"/>
      <c r="F1176" s="101"/>
    </row>
    <row r="1177" spans="1:6" hidden="1" x14ac:dyDescent="0.3">
      <c r="A1177" s="99" t="str">
        <f>BD_ControlRegimen[[#This Row],[FECHA]]&amp;BD_ControlRegimen[[#This Row],[NOMBRE]]</f>
        <v>44996AVILA OBLEA PERCY CARLOS</v>
      </c>
      <c r="B1177" s="100">
        <f>WEEKNUM(BD_ControlRegimen[[#This Row],[FECHA]],2)</f>
        <v>11</v>
      </c>
      <c r="C1177" s="99">
        <v>44996</v>
      </c>
      <c r="D1177" s="3" t="s">
        <v>10</v>
      </c>
      <c r="E1177" s="101"/>
      <c r="F1177" s="101"/>
    </row>
    <row r="1178" spans="1:6" hidden="1" x14ac:dyDescent="0.3">
      <c r="A1178" s="99" t="str">
        <f>BD_ControlRegimen[[#This Row],[FECHA]]&amp;BD_ControlRegimen[[#This Row],[NOMBRE]]</f>
        <v>44997AVILA OBLEA PERCY CARLOS</v>
      </c>
      <c r="B1178" s="100">
        <f>WEEKNUM(BD_ControlRegimen[[#This Row],[FECHA]],2)</f>
        <v>11</v>
      </c>
      <c r="C1178" s="99">
        <v>44997</v>
      </c>
      <c r="D1178" s="3" t="s">
        <v>10</v>
      </c>
      <c r="E1178" s="101"/>
      <c r="F1178" s="101"/>
    </row>
    <row r="1179" spans="1:6" hidden="1" x14ac:dyDescent="0.3">
      <c r="A1179" s="99" t="str">
        <f>BD_ControlRegimen[[#This Row],[FECHA]]&amp;BD_ControlRegimen[[#This Row],[NOMBRE]]</f>
        <v>44998AVILA OBLEA PERCY CARLOS</v>
      </c>
      <c r="B1179" s="100">
        <f>WEEKNUM(BD_ControlRegimen[[#This Row],[FECHA]],2)</f>
        <v>12</v>
      </c>
      <c r="C1179" s="99">
        <v>44998</v>
      </c>
      <c r="D1179" s="3" t="s">
        <v>10</v>
      </c>
      <c r="E1179" s="101"/>
      <c r="F1179" s="101"/>
    </row>
    <row r="1180" spans="1:6" hidden="1" x14ac:dyDescent="0.3">
      <c r="A1180" s="99" t="str">
        <f>BD_ControlRegimen[[#This Row],[FECHA]]&amp;BD_ControlRegimen[[#This Row],[NOMBRE]]</f>
        <v>44999AVILA OBLEA PERCY CARLOS</v>
      </c>
      <c r="B1180" s="100">
        <f>WEEKNUM(BD_ControlRegimen[[#This Row],[FECHA]],2)</f>
        <v>12</v>
      </c>
      <c r="C1180" s="99">
        <v>44999</v>
      </c>
      <c r="D1180" s="3" t="s">
        <v>10</v>
      </c>
      <c r="E1180" s="101"/>
      <c r="F1180" s="101"/>
    </row>
    <row r="1181" spans="1:6" hidden="1" x14ac:dyDescent="0.3">
      <c r="A1181" s="99" t="str">
        <f>BD_ControlRegimen[[#This Row],[FECHA]]&amp;BD_ControlRegimen[[#This Row],[NOMBRE]]</f>
        <v>45000AVILA OBLEA PERCY CARLOS</v>
      </c>
      <c r="B1181" s="100">
        <f>WEEKNUM(BD_ControlRegimen[[#This Row],[FECHA]],2)</f>
        <v>12</v>
      </c>
      <c r="C1181" s="99">
        <v>45000</v>
      </c>
      <c r="D1181" s="3" t="s">
        <v>10</v>
      </c>
      <c r="E1181" s="101"/>
      <c r="F1181" s="101"/>
    </row>
    <row r="1182" spans="1:6" hidden="1" x14ac:dyDescent="0.3">
      <c r="A1182" s="99" t="str">
        <f>BD_ControlRegimen[[#This Row],[FECHA]]&amp;BD_ControlRegimen[[#This Row],[NOMBRE]]</f>
        <v>45001AVILA OBLEA PERCY CARLOS</v>
      </c>
      <c r="B1182" s="100">
        <f>WEEKNUM(BD_ControlRegimen[[#This Row],[FECHA]],2)</f>
        <v>12</v>
      </c>
      <c r="C1182" s="99">
        <v>45001</v>
      </c>
      <c r="D1182" s="3" t="s">
        <v>10</v>
      </c>
      <c r="E1182" s="101"/>
      <c r="F1182" s="101"/>
    </row>
    <row r="1183" spans="1:6" hidden="1" x14ac:dyDescent="0.3">
      <c r="A1183" s="99" t="str">
        <f>BD_ControlRegimen[[#This Row],[FECHA]]&amp;BD_ControlRegimen[[#This Row],[NOMBRE]]</f>
        <v>45002AVILA OBLEA PERCY CARLOS</v>
      </c>
      <c r="B1183" s="100">
        <f>WEEKNUM(BD_ControlRegimen[[#This Row],[FECHA]],2)</f>
        <v>12</v>
      </c>
      <c r="C1183" s="99">
        <v>45002</v>
      </c>
      <c r="D1183" s="3" t="s">
        <v>10</v>
      </c>
      <c r="E1183" s="101"/>
      <c r="F1183" s="101"/>
    </row>
    <row r="1184" spans="1:6" hidden="1" x14ac:dyDescent="0.3">
      <c r="A1184" s="99" t="str">
        <f>BD_ControlRegimen[[#This Row],[FECHA]]&amp;BD_ControlRegimen[[#This Row],[NOMBRE]]</f>
        <v>45003AVILA OBLEA PERCY CARLOS</v>
      </c>
      <c r="B1184" s="100">
        <f>WEEKNUM(BD_ControlRegimen[[#This Row],[FECHA]],2)</f>
        <v>12</v>
      </c>
      <c r="C1184" s="99">
        <v>45003</v>
      </c>
      <c r="D1184" s="3" t="s">
        <v>10</v>
      </c>
      <c r="E1184" s="101"/>
      <c r="F1184" s="101"/>
    </row>
    <row r="1185" spans="1:6" hidden="1" x14ac:dyDescent="0.3">
      <c r="A1185" s="99" t="str">
        <f>BD_ControlRegimen[[#This Row],[FECHA]]&amp;BD_ControlRegimen[[#This Row],[NOMBRE]]</f>
        <v>45004AVILA OBLEA PERCY CARLOS</v>
      </c>
      <c r="B1185" s="100">
        <f>WEEKNUM(BD_ControlRegimen[[#This Row],[FECHA]],2)</f>
        <v>12</v>
      </c>
      <c r="C1185" s="99">
        <v>45004</v>
      </c>
      <c r="D1185" s="3" t="s">
        <v>10</v>
      </c>
      <c r="E1185" s="101"/>
      <c r="F1185" s="101"/>
    </row>
    <row r="1186" spans="1:6" hidden="1" x14ac:dyDescent="0.3">
      <c r="A1186" s="99" t="str">
        <f>BD_ControlRegimen[[#This Row],[FECHA]]&amp;BD_ControlRegimen[[#This Row],[NOMBRE]]</f>
        <v>45005AVILA OBLEA PERCY CARLOS</v>
      </c>
      <c r="B1186" s="100">
        <f>WEEKNUM(BD_ControlRegimen[[#This Row],[FECHA]],2)</f>
        <v>13</v>
      </c>
      <c r="C1186" s="99">
        <v>45005</v>
      </c>
      <c r="D1186" s="3" t="s">
        <v>10</v>
      </c>
      <c r="E1186" s="101"/>
      <c r="F1186" s="101"/>
    </row>
    <row r="1187" spans="1:6" hidden="1" x14ac:dyDescent="0.3">
      <c r="A1187" s="99" t="str">
        <f>BD_ControlRegimen[[#This Row],[FECHA]]&amp;BD_ControlRegimen[[#This Row],[NOMBRE]]</f>
        <v>45006AVILA OBLEA PERCY CARLOS</v>
      </c>
      <c r="B1187" s="100">
        <f>WEEKNUM(BD_ControlRegimen[[#This Row],[FECHA]],2)</f>
        <v>13</v>
      </c>
      <c r="C1187" s="99">
        <v>45006</v>
      </c>
      <c r="D1187" s="3" t="s">
        <v>10</v>
      </c>
      <c r="E1187" s="101"/>
      <c r="F1187" s="101"/>
    </row>
    <row r="1188" spans="1:6" hidden="1" x14ac:dyDescent="0.3">
      <c r="A1188" s="99" t="str">
        <f>BD_ControlRegimen[[#This Row],[FECHA]]&amp;BD_ControlRegimen[[#This Row],[NOMBRE]]</f>
        <v>45007AVILA OBLEA PERCY CARLOS</v>
      </c>
      <c r="B1188" s="100">
        <f>WEEKNUM(BD_ControlRegimen[[#This Row],[FECHA]],2)</f>
        <v>13</v>
      </c>
      <c r="C1188" s="99">
        <v>45007</v>
      </c>
      <c r="D1188" s="3" t="s">
        <v>10</v>
      </c>
      <c r="E1188" s="101"/>
      <c r="F1188" s="101"/>
    </row>
    <row r="1189" spans="1:6" hidden="1" x14ac:dyDescent="0.3">
      <c r="A1189" s="99" t="str">
        <f>BD_ControlRegimen[[#This Row],[FECHA]]&amp;BD_ControlRegimen[[#This Row],[NOMBRE]]</f>
        <v>45008AVILA OBLEA PERCY CARLOS</v>
      </c>
      <c r="B1189" s="100">
        <f>WEEKNUM(BD_ControlRegimen[[#This Row],[FECHA]],2)</f>
        <v>13</v>
      </c>
      <c r="C1189" s="99">
        <v>45008</v>
      </c>
      <c r="D1189" s="3" t="s">
        <v>10</v>
      </c>
      <c r="E1189" s="101"/>
      <c r="F1189" s="101"/>
    </row>
    <row r="1190" spans="1:6" hidden="1" x14ac:dyDescent="0.3">
      <c r="A1190" s="99" t="str">
        <f>BD_ControlRegimen[[#This Row],[FECHA]]&amp;BD_ControlRegimen[[#This Row],[NOMBRE]]</f>
        <v>45009AVILA OBLEA PERCY CARLOS</v>
      </c>
      <c r="B1190" s="100">
        <f>WEEKNUM(BD_ControlRegimen[[#This Row],[FECHA]],2)</f>
        <v>13</v>
      </c>
      <c r="C1190" s="99">
        <v>45009</v>
      </c>
      <c r="D1190" s="3" t="s">
        <v>10</v>
      </c>
      <c r="E1190" s="101"/>
      <c r="F1190" s="101"/>
    </row>
    <row r="1191" spans="1:6" hidden="1" x14ac:dyDescent="0.3">
      <c r="A1191" s="99" t="str">
        <f>BD_ControlRegimen[[#This Row],[FECHA]]&amp;BD_ControlRegimen[[#This Row],[NOMBRE]]</f>
        <v>45010AVILA OBLEA PERCY CARLOS</v>
      </c>
      <c r="B1191" s="100">
        <f>WEEKNUM(BD_ControlRegimen[[#This Row],[FECHA]],2)</f>
        <v>13</v>
      </c>
      <c r="C1191" s="99">
        <v>45010</v>
      </c>
      <c r="D1191" s="3" t="s">
        <v>10</v>
      </c>
      <c r="E1191" s="101"/>
      <c r="F1191" s="101"/>
    </row>
    <row r="1192" spans="1:6" hidden="1" x14ac:dyDescent="0.3">
      <c r="A1192" s="99" t="str">
        <f>BD_ControlRegimen[[#This Row],[FECHA]]&amp;BD_ControlRegimen[[#This Row],[NOMBRE]]</f>
        <v>45011AVILA OBLEA PERCY CARLOS</v>
      </c>
      <c r="B1192" s="100">
        <f>WEEKNUM(BD_ControlRegimen[[#This Row],[FECHA]],2)</f>
        <v>13</v>
      </c>
      <c r="C1192" s="99">
        <v>45011</v>
      </c>
      <c r="D1192" s="3" t="s">
        <v>10</v>
      </c>
      <c r="E1192" s="101"/>
      <c r="F1192" s="101"/>
    </row>
    <row r="1193" spans="1:6" hidden="1" x14ac:dyDescent="0.3">
      <c r="A1193" s="7" t="str">
        <f>BD_ControlRegimen[[#This Row],[FECHA]]&amp;BD_ControlRegimen[[#This Row],[NOMBRE]]</f>
        <v>45012AVILA OBLEA PERCY CARLOS</v>
      </c>
      <c r="B1193" s="83">
        <f>WEEKNUM(BD_ControlRegimen[[#This Row],[FECHA]],2)</f>
        <v>14</v>
      </c>
      <c r="C1193" s="7">
        <v>45012</v>
      </c>
      <c r="D1193" s="3" t="s">
        <v>10</v>
      </c>
      <c r="E1193" s="3"/>
      <c r="F1193" s="3"/>
    </row>
    <row r="1194" spans="1:6" hidden="1" x14ac:dyDescent="0.3">
      <c r="A1194" s="7" t="str">
        <f>BD_ControlRegimen[[#This Row],[FECHA]]&amp;BD_ControlRegimen[[#This Row],[NOMBRE]]</f>
        <v>45013AVILA OBLEA PERCY CARLOS</v>
      </c>
      <c r="B1194" s="83">
        <f>WEEKNUM(BD_ControlRegimen[[#This Row],[FECHA]],2)</f>
        <v>14</v>
      </c>
      <c r="C1194" s="7">
        <v>45013</v>
      </c>
      <c r="D1194" s="3" t="s">
        <v>10</v>
      </c>
      <c r="E1194" s="3"/>
      <c r="F1194" s="3"/>
    </row>
    <row r="1195" spans="1:6" hidden="1" x14ac:dyDescent="0.3">
      <c r="A1195" s="7" t="str">
        <f>BD_ControlRegimen[[#This Row],[FECHA]]&amp;BD_ControlRegimen[[#This Row],[NOMBRE]]</f>
        <v>45014AVILA OBLEA PERCY CARLOS</v>
      </c>
      <c r="B1195" s="83">
        <f>WEEKNUM(BD_ControlRegimen[[#This Row],[FECHA]],2)</f>
        <v>14</v>
      </c>
      <c r="C1195" s="7">
        <v>45014</v>
      </c>
      <c r="D1195" s="3" t="s">
        <v>10</v>
      </c>
      <c r="E1195" s="3"/>
      <c r="F1195" s="3"/>
    </row>
    <row r="1196" spans="1:6" hidden="1" x14ac:dyDescent="0.3">
      <c r="A1196" s="7" t="str">
        <f>BD_ControlRegimen[[#This Row],[FECHA]]&amp;BD_ControlRegimen[[#This Row],[NOMBRE]]</f>
        <v>45015AVILA OBLEA PERCY CARLOS</v>
      </c>
      <c r="B1196" s="83">
        <f>WEEKNUM(BD_ControlRegimen[[#This Row],[FECHA]],2)</f>
        <v>14</v>
      </c>
      <c r="C1196" s="7">
        <v>45015</v>
      </c>
      <c r="D1196" s="3" t="s">
        <v>10</v>
      </c>
      <c r="E1196" s="3"/>
      <c r="F1196" s="3"/>
    </row>
    <row r="1197" spans="1:6" hidden="1" x14ac:dyDescent="0.3">
      <c r="A1197" s="7" t="str">
        <f>BD_ControlRegimen[[#This Row],[FECHA]]&amp;BD_ControlRegimen[[#This Row],[NOMBRE]]</f>
        <v>45016AVILA OBLEA PERCY CARLOS</v>
      </c>
      <c r="B1197" s="83">
        <f>WEEKNUM(BD_ControlRegimen[[#This Row],[FECHA]],2)</f>
        <v>14</v>
      </c>
      <c r="C1197" s="7">
        <v>45016</v>
      </c>
      <c r="D1197" s="3" t="s">
        <v>10</v>
      </c>
      <c r="E1197" s="3"/>
      <c r="F1197" s="3"/>
    </row>
    <row r="1198" spans="1:6" hidden="1" x14ac:dyDescent="0.3">
      <c r="A1198" s="7" t="str">
        <f>BD_ControlRegimen[[#This Row],[FECHA]]&amp;BD_ControlRegimen[[#This Row],[NOMBRE]]</f>
        <v>45017AVILA OBLEA PERCY CARLOS</v>
      </c>
      <c r="B1198" s="83">
        <f>WEEKNUM(BD_ControlRegimen[[#This Row],[FECHA]],2)</f>
        <v>14</v>
      </c>
      <c r="C1198" s="7">
        <v>45017</v>
      </c>
      <c r="D1198" s="3" t="s">
        <v>10</v>
      </c>
      <c r="E1198" s="3"/>
      <c r="F1198" s="3"/>
    </row>
    <row r="1199" spans="1:6" hidden="1" x14ac:dyDescent="0.3">
      <c r="A1199" s="7" t="str">
        <f>BD_ControlRegimen[[#This Row],[FECHA]]&amp;BD_ControlRegimen[[#This Row],[NOMBRE]]</f>
        <v>45018AVILA OBLEA PERCY CARLOS</v>
      </c>
      <c r="B1199" s="83">
        <f>WEEKNUM(BD_ControlRegimen[[#This Row],[FECHA]],2)</f>
        <v>14</v>
      </c>
      <c r="C1199" s="7">
        <v>45018</v>
      </c>
      <c r="D1199" s="3" t="s">
        <v>10</v>
      </c>
      <c r="E1199" s="3"/>
      <c r="F1199" s="3"/>
    </row>
    <row r="1200" spans="1:6" x14ac:dyDescent="0.3">
      <c r="A1200" s="7" t="str">
        <f>BD_ControlRegimen[[#This Row],[FECHA]]&amp;BD_ControlRegimen[[#This Row],[NOMBRE]]</f>
        <v>45019AVILA OBLEA PERCY CARLOS</v>
      </c>
      <c r="B1200" s="83">
        <f>WEEKNUM(BD_ControlRegimen[[#This Row],[FECHA]],2)</f>
        <v>15</v>
      </c>
      <c r="C1200" s="7">
        <v>45019</v>
      </c>
      <c r="D1200" s="3" t="s">
        <v>10</v>
      </c>
      <c r="E1200" s="3" t="s">
        <v>154</v>
      </c>
      <c r="F1200" s="3"/>
    </row>
    <row r="1201" spans="1:6" x14ac:dyDescent="0.3">
      <c r="A1201" s="7" t="str">
        <f>BD_ControlRegimen[[#This Row],[FECHA]]&amp;BD_ControlRegimen[[#This Row],[NOMBRE]]</f>
        <v>45020AVILA OBLEA PERCY CARLOS</v>
      </c>
      <c r="B1201" s="83">
        <f>WEEKNUM(BD_ControlRegimen[[#This Row],[FECHA]],2)</f>
        <v>15</v>
      </c>
      <c r="C1201" s="7">
        <v>45020</v>
      </c>
      <c r="D1201" s="3" t="s">
        <v>10</v>
      </c>
      <c r="E1201" s="3" t="s">
        <v>154</v>
      </c>
      <c r="F1201" s="3"/>
    </row>
    <row r="1202" spans="1:6" x14ac:dyDescent="0.3">
      <c r="A1202" s="7" t="str">
        <f>BD_ControlRegimen[[#This Row],[FECHA]]&amp;BD_ControlRegimen[[#This Row],[NOMBRE]]</f>
        <v>45021AVILA OBLEA PERCY CARLOS</v>
      </c>
      <c r="B1202" s="83">
        <f>WEEKNUM(BD_ControlRegimen[[#This Row],[FECHA]],2)</f>
        <v>15</v>
      </c>
      <c r="C1202" s="7">
        <v>45021</v>
      </c>
      <c r="D1202" s="3" t="s">
        <v>10</v>
      </c>
      <c r="E1202" s="3" t="s">
        <v>154</v>
      </c>
      <c r="F1202" s="3"/>
    </row>
    <row r="1203" spans="1:6" x14ac:dyDescent="0.3">
      <c r="A1203" s="7" t="str">
        <f>BD_ControlRegimen[[#This Row],[FECHA]]&amp;BD_ControlRegimen[[#This Row],[NOMBRE]]</f>
        <v>45022AVILA OBLEA PERCY CARLOS</v>
      </c>
      <c r="B1203" s="83">
        <f>WEEKNUM(BD_ControlRegimen[[#This Row],[FECHA]],2)</f>
        <v>15</v>
      </c>
      <c r="C1203" s="7">
        <v>45022</v>
      </c>
      <c r="D1203" s="3" t="s">
        <v>10</v>
      </c>
      <c r="E1203" s="3" t="s">
        <v>154</v>
      </c>
      <c r="F1203" s="3"/>
    </row>
    <row r="1204" spans="1:6" x14ac:dyDescent="0.3">
      <c r="A1204" s="7" t="str">
        <f>BD_ControlRegimen[[#This Row],[FECHA]]&amp;BD_ControlRegimen[[#This Row],[NOMBRE]]</f>
        <v>45023AVILA OBLEA PERCY CARLOS</v>
      </c>
      <c r="B1204" s="83">
        <f>WEEKNUM(BD_ControlRegimen[[#This Row],[FECHA]],2)</f>
        <v>15</v>
      </c>
      <c r="C1204" s="7">
        <v>45023</v>
      </c>
      <c r="D1204" s="3" t="s">
        <v>10</v>
      </c>
      <c r="E1204" s="3" t="s">
        <v>154</v>
      </c>
      <c r="F1204" s="3"/>
    </row>
    <row r="1205" spans="1:6" x14ac:dyDescent="0.3">
      <c r="A1205" s="7" t="str">
        <f>BD_ControlRegimen[[#This Row],[FECHA]]&amp;BD_ControlRegimen[[#This Row],[NOMBRE]]</f>
        <v>45024AVILA OBLEA PERCY CARLOS</v>
      </c>
      <c r="B1205" s="83">
        <f>WEEKNUM(BD_ControlRegimen[[#This Row],[FECHA]],2)</f>
        <v>15</v>
      </c>
      <c r="C1205" s="7">
        <v>45024</v>
      </c>
      <c r="D1205" s="3" t="s">
        <v>10</v>
      </c>
      <c r="E1205" s="3" t="s">
        <v>154</v>
      </c>
      <c r="F1205" s="3"/>
    </row>
    <row r="1206" spans="1:6" x14ac:dyDescent="0.3">
      <c r="A1206" s="7" t="str">
        <f>BD_ControlRegimen[[#This Row],[FECHA]]&amp;BD_ControlRegimen[[#This Row],[NOMBRE]]</f>
        <v>45025AVILA OBLEA PERCY CARLOS</v>
      </c>
      <c r="B1206" s="83">
        <f>WEEKNUM(BD_ControlRegimen[[#This Row],[FECHA]],2)</f>
        <v>15</v>
      </c>
      <c r="C1206" s="7">
        <v>45025</v>
      </c>
      <c r="D1206" s="3" t="s">
        <v>10</v>
      </c>
      <c r="E1206" s="3" t="s">
        <v>154</v>
      </c>
      <c r="F1206" s="3"/>
    </row>
    <row r="1207" spans="1:6" x14ac:dyDescent="0.3">
      <c r="A1207" s="7" t="str">
        <f>BD_ControlRegimen[[#This Row],[FECHA]]&amp;BD_ControlRegimen[[#This Row],[NOMBRE]]</f>
        <v>45026AVILA OBLEA PERCY CARLOS</v>
      </c>
      <c r="B1207" s="83">
        <f>WEEKNUM(BD_ControlRegimen[[#This Row],[FECHA]],2)</f>
        <v>16</v>
      </c>
      <c r="C1207" s="7">
        <v>45026</v>
      </c>
      <c r="D1207" s="3" t="s">
        <v>10</v>
      </c>
      <c r="E1207" s="3" t="s">
        <v>154</v>
      </c>
      <c r="F1207" s="3"/>
    </row>
    <row r="1208" spans="1:6" x14ac:dyDescent="0.3">
      <c r="A1208" s="7" t="str">
        <f>BD_ControlRegimen[[#This Row],[FECHA]]&amp;BD_ControlRegimen[[#This Row],[NOMBRE]]</f>
        <v>45027AVILA OBLEA PERCY CARLOS</v>
      </c>
      <c r="B1208" s="83">
        <f>WEEKNUM(BD_ControlRegimen[[#This Row],[FECHA]],2)</f>
        <v>16</v>
      </c>
      <c r="C1208" s="7">
        <v>45027</v>
      </c>
      <c r="D1208" s="3" t="s">
        <v>10</v>
      </c>
      <c r="E1208" s="3" t="s">
        <v>154</v>
      </c>
      <c r="F1208" s="3"/>
    </row>
    <row r="1209" spans="1:6" x14ac:dyDescent="0.3">
      <c r="A1209" s="7" t="str">
        <f>BD_ControlRegimen[[#This Row],[FECHA]]&amp;BD_ControlRegimen[[#This Row],[NOMBRE]]</f>
        <v>45028AVILA OBLEA PERCY CARLOS</v>
      </c>
      <c r="B1209" s="83">
        <f>WEEKNUM(BD_ControlRegimen[[#This Row],[FECHA]],2)</f>
        <v>16</v>
      </c>
      <c r="C1209" s="7">
        <v>45028</v>
      </c>
      <c r="D1209" s="3" t="s">
        <v>10</v>
      </c>
      <c r="E1209" s="3" t="s">
        <v>154</v>
      </c>
      <c r="F1209" s="3"/>
    </row>
    <row r="1210" spans="1:6" x14ac:dyDescent="0.3">
      <c r="A1210" s="7" t="str">
        <f>BD_ControlRegimen[[#This Row],[FECHA]]&amp;BD_ControlRegimen[[#This Row],[NOMBRE]]</f>
        <v>45029AVILA OBLEA PERCY CARLOS</v>
      </c>
      <c r="B1210" s="83">
        <f>WEEKNUM(BD_ControlRegimen[[#This Row],[FECHA]],2)</f>
        <v>16</v>
      </c>
      <c r="C1210" s="7">
        <v>45029</v>
      </c>
      <c r="D1210" s="3" t="s">
        <v>10</v>
      </c>
      <c r="E1210" s="3" t="s">
        <v>154</v>
      </c>
      <c r="F1210" s="3"/>
    </row>
    <row r="1211" spans="1:6" x14ac:dyDescent="0.3">
      <c r="A1211" s="7" t="str">
        <f>BD_ControlRegimen[[#This Row],[FECHA]]&amp;BD_ControlRegimen[[#This Row],[NOMBRE]]</f>
        <v>45030AVILA OBLEA PERCY CARLOS</v>
      </c>
      <c r="B1211" s="83">
        <f>WEEKNUM(BD_ControlRegimen[[#This Row],[FECHA]],2)</f>
        <v>16</v>
      </c>
      <c r="C1211" s="7">
        <v>45030</v>
      </c>
      <c r="D1211" s="3" t="s">
        <v>10</v>
      </c>
      <c r="E1211" s="3" t="s">
        <v>154</v>
      </c>
      <c r="F1211" s="3"/>
    </row>
    <row r="1212" spans="1:6" x14ac:dyDescent="0.3">
      <c r="A1212" s="7" t="str">
        <f>BD_ControlRegimen[[#This Row],[FECHA]]&amp;BD_ControlRegimen[[#This Row],[NOMBRE]]</f>
        <v>45031AVILA OBLEA PERCY CARLOS</v>
      </c>
      <c r="B1212" s="83">
        <f>WEEKNUM(BD_ControlRegimen[[#This Row],[FECHA]],2)</f>
        <v>16</v>
      </c>
      <c r="C1212" s="7">
        <v>45031</v>
      </c>
      <c r="D1212" s="3" t="s">
        <v>10</v>
      </c>
      <c r="E1212" s="3" t="s">
        <v>154</v>
      </c>
      <c r="F1212" s="3"/>
    </row>
    <row r="1213" spans="1:6" x14ac:dyDescent="0.3">
      <c r="A1213" s="7" t="str">
        <f>BD_ControlRegimen[[#This Row],[FECHA]]&amp;BD_ControlRegimen[[#This Row],[NOMBRE]]</f>
        <v>45032AVILA OBLEA PERCY CARLOS</v>
      </c>
      <c r="B1213" s="83">
        <f>WEEKNUM(BD_ControlRegimen[[#This Row],[FECHA]],2)</f>
        <v>16</v>
      </c>
      <c r="C1213" s="7">
        <v>45032</v>
      </c>
      <c r="D1213" s="3" t="s">
        <v>10</v>
      </c>
      <c r="E1213" s="3" t="s">
        <v>154</v>
      </c>
      <c r="F1213" s="3"/>
    </row>
    <row r="1214" spans="1:6" x14ac:dyDescent="0.3">
      <c r="A1214" s="7" t="str">
        <f>BD_ControlRegimen[[#This Row],[FECHA]]&amp;BD_ControlRegimen[[#This Row],[NOMBRE]]</f>
        <v>45033AVILA OBLEA PERCY CARLOS</v>
      </c>
      <c r="B1214" s="83">
        <f>WEEKNUM(BD_ControlRegimen[[#This Row],[FECHA]],2)</f>
        <v>17</v>
      </c>
      <c r="C1214" s="7">
        <v>45033</v>
      </c>
      <c r="D1214" s="3" t="s">
        <v>10</v>
      </c>
      <c r="E1214" s="3" t="s">
        <v>154</v>
      </c>
      <c r="F1214" s="3"/>
    </row>
    <row r="1215" spans="1:6" x14ac:dyDescent="0.3">
      <c r="A1215" s="7" t="str">
        <f>BD_ControlRegimen[[#This Row],[FECHA]]&amp;BD_ControlRegimen[[#This Row],[NOMBRE]]</f>
        <v>45034AVILA OBLEA PERCY CARLOS</v>
      </c>
      <c r="B1215" s="83">
        <f>WEEKNUM(BD_ControlRegimen[[#This Row],[FECHA]],2)</f>
        <v>17</v>
      </c>
      <c r="C1215" s="7">
        <v>45034</v>
      </c>
      <c r="D1215" s="3" t="s">
        <v>10</v>
      </c>
      <c r="E1215" s="3" t="s">
        <v>154</v>
      </c>
      <c r="F1215" s="3"/>
    </row>
    <row r="1216" spans="1:6" x14ac:dyDescent="0.3">
      <c r="A1216" s="7" t="str">
        <f>BD_ControlRegimen[[#This Row],[FECHA]]&amp;BD_ControlRegimen[[#This Row],[NOMBRE]]</f>
        <v>45035AVILA OBLEA PERCY CARLOS</v>
      </c>
      <c r="B1216" s="83">
        <f>WEEKNUM(BD_ControlRegimen[[#This Row],[FECHA]],2)</f>
        <v>17</v>
      </c>
      <c r="C1216" s="7">
        <v>45035</v>
      </c>
      <c r="D1216" s="3" t="s">
        <v>10</v>
      </c>
      <c r="E1216" s="3" t="s">
        <v>154</v>
      </c>
      <c r="F1216" s="3"/>
    </row>
    <row r="1217" spans="1:6" x14ac:dyDescent="0.3">
      <c r="A1217" s="7" t="str">
        <f>BD_ControlRegimen[[#This Row],[FECHA]]&amp;BD_ControlRegimen[[#This Row],[NOMBRE]]</f>
        <v>45036AVILA OBLEA PERCY CARLOS</v>
      </c>
      <c r="B1217" s="83">
        <f>WEEKNUM(BD_ControlRegimen[[#This Row],[FECHA]],2)</f>
        <v>17</v>
      </c>
      <c r="C1217" s="7">
        <v>45036</v>
      </c>
      <c r="D1217" s="3" t="s">
        <v>10</v>
      </c>
      <c r="E1217" s="3" t="s">
        <v>154</v>
      </c>
      <c r="F1217" s="3"/>
    </row>
    <row r="1218" spans="1:6" x14ac:dyDescent="0.3">
      <c r="A1218" s="7" t="str">
        <f>BD_ControlRegimen[[#This Row],[FECHA]]&amp;BD_ControlRegimen[[#This Row],[NOMBRE]]</f>
        <v>45037AVILA OBLEA PERCY CARLOS</v>
      </c>
      <c r="B1218" s="83">
        <f>WEEKNUM(BD_ControlRegimen[[#This Row],[FECHA]],2)</f>
        <v>17</v>
      </c>
      <c r="C1218" s="7">
        <v>45037</v>
      </c>
      <c r="D1218" s="3" t="s">
        <v>10</v>
      </c>
      <c r="E1218" s="3" t="s">
        <v>154</v>
      </c>
      <c r="F1218" s="3"/>
    </row>
    <row r="1219" spans="1:6" x14ac:dyDescent="0.3">
      <c r="A1219" s="7" t="str">
        <f>BD_ControlRegimen[[#This Row],[FECHA]]&amp;BD_ControlRegimen[[#This Row],[NOMBRE]]</f>
        <v>45038AVILA OBLEA PERCY CARLOS</v>
      </c>
      <c r="B1219" s="83">
        <f>WEEKNUM(BD_ControlRegimen[[#This Row],[FECHA]],2)</f>
        <v>17</v>
      </c>
      <c r="C1219" s="7">
        <v>45038</v>
      </c>
      <c r="D1219" s="3" t="s">
        <v>10</v>
      </c>
      <c r="E1219" s="3" t="s">
        <v>154</v>
      </c>
      <c r="F1219" s="3"/>
    </row>
    <row r="1220" spans="1:6" x14ac:dyDescent="0.3">
      <c r="A1220" s="7" t="str">
        <f>BD_ControlRegimen[[#This Row],[FECHA]]&amp;BD_ControlRegimen[[#This Row],[NOMBRE]]</f>
        <v>45039AVILA OBLEA PERCY CARLOS</v>
      </c>
      <c r="B1220" s="83">
        <f>WEEKNUM(BD_ControlRegimen[[#This Row],[FECHA]],2)</f>
        <v>17</v>
      </c>
      <c r="C1220" s="7">
        <v>45039</v>
      </c>
      <c r="D1220" s="3" t="s">
        <v>10</v>
      </c>
      <c r="E1220" s="3" t="s">
        <v>154</v>
      </c>
      <c r="F1220" s="3"/>
    </row>
    <row r="1221" spans="1:6" x14ac:dyDescent="0.3">
      <c r="A1221" s="7" t="str">
        <f>BD_ControlRegimen[[#This Row],[FECHA]]&amp;BD_ControlRegimen[[#This Row],[NOMBRE]]</f>
        <v>45040AVILA OBLEA PERCY CARLOS</v>
      </c>
      <c r="B1221" s="83">
        <f>WEEKNUM(BD_ControlRegimen[[#This Row],[FECHA]],2)</f>
        <v>18</v>
      </c>
      <c r="C1221" s="7">
        <v>45040</v>
      </c>
      <c r="D1221" s="3" t="s">
        <v>10</v>
      </c>
      <c r="E1221" s="3" t="s">
        <v>155</v>
      </c>
      <c r="F1221" s="3"/>
    </row>
    <row r="1222" spans="1:6" x14ac:dyDescent="0.3">
      <c r="A1222" s="7" t="str">
        <f>BD_ControlRegimen[[#This Row],[FECHA]]&amp;BD_ControlRegimen[[#This Row],[NOMBRE]]</f>
        <v>45041AVILA OBLEA PERCY CARLOS</v>
      </c>
      <c r="B1222" s="83">
        <f>WEEKNUM(BD_ControlRegimen[[#This Row],[FECHA]],2)</f>
        <v>18</v>
      </c>
      <c r="C1222" s="7">
        <v>45041</v>
      </c>
      <c r="D1222" s="3" t="s">
        <v>10</v>
      </c>
      <c r="E1222" s="3" t="s">
        <v>155</v>
      </c>
      <c r="F1222" s="3"/>
    </row>
    <row r="1223" spans="1:6" x14ac:dyDescent="0.3">
      <c r="A1223" s="7" t="str">
        <f>BD_ControlRegimen[[#This Row],[FECHA]]&amp;BD_ControlRegimen[[#This Row],[NOMBRE]]</f>
        <v>45042AVILA OBLEA PERCY CARLOS</v>
      </c>
      <c r="B1223" s="83">
        <f>WEEKNUM(BD_ControlRegimen[[#This Row],[FECHA]],2)</f>
        <v>18</v>
      </c>
      <c r="C1223" s="7">
        <v>45042</v>
      </c>
      <c r="D1223" s="3" t="s">
        <v>10</v>
      </c>
      <c r="E1223" s="3" t="s">
        <v>155</v>
      </c>
      <c r="F1223" s="3"/>
    </row>
    <row r="1224" spans="1:6" x14ac:dyDescent="0.3">
      <c r="A1224" s="7" t="str">
        <f>BD_ControlRegimen[[#This Row],[FECHA]]&amp;BD_ControlRegimen[[#This Row],[NOMBRE]]</f>
        <v>45043AVILA OBLEA PERCY CARLOS</v>
      </c>
      <c r="B1224" s="83">
        <f>WEEKNUM(BD_ControlRegimen[[#This Row],[FECHA]],2)</f>
        <v>18</v>
      </c>
      <c r="C1224" s="7">
        <v>45043</v>
      </c>
      <c r="D1224" s="3" t="s">
        <v>10</v>
      </c>
      <c r="E1224" s="3" t="s">
        <v>155</v>
      </c>
      <c r="F1224" s="3"/>
    </row>
    <row r="1225" spans="1:6" x14ac:dyDescent="0.3">
      <c r="A1225" s="7" t="str">
        <f>BD_ControlRegimen[[#This Row],[FECHA]]&amp;BD_ControlRegimen[[#This Row],[NOMBRE]]</f>
        <v>45044AVILA OBLEA PERCY CARLOS</v>
      </c>
      <c r="B1225" s="83">
        <f>WEEKNUM(BD_ControlRegimen[[#This Row],[FECHA]],2)</f>
        <v>18</v>
      </c>
      <c r="C1225" s="7">
        <v>45044</v>
      </c>
      <c r="D1225" s="3" t="s">
        <v>10</v>
      </c>
      <c r="E1225" s="3" t="s">
        <v>155</v>
      </c>
      <c r="F1225" s="3"/>
    </row>
    <row r="1226" spans="1:6" x14ac:dyDescent="0.3">
      <c r="A1226" s="7" t="str">
        <f>BD_ControlRegimen[[#This Row],[FECHA]]&amp;BD_ControlRegimen[[#This Row],[NOMBRE]]</f>
        <v>45045AVILA OBLEA PERCY CARLOS</v>
      </c>
      <c r="B1226" s="83">
        <f>WEEKNUM(BD_ControlRegimen[[#This Row],[FECHA]],2)</f>
        <v>18</v>
      </c>
      <c r="C1226" s="7">
        <v>45045</v>
      </c>
      <c r="D1226" s="3" t="s">
        <v>10</v>
      </c>
      <c r="E1226" s="3" t="s">
        <v>155</v>
      </c>
      <c r="F1226" s="3"/>
    </row>
    <row r="1227" spans="1:6" x14ac:dyDescent="0.3">
      <c r="A1227" s="7" t="str">
        <f>BD_ControlRegimen[[#This Row],[FECHA]]&amp;BD_ControlRegimen[[#This Row],[NOMBRE]]</f>
        <v>45046AVILA OBLEA PERCY CARLOS</v>
      </c>
      <c r="B1227" s="83">
        <f>WEEKNUM(BD_ControlRegimen[[#This Row],[FECHA]],2)</f>
        <v>18</v>
      </c>
      <c r="C1227" s="7">
        <v>45046</v>
      </c>
      <c r="D1227" s="3" t="s">
        <v>10</v>
      </c>
      <c r="E1227" s="3" t="s">
        <v>155</v>
      </c>
      <c r="F1227" s="3"/>
    </row>
    <row r="1228" spans="1:6" hidden="1" x14ac:dyDescent="0.3">
      <c r="A1228" s="7" t="str">
        <f>BD_ControlRegimen[[#This Row],[FECHA]]&amp;BD_ControlRegimen[[#This Row],[NOMBRE]]</f>
        <v>45047AVILA OBLEA PERCY CARLOS</v>
      </c>
      <c r="B1228" s="83">
        <f>WEEKNUM(BD_ControlRegimen[[#This Row],[FECHA]],2)</f>
        <v>19</v>
      </c>
      <c r="C1228" s="7">
        <v>45047</v>
      </c>
      <c r="D1228" s="3" t="s">
        <v>10</v>
      </c>
      <c r="E1228" s="3"/>
      <c r="F1228" s="3"/>
    </row>
    <row r="1229" spans="1:6" hidden="1" x14ac:dyDescent="0.3">
      <c r="A1229" s="7" t="str">
        <f>BD_ControlRegimen[[#This Row],[FECHA]]&amp;BD_ControlRegimen[[#This Row],[NOMBRE]]</f>
        <v>45048AVILA OBLEA PERCY CARLOS</v>
      </c>
      <c r="B1229" s="83">
        <f>WEEKNUM(BD_ControlRegimen[[#This Row],[FECHA]],2)</f>
        <v>19</v>
      </c>
      <c r="C1229" s="7">
        <v>45048</v>
      </c>
      <c r="D1229" s="3" t="s">
        <v>10</v>
      </c>
      <c r="E1229" s="3"/>
      <c r="F1229" s="3"/>
    </row>
    <row r="1230" spans="1:6" hidden="1" x14ac:dyDescent="0.3">
      <c r="A1230" s="7" t="str">
        <f>BD_ControlRegimen[[#This Row],[FECHA]]&amp;BD_ControlRegimen[[#This Row],[NOMBRE]]</f>
        <v>45049AVILA OBLEA PERCY CARLOS</v>
      </c>
      <c r="B1230" s="83">
        <f>WEEKNUM(BD_ControlRegimen[[#This Row],[FECHA]],2)</f>
        <v>19</v>
      </c>
      <c r="C1230" s="7">
        <v>45049</v>
      </c>
      <c r="D1230" s="3" t="s">
        <v>10</v>
      </c>
      <c r="E1230" s="3"/>
      <c r="F1230" s="3"/>
    </row>
    <row r="1231" spans="1:6" hidden="1" x14ac:dyDescent="0.3">
      <c r="A1231" s="7" t="str">
        <f>BD_ControlRegimen[[#This Row],[FECHA]]&amp;BD_ControlRegimen[[#This Row],[NOMBRE]]</f>
        <v>45050AVILA OBLEA PERCY CARLOS</v>
      </c>
      <c r="B1231" s="83">
        <f>WEEKNUM(BD_ControlRegimen[[#This Row],[FECHA]],2)</f>
        <v>19</v>
      </c>
      <c r="C1231" s="7">
        <v>45050</v>
      </c>
      <c r="D1231" s="3" t="s">
        <v>10</v>
      </c>
      <c r="E1231" s="3"/>
      <c r="F1231" s="3"/>
    </row>
    <row r="1232" spans="1:6" hidden="1" x14ac:dyDescent="0.3">
      <c r="A1232" s="7" t="str">
        <f>BD_ControlRegimen[[#This Row],[FECHA]]&amp;BD_ControlRegimen[[#This Row],[NOMBRE]]</f>
        <v>45051AVILA OBLEA PERCY CARLOS</v>
      </c>
      <c r="B1232" s="83">
        <f>WEEKNUM(BD_ControlRegimen[[#This Row],[FECHA]],2)</f>
        <v>19</v>
      </c>
      <c r="C1232" s="7">
        <v>45051</v>
      </c>
      <c r="D1232" s="3" t="s">
        <v>10</v>
      </c>
      <c r="E1232" s="3"/>
      <c r="F1232" s="3"/>
    </row>
    <row r="1233" spans="1:6" hidden="1" x14ac:dyDescent="0.3">
      <c r="A1233" s="7" t="str">
        <f>BD_ControlRegimen[[#This Row],[FECHA]]&amp;BD_ControlRegimen[[#This Row],[NOMBRE]]</f>
        <v>45052AVILA OBLEA PERCY CARLOS</v>
      </c>
      <c r="B1233" s="83">
        <f>WEEKNUM(BD_ControlRegimen[[#This Row],[FECHA]],2)</f>
        <v>19</v>
      </c>
      <c r="C1233" s="7">
        <v>45052</v>
      </c>
      <c r="D1233" s="3" t="s">
        <v>10</v>
      </c>
      <c r="E1233" s="3"/>
      <c r="F1233" s="3"/>
    </row>
    <row r="1234" spans="1:6" hidden="1" x14ac:dyDescent="0.3">
      <c r="A1234" s="7" t="str">
        <f>BD_ControlRegimen[[#This Row],[FECHA]]&amp;BD_ControlRegimen[[#This Row],[NOMBRE]]</f>
        <v>45053AVILA OBLEA PERCY CARLOS</v>
      </c>
      <c r="B1234" s="83">
        <f>WEEKNUM(BD_ControlRegimen[[#This Row],[FECHA]],2)</f>
        <v>19</v>
      </c>
      <c r="C1234" s="7">
        <v>45053</v>
      </c>
      <c r="D1234" s="3" t="s">
        <v>10</v>
      </c>
      <c r="E1234" s="3"/>
      <c r="F1234" s="3"/>
    </row>
    <row r="1235" spans="1:6" hidden="1" x14ac:dyDescent="0.3">
      <c r="A1235" s="7" t="str">
        <f>BD_ControlRegimen[[#This Row],[FECHA]]&amp;BD_ControlRegimen[[#This Row],[NOMBRE]]</f>
        <v>45054AVILA OBLEA PERCY CARLOS</v>
      </c>
      <c r="B1235" s="83">
        <f>WEEKNUM(BD_ControlRegimen[[#This Row],[FECHA]],2)</f>
        <v>20</v>
      </c>
      <c r="C1235" s="7">
        <v>45054</v>
      </c>
      <c r="D1235" s="3" t="s">
        <v>10</v>
      </c>
      <c r="E1235" s="3"/>
      <c r="F1235" s="3"/>
    </row>
    <row r="1236" spans="1:6" hidden="1" x14ac:dyDescent="0.3">
      <c r="A1236" s="7" t="str">
        <f>BD_ControlRegimen[[#This Row],[FECHA]]&amp;BD_ControlRegimen[[#This Row],[NOMBRE]]</f>
        <v>45055AVILA OBLEA PERCY CARLOS</v>
      </c>
      <c r="B1236" s="83">
        <f>WEEKNUM(BD_ControlRegimen[[#This Row],[FECHA]],2)</f>
        <v>20</v>
      </c>
      <c r="C1236" s="7">
        <v>45055</v>
      </c>
      <c r="D1236" s="3" t="s">
        <v>10</v>
      </c>
      <c r="E1236" s="3"/>
      <c r="F1236" s="3"/>
    </row>
    <row r="1237" spans="1:6" hidden="1" x14ac:dyDescent="0.3">
      <c r="A1237" s="7" t="str">
        <f>BD_ControlRegimen[[#This Row],[FECHA]]&amp;BD_ControlRegimen[[#This Row],[NOMBRE]]</f>
        <v>45056AVILA OBLEA PERCY CARLOS</v>
      </c>
      <c r="B1237" s="83">
        <f>WEEKNUM(BD_ControlRegimen[[#This Row],[FECHA]],2)</f>
        <v>20</v>
      </c>
      <c r="C1237" s="7">
        <v>45056</v>
      </c>
      <c r="D1237" s="3" t="s">
        <v>10</v>
      </c>
      <c r="E1237" s="3"/>
      <c r="F1237" s="3"/>
    </row>
    <row r="1238" spans="1:6" hidden="1" x14ac:dyDescent="0.3">
      <c r="A1238" s="7" t="str">
        <f>BD_ControlRegimen[[#This Row],[FECHA]]&amp;BD_ControlRegimen[[#This Row],[NOMBRE]]</f>
        <v>45057AVILA OBLEA PERCY CARLOS</v>
      </c>
      <c r="B1238" s="83">
        <f>WEEKNUM(BD_ControlRegimen[[#This Row],[FECHA]],2)</f>
        <v>20</v>
      </c>
      <c r="C1238" s="7">
        <v>45057</v>
      </c>
      <c r="D1238" s="3" t="s">
        <v>10</v>
      </c>
      <c r="E1238" s="3"/>
      <c r="F1238" s="3"/>
    </row>
    <row r="1239" spans="1:6" hidden="1" x14ac:dyDescent="0.3">
      <c r="A1239" s="7" t="str">
        <f>BD_ControlRegimen[[#This Row],[FECHA]]&amp;BD_ControlRegimen[[#This Row],[NOMBRE]]</f>
        <v>45058AVILA OBLEA PERCY CARLOS</v>
      </c>
      <c r="B1239" s="83">
        <f>WEEKNUM(BD_ControlRegimen[[#This Row],[FECHA]],2)</f>
        <v>20</v>
      </c>
      <c r="C1239" s="7">
        <v>45058</v>
      </c>
      <c r="D1239" s="3" t="s">
        <v>10</v>
      </c>
      <c r="E1239" s="3"/>
      <c r="F1239" s="3"/>
    </row>
    <row r="1240" spans="1:6" hidden="1" x14ac:dyDescent="0.3">
      <c r="A1240" s="7" t="str">
        <f>BD_ControlRegimen[[#This Row],[FECHA]]&amp;BD_ControlRegimen[[#This Row],[NOMBRE]]</f>
        <v>45059AVILA OBLEA PERCY CARLOS</v>
      </c>
      <c r="B1240" s="83">
        <f>WEEKNUM(BD_ControlRegimen[[#This Row],[FECHA]],2)</f>
        <v>20</v>
      </c>
      <c r="C1240" s="7">
        <v>45059</v>
      </c>
      <c r="D1240" s="3" t="s">
        <v>10</v>
      </c>
      <c r="E1240" s="3"/>
      <c r="F1240" s="3"/>
    </row>
    <row r="1241" spans="1:6" hidden="1" x14ac:dyDescent="0.3">
      <c r="A1241" s="7" t="str">
        <f>BD_ControlRegimen[[#This Row],[FECHA]]&amp;BD_ControlRegimen[[#This Row],[NOMBRE]]</f>
        <v>45060AVILA OBLEA PERCY CARLOS</v>
      </c>
      <c r="B1241" s="83">
        <f>WEEKNUM(BD_ControlRegimen[[#This Row],[FECHA]],2)</f>
        <v>20</v>
      </c>
      <c r="C1241" s="7">
        <v>45060</v>
      </c>
      <c r="D1241" s="3" t="s">
        <v>10</v>
      </c>
      <c r="E1241" s="3"/>
      <c r="F1241" s="3"/>
    </row>
    <row r="1242" spans="1:6" hidden="1" x14ac:dyDescent="0.3">
      <c r="A1242" s="7" t="str">
        <f>BD_ControlRegimen[[#This Row],[FECHA]]&amp;BD_ControlRegimen[[#This Row],[NOMBRE]]</f>
        <v>45061AVILA OBLEA PERCY CARLOS</v>
      </c>
      <c r="B1242" s="83">
        <f>WEEKNUM(BD_ControlRegimen[[#This Row],[FECHA]],2)</f>
        <v>21</v>
      </c>
      <c r="C1242" s="7">
        <v>45061</v>
      </c>
      <c r="D1242" s="3" t="s">
        <v>10</v>
      </c>
      <c r="E1242" s="3"/>
      <c r="F1242" s="3"/>
    </row>
    <row r="1243" spans="1:6" hidden="1" x14ac:dyDescent="0.3">
      <c r="A1243" s="7" t="str">
        <f>BD_ControlRegimen[[#This Row],[FECHA]]&amp;BD_ControlRegimen[[#This Row],[NOMBRE]]</f>
        <v>45062AVILA OBLEA PERCY CARLOS</v>
      </c>
      <c r="B1243" s="83">
        <f>WEEKNUM(BD_ControlRegimen[[#This Row],[FECHA]],2)</f>
        <v>21</v>
      </c>
      <c r="C1243" s="7">
        <v>45062</v>
      </c>
      <c r="D1243" s="3" t="s">
        <v>10</v>
      </c>
      <c r="E1243" s="3"/>
      <c r="F1243" s="3"/>
    </row>
    <row r="1244" spans="1:6" hidden="1" x14ac:dyDescent="0.3">
      <c r="A1244" s="7" t="str">
        <f>BD_ControlRegimen[[#This Row],[FECHA]]&amp;BD_ControlRegimen[[#This Row],[NOMBRE]]</f>
        <v>45063AVILA OBLEA PERCY CARLOS</v>
      </c>
      <c r="B1244" s="83">
        <f>WEEKNUM(BD_ControlRegimen[[#This Row],[FECHA]],2)</f>
        <v>21</v>
      </c>
      <c r="C1244" s="7">
        <v>45063</v>
      </c>
      <c r="D1244" s="3" t="s">
        <v>10</v>
      </c>
      <c r="E1244" s="3"/>
      <c r="F1244" s="3"/>
    </row>
    <row r="1245" spans="1:6" hidden="1" x14ac:dyDescent="0.3">
      <c r="A1245" s="7" t="str">
        <f>BD_ControlRegimen[[#This Row],[FECHA]]&amp;BD_ControlRegimen[[#This Row],[NOMBRE]]</f>
        <v>45064AVILA OBLEA PERCY CARLOS</v>
      </c>
      <c r="B1245" s="83">
        <f>WEEKNUM(BD_ControlRegimen[[#This Row],[FECHA]],2)</f>
        <v>21</v>
      </c>
      <c r="C1245" s="7">
        <v>45064</v>
      </c>
      <c r="D1245" s="3" t="s">
        <v>10</v>
      </c>
      <c r="E1245" s="3"/>
      <c r="F1245" s="3"/>
    </row>
    <row r="1246" spans="1:6" hidden="1" x14ac:dyDescent="0.3">
      <c r="A1246" s="7" t="str">
        <f>BD_ControlRegimen[[#This Row],[FECHA]]&amp;BD_ControlRegimen[[#This Row],[NOMBRE]]</f>
        <v>45065AVILA OBLEA PERCY CARLOS</v>
      </c>
      <c r="B1246" s="83">
        <f>WEEKNUM(BD_ControlRegimen[[#This Row],[FECHA]],2)</f>
        <v>21</v>
      </c>
      <c r="C1246" s="7">
        <v>45065</v>
      </c>
      <c r="D1246" s="3" t="s">
        <v>10</v>
      </c>
      <c r="E1246" s="3"/>
      <c r="F1246" s="3"/>
    </row>
    <row r="1247" spans="1:6" hidden="1" x14ac:dyDescent="0.3">
      <c r="A1247" s="7" t="str">
        <f>BD_ControlRegimen[[#This Row],[FECHA]]&amp;BD_ControlRegimen[[#This Row],[NOMBRE]]</f>
        <v>45066AVILA OBLEA PERCY CARLOS</v>
      </c>
      <c r="B1247" s="83">
        <f>WEEKNUM(BD_ControlRegimen[[#This Row],[FECHA]],2)</f>
        <v>21</v>
      </c>
      <c r="C1247" s="7">
        <v>45066</v>
      </c>
      <c r="D1247" s="3" t="s">
        <v>10</v>
      </c>
      <c r="E1247" s="3"/>
      <c r="F1247" s="3"/>
    </row>
    <row r="1248" spans="1:6" hidden="1" x14ac:dyDescent="0.3">
      <c r="A1248" s="7" t="str">
        <f>BD_ControlRegimen[[#This Row],[FECHA]]&amp;BD_ControlRegimen[[#This Row],[NOMBRE]]</f>
        <v>45067AVILA OBLEA PERCY CARLOS</v>
      </c>
      <c r="B1248" s="83">
        <f>WEEKNUM(BD_ControlRegimen[[#This Row],[FECHA]],2)</f>
        <v>21</v>
      </c>
      <c r="C1248" s="7">
        <v>45067</v>
      </c>
      <c r="D1248" s="3" t="s">
        <v>10</v>
      </c>
      <c r="E1248" s="3"/>
      <c r="F1248" s="3"/>
    </row>
    <row r="1249" spans="1:6" hidden="1" x14ac:dyDescent="0.3">
      <c r="A1249" s="7" t="str">
        <f>BD_ControlRegimen[[#This Row],[FECHA]]&amp;BD_ControlRegimen[[#This Row],[NOMBRE]]</f>
        <v>45068AVILA OBLEA PERCY CARLOS</v>
      </c>
      <c r="B1249" s="83">
        <f>WEEKNUM(BD_ControlRegimen[[#This Row],[FECHA]],2)</f>
        <v>22</v>
      </c>
      <c r="C1249" s="7">
        <v>45068</v>
      </c>
      <c r="D1249" s="3" t="s">
        <v>10</v>
      </c>
      <c r="E1249" s="3"/>
      <c r="F1249" s="3"/>
    </row>
    <row r="1250" spans="1:6" hidden="1" x14ac:dyDescent="0.3">
      <c r="A1250" s="7" t="str">
        <f>BD_ControlRegimen[[#This Row],[FECHA]]&amp;BD_ControlRegimen[[#This Row],[NOMBRE]]</f>
        <v>45069AVILA OBLEA PERCY CARLOS</v>
      </c>
      <c r="B1250" s="83">
        <f>WEEKNUM(BD_ControlRegimen[[#This Row],[FECHA]],2)</f>
        <v>22</v>
      </c>
      <c r="C1250" s="7">
        <v>45069</v>
      </c>
      <c r="D1250" s="3" t="s">
        <v>10</v>
      </c>
      <c r="E1250" s="3"/>
      <c r="F1250" s="3"/>
    </row>
    <row r="1251" spans="1:6" hidden="1" x14ac:dyDescent="0.3">
      <c r="A1251" s="7" t="str">
        <f>BD_ControlRegimen[[#This Row],[FECHA]]&amp;BD_ControlRegimen[[#This Row],[NOMBRE]]</f>
        <v>45070AVILA OBLEA PERCY CARLOS</v>
      </c>
      <c r="B1251" s="83">
        <f>WEEKNUM(BD_ControlRegimen[[#This Row],[FECHA]],2)</f>
        <v>22</v>
      </c>
      <c r="C1251" s="7">
        <v>45070</v>
      </c>
      <c r="D1251" s="3" t="s">
        <v>10</v>
      </c>
      <c r="E1251" s="3"/>
      <c r="F1251" s="3"/>
    </row>
    <row r="1252" spans="1:6" hidden="1" x14ac:dyDescent="0.3">
      <c r="A1252" s="7" t="str">
        <f>BD_ControlRegimen[[#This Row],[FECHA]]&amp;BD_ControlRegimen[[#This Row],[NOMBRE]]</f>
        <v>45071AVILA OBLEA PERCY CARLOS</v>
      </c>
      <c r="B1252" s="83">
        <f>WEEKNUM(BD_ControlRegimen[[#This Row],[FECHA]],2)</f>
        <v>22</v>
      </c>
      <c r="C1252" s="7">
        <v>45071</v>
      </c>
      <c r="D1252" s="3" t="s">
        <v>10</v>
      </c>
      <c r="E1252" s="3"/>
      <c r="F1252" s="3"/>
    </row>
    <row r="1253" spans="1:6" hidden="1" x14ac:dyDescent="0.3">
      <c r="A1253" s="7" t="str">
        <f>BD_ControlRegimen[[#This Row],[FECHA]]&amp;BD_ControlRegimen[[#This Row],[NOMBRE]]</f>
        <v>45072AVILA OBLEA PERCY CARLOS</v>
      </c>
      <c r="B1253" s="83">
        <f>WEEKNUM(BD_ControlRegimen[[#This Row],[FECHA]],2)</f>
        <v>22</v>
      </c>
      <c r="C1253" s="7">
        <v>45072</v>
      </c>
      <c r="D1253" s="3" t="s">
        <v>10</v>
      </c>
      <c r="E1253" s="3"/>
      <c r="F1253" s="3"/>
    </row>
    <row r="1254" spans="1:6" hidden="1" x14ac:dyDescent="0.3">
      <c r="A1254" s="7" t="str">
        <f>BD_ControlRegimen[[#This Row],[FECHA]]&amp;BD_ControlRegimen[[#This Row],[NOMBRE]]</f>
        <v>45073AVILA OBLEA PERCY CARLOS</v>
      </c>
      <c r="B1254" s="83">
        <f>WEEKNUM(BD_ControlRegimen[[#This Row],[FECHA]],2)</f>
        <v>22</v>
      </c>
      <c r="C1254" s="7">
        <v>45073</v>
      </c>
      <c r="D1254" s="3" t="s">
        <v>10</v>
      </c>
      <c r="E1254" s="3"/>
      <c r="F1254" s="3"/>
    </row>
    <row r="1255" spans="1:6" hidden="1" x14ac:dyDescent="0.3">
      <c r="A1255" s="7" t="str">
        <f>BD_ControlRegimen[[#This Row],[FECHA]]&amp;BD_ControlRegimen[[#This Row],[NOMBRE]]</f>
        <v>45074AVILA OBLEA PERCY CARLOS</v>
      </c>
      <c r="B1255" s="83">
        <f>WEEKNUM(BD_ControlRegimen[[#This Row],[FECHA]],2)</f>
        <v>22</v>
      </c>
      <c r="C1255" s="7">
        <v>45074</v>
      </c>
      <c r="D1255" s="3" t="s">
        <v>10</v>
      </c>
      <c r="E1255" s="3"/>
      <c r="F1255" s="3"/>
    </row>
    <row r="1256" spans="1:6" hidden="1" x14ac:dyDescent="0.3">
      <c r="A1256" s="7" t="str">
        <f>BD_ControlRegimen[[#This Row],[FECHA]]&amp;BD_ControlRegimen[[#This Row],[NOMBRE]]</f>
        <v>45075AVILA OBLEA PERCY CARLOS</v>
      </c>
      <c r="B1256" s="83">
        <f>WEEKNUM(BD_ControlRegimen[[#This Row],[FECHA]],2)</f>
        <v>23</v>
      </c>
      <c r="C1256" s="7">
        <v>45075</v>
      </c>
      <c r="D1256" s="3" t="s">
        <v>10</v>
      </c>
      <c r="E1256" s="3"/>
      <c r="F1256" s="3"/>
    </row>
    <row r="1257" spans="1:6" hidden="1" x14ac:dyDescent="0.3">
      <c r="A1257" s="7" t="str">
        <f>BD_ControlRegimen[[#This Row],[FECHA]]&amp;BD_ControlRegimen[[#This Row],[NOMBRE]]</f>
        <v>45076AVILA OBLEA PERCY CARLOS</v>
      </c>
      <c r="B1257" s="83">
        <f>WEEKNUM(BD_ControlRegimen[[#This Row],[FECHA]],2)</f>
        <v>23</v>
      </c>
      <c r="C1257" s="7">
        <v>45076</v>
      </c>
      <c r="D1257" s="3" t="s">
        <v>10</v>
      </c>
      <c r="E1257" s="3"/>
      <c r="F1257" s="3"/>
    </row>
    <row r="1258" spans="1:6" hidden="1" x14ac:dyDescent="0.3">
      <c r="A1258" s="7" t="str">
        <f>BD_ControlRegimen[[#This Row],[FECHA]]&amp;BD_ControlRegimen[[#This Row],[NOMBRE]]</f>
        <v>45077AVILA OBLEA PERCY CARLOS</v>
      </c>
      <c r="B1258" s="83">
        <f>WEEKNUM(BD_ControlRegimen[[#This Row],[FECHA]],2)</f>
        <v>23</v>
      </c>
      <c r="C1258" s="7">
        <v>45077</v>
      </c>
      <c r="D1258" s="3" t="s">
        <v>10</v>
      </c>
      <c r="E1258" s="3"/>
      <c r="F1258" s="3"/>
    </row>
    <row r="1259" spans="1:6" hidden="1" x14ac:dyDescent="0.3">
      <c r="A1259" s="7" t="str">
        <f>BD_ControlRegimen[[#This Row],[FECHA]]&amp;BD_ControlRegimen[[#This Row],[NOMBRE]]</f>
        <v>45078AVILA OBLEA PERCY CARLOS</v>
      </c>
      <c r="B1259" s="83">
        <f>WEEKNUM(BD_ControlRegimen[[#This Row],[FECHA]],2)</f>
        <v>23</v>
      </c>
      <c r="C1259" s="7">
        <v>45078</v>
      </c>
      <c r="D1259" s="3" t="s">
        <v>10</v>
      </c>
      <c r="E1259" s="3"/>
      <c r="F1259" s="3"/>
    </row>
    <row r="1260" spans="1:6" hidden="1" x14ac:dyDescent="0.3">
      <c r="A1260" s="7" t="str">
        <f>BD_ControlRegimen[[#This Row],[FECHA]]&amp;BD_ControlRegimen[[#This Row],[NOMBRE]]</f>
        <v>45079AVILA OBLEA PERCY CARLOS</v>
      </c>
      <c r="B1260" s="83">
        <f>WEEKNUM(BD_ControlRegimen[[#This Row],[FECHA]],2)</f>
        <v>23</v>
      </c>
      <c r="C1260" s="7">
        <v>45079</v>
      </c>
      <c r="D1260" s="3" t="s">
        <v>10</v>
      </c>
      <c r="E1260" s="3"/>
      <c r="F1260" s="3"/>
    </row>
    <row r="1261" spans="1:6" hidden="1" x14ac:dyDescent="0.3">
      <c r="A1261" s="7" t="str">
        <f>BD_ControlRegimen[[#This Row],[FECHA]]&amp;BD_ControlRegimen[[#This Row],[NOMBRE]]</f>
        <v>45080AVILA OBLEA PERCY CARLOS</v>
      </c>
      <c r="B1261" s="83">
        <f>WEEKNUM(BD_ControlRegimen[[#This Row],[FECHA]],2)</f>
        <v>23</v>
      </c>
      <c r="C1261" s="7">
        <v>45080</v>
      </c>
      <c r="D1261" s="3" t="s">
        <v>10</v>
      </c>
      <c r="E1261" s="3"/>
      <c r="F1261" s="3"/>
    </row>
    <row r="1262" spans="1:6" hidden="1" x14ac:dyDescent="0.3">
      <c r="A1262" s="7" t="str">
        <f>BD_ControlRegimen[[#This Row],[FECHA]]&amp;BD_ControlRegimen[[#This Row],[NOMBRE]]</f>
        <v>45081AVILA OBLEA PERCY CARLOS</v>
      </c>
      <c r="B1262" s="83">
        <f>WEEKNUM(BD_ControlRegimen[[#This Row],[FECHA]],2)</f>
        <v>23</v>
      </c>
      <c r="C1262" s="7">
        <v>45081</v>
      </c>
      <c r="D1262" s="3" t="s">
        <v>10</v>
      </c>
      <c r="E1262" s="3"/>
      <c r="F1262" s="3"/>
    </row>
    <row r="1263" spans="1:6" hidden="1" x14ac:dyDescent="0.3">
      <c r="A1263" s="7" t="str">
        <f>BD_ControlRegimen[[#This Row],[FECHA]]&amp;BD_ControlRegimen[[#This Row],[NOMBRE]]</f>
        <v>45082AVILA OBLEA PERCY CARLOS</v>
      </c>
      <c r="B1263" s="83">
        <f>WEEKNUM(BD_ControlRegimen[[#This Row],[FECHA]],2)</f>
        <v>24</v>
      </c>
      <c r="C1263" s="7">
        <v>45082</v>
      </c>
      <c r="D1263" s="3" t="s">
        <v>10</v>
      </c>
      <c r="E1263" s="3"/>
      <c r="F1263" s="3"/>
    </row>
    <row r="1264" spans="1:6" hidden="1" x14ac:dyDescent="0.3">
      <c r="A1264" s="7" t="str">
        <f>BD_ControlRegimen[[#This Row],[FECHA]]&amp;BD_ControlRegimen[[#This Row],[NOMBRE]]</f>
        <v>45083AVILA OBLEA PERCY CARLOS</v>
      </c>
      <c r="B1264" s="83">
        <f>WEEKNUM(BD_ControlRegimen[[#This Row],[FECHA]],2)</f>
        <v>24</v>
      </c>
      <c r="C1264" s="7">
        <v>45083</v>
      </c>
      <c r="D1264" s="3" t="s">
        <v>10</v>
      </c>
      <c r="E1264" s="3"/>
      <c r="F1264" s="3"/>
    </row>
    <row r="1265" spans="1:6" hidden="1" x14ac:dyDescent="0.3">
      <c r="A1265" s="7" t="str">
        <f>BD_ControlRegimen[[#This Row],[FECHA]]&amp;BD_ControlRegimen[[#This Row],[NOMBRE]]</f>
        <v>45084AVILA OBLEA PERCY CARLOS</v>
      </c>
      <c r="B1265" s="83">
        <f>WEEKNUM(BD_ControlRegimen[[#This Row],[FECHA]],2)</f>
        <v>24</v>
      </c>
      <c r="C1265" s="7">
        <v>45084</v>
      </c>
      <c r="D1265" s="3" t="s">
        <v>10</v>
      </c>
      <c r="E1265" s="3"/>
      <c r="F1265" s="3"/>
    </row>
    <row r="1266" spans="1:6" hidden="1" x14ac:dyDescent="0.3">
      <c r="A1266" s="7" t="str">
        <f>BD_ControlRegimen[[#This Row],[FECHA]]&amp;BD_ControlRegimen[[#This Row],[NOMBRE]]</f>
        <v>45085AVILA OBLEA PERCY CARLOS</v>
      </c>
      <c r="B1266" s="83">
        <f>WEEKNUM(BD_ControlRegimen[[#This Row],[FECHA]],2)</f>
        <v>24</v>
      </c>
      <c r="C1266" s="7">
        <v>45085</v>
      </c>
      <c r="D1266" s="3" t="s">
        <v>10</v>
      </c>
      <c r="E1266" s="3"/>
      <c r="F1266" s="3"/>
    </row>
    <row r="1267" spans="1:6" hidden="1" x14ac:dyDescent="0.3">
      <c r="A1267" s="7" t="str">
        <f>BD_ControlRegimen[[#This Row],[FECHA]]&amp;BD_ControlRegimen[[#This Row],[NOMBRE]]</f>
        <v>45086AVILA OBLEA PERCY CARLOS</v>
      </c>
      <c r="B1267" s="83">
        <f>WEEKNUM(BD_ControlRegimen[[#This Row],[FECHA]],2)</f>
        <v>24</v>
      </c>
      <c r="C1267" s="7">
        <v>45086</v>
      </c>
      <c r="D1267" s="3" t="s">
        <v>10</v>
      </c>
      <c r="E1267" s="3"/>
      <c r="F1267" s="3"/>
    </row>
    <row r="1268" spans="1:6" hidden="1" x14ac:dyDescent="0.3">
      <c r="A1268" s="7" t="str">
        <f>BD_ControlRegimen[[#This Row],[FECHA]]&amp;BD_ControlRegimen[[#This Row],[NOMBRE]]</f>
        <v>45087AVILA OBLEA PERCY CARLOS</v>
      </c>
      <c r="B1268" s="83">
        <f>WEEKNUM(BD_ControlRegimen[[#This Row],[FECHA]],2)</f>
        <v>24</v>
      </c>
      <c r="C1268" s="7">
        <v>45087</v>
      </c>
      <c r="D1268" s="3" t="s">
        <v>10</v>
      </c>
      <c r="E1268" s="3"/>
      <c r="F1268" s="3"/>
    </row>
    <row r="1269" spans="1:6" hidden="1" x14ac:dyDescent="0.3">
      <c r="A1269" s="7" t="str">
        <f>BD_ControlRegimen[[#This Row],[FECHA]]&amp;BD_ControlRegimen[[#This Row],[NOMBRE]]</f>
        <v>45088AVILA OBLEA PERCY CARLOS</v>
      </c>
      <c r="B1269" s="83">
        <f>WEEKNUM(BD_ControlRegimen[[#This Row],[FECHA]],2)</f>
        <v>24</v>
      </c>
      <c r="C1269" s="7">
        <v>45088</v>
      </c>
      <c r="D1269" s="3" t="s">
        <v>10</v>
      </c>
      <c r="E1269" s="3"/>
      <c r="F1269" s="3"/>
    </row>
    <row r="1270" spans="1:6" hidden="1" x14ac:dyDescent="0.3">
      <c r="A1270" s="7" t="str">
        <f>BD_ControlRegimen[[#This Row],[FECHA]]&amp;BD_ControlRegimen[[#This Row],[NOMBRE]]</f>
        <v>45089AVILA OBLEA PERCY CARLOS</v>
      </c>
      <c r="B1270" s="83">
        <f>WEEKNUM(BD_ControlRegimen[[#This Row],[FECHA]],2)</f>
        <v>25</v>
      </c>
      <c r="C1270" s="7">
        <v>45089</v>
      </c>
      <c r="D1270" s="3" t="s">
        <v>10</v>
      </c>
      <c r="E1270" s="3"/>
      <c r="F1270" s="3"/>
    </row>
    <row r="1271" spans="1:6" hidden="1" x14ac:dyDescent="0.3">
      <c r="A1271" s="7" t="str">
        <f>BD_ControlRegimen[[#This Row],[FECHA]]&amp;BD_ControlRegimen[[#This Row],[NOMBRE]]</f>
        <v>45090AVILA OBLEA PERCY CARLOS</v>
      </c>
      <c r="B1271" s="83">
        <f>WEEKNUM(BD_ControlRegimen[[#This Row],[FECHA]],2)</f>
        <v>25</v>
      </c>
      <c r="C1271" s="7">
        <v>45090</v>
      </c>
      <c r="D1271" s="3" t="s">
        <v>10</v>
      </c>
      <c r="E1271" s="3"/>
      <c r="F1271" s="3"/>
    </row>
    <row r="1272" spans="1:6" hidden="1" x14ac:dyDescent="0.3">
      <c r="A1272" s="7" t="str">
        <f>BD_ControlRegimen[[#This Row],[FECHA]]&amp;BD_ControlRegimen[[#This Row],[NOMBRE]]</f>
        <v>45091AVILA OBLEA PERCY CARLOS</v>
      </c>
      <c r="B1272" s="83">
        <f>WEEKNUM(BD_ControlRegimen[[#This Row],[FECHA]],2)</f>
        <v>25</v>
      </c>
      <c r="C1272" s="7">
        <v>45091</v>
      </c>
      <c r="D1272" s="3" t="s">
        <v>10</v>
      </c>
      <c r="E1272" s="3"/>
      <c r="F1272" s="3"/>
    </row>
    <row r="1273" spans="1:6" hidden="1" x14ac:dyDescent="0.3">
      <c r="A1273" s="7" t="str">
        <f>BD_ControlRegimen[[#This Row],[FECHA]]&amp;BD_ControlRegimen[[#This Row],[NOMBRE]]</f>
        <v>45092AVILA OBLEA PERCY CARLOS</v>
      </c>
      <c r="B1273" s="83">
        <f>WEEKNUM(BD_ControlRegimen[[#This Row],[FECHA]],2)</f>
        <v>25</v>
      </c>
      <c r="C1273" s="7">
        <v>45092</v>
      </c>
      <c r="D1273" s="3" t="s">
        <v>10</v>
      </c>
      <c r="E1273" s="3"/>
      <c r="F1273" s="3"/>
    </row>
    <row r="1274" spans="1:6" hidden="1" x14ac:dyDescent="0.3">
      <c r="A1274" s="7" t="str">
        <f>BD_ControlRegimen[[#This Row],[FECHA]]&amp;BD_ControlRegimen[[#This Row],[NOMBRE]]</f>
        <v>45093AVILA OBLEA PERCY CARLOS</v>
      </c>
      <c r="B1274" s="83">
        <f>WEEKNUM(BD_ControlRegimen[[#This Row],[FECHA]],2)</f>
        <v>25</v>
      </c>
      <c r="C1274" s="7">
        <v>45093</v>
      </c>
      <c r="D1274" s="3" t="s">
        <v>10</v>
      </c>
      <c r="E1274" s="3"/>
      <c r="F1274" s="3"/>
    </row>
    <row r="1275" spans="1:6" hidden="1" x14ac:dyDescent="0.3">
      <c r="A1275" s="7" t="str">
        <f>BD_ControlRegimen[[#This Row],[FECHA]]&amp;BD_ControlRegimen[[#This Row],[NOMBRE]]</f>
        <v>45094AVILA OBLEA PERCY CARLOS</v>
      </c>
      <c r="B1275" s="83">
        <f>WEEKNUM(BD_ControlRegimen[[#This Row],[FECHA]],2)</f>
        <v>25</v>
      </c>
      <c r="C1275" s="7">
        <v>45094</v>
      </c>
      <c r="D1275" s="3" t="s">
        <v>10</v>
      </c>
      <c r="E1275" s="3"/>
      <c r="F1275" s="3"/>
    </row>
    <row r="1276" spans="1:6" hidden="1" x14ac:dyDescent="0.3">
      <c r="A1276" s="7" t="str">
        <f>BD_ControlRegimen[[#This Row],[FECHA]]&amp;BD_ControlRegimen[[#This Row],[NOMBRE]]</f>
        <v>45095AVILA OBLEA PERCY CARLOS</v>
      </c>
      <c r="B1276" s="83">
        <f>WEEKNUM(BD_ControlRegimen[[#This Row],[FECHA]],2)</f>
        <v>25</v>
      </c>
      <c r="C1276" s="7">
        <v>45095</v>
      </c>
      <c r="D1276" s="3" t="s">
        <v>10</v>
      </c>
      <c r="E1276" s="3"/>
      <c r="F1276" s="3"/>
    </row>
    <row r="1277" spans="1:6" hidden="1" x14ac:dyDescent="0.3">
      <c r="A1277" s="7" t="str">
        <f>BD_ControlRegimen[[#This Row],[FECHA]]&amp;BD_ControlRegimen[[#This Row],[NOMBRE]]</f>
        <v>45096AVILA OBLEA PERCY CARLOS</v>
      </c>
      <c r="B1277" s="83">
        <f>WEEKNUM(BD_ControlRegimen[[#This Row],[FECHA]],2)</f>
        <v>26</v>
      </c>
      <c r="C1277" s="7">
        <v>45096</v>
      </c>
      <c r="D1277" s="3" t="s">
        <v>10</v>
      </c>
      <c r="E1277" s="3"/>
      <c r="F1277" s="3"/>
    </row>
    <row r="1278" spans="1:6" hidden="1" x14ac:dyDescent="0.3">
      <c r="A1278" s="7" t="str">
        <f>BD_ControlRegimen[[#This Row],[FECHA]]&amp;BD_ControlRegimen[[#This Row],[NOMBRE]]</f>
        <v>45097AVILA OBLEA PERCY CARLOS</v>
      </c>
      <c r="B1278" s="83">
        <f>WEEKNUM(BD_ControlRegimen[[#This Row],[FECHA]],2)</f>
        <v>26</v>
      </c>
      <c r="C1278" s="7">
        <v>45097</v>
      </c>
      <c r="D1278" s="3" t="s">
        <v>10</v>
      </c>
      <c r="E1278" s="3"/>
      <c r="F1278" s="3"/>
    </row>
    <row r="1279" spans="1:6" hidden="1" x14ac:dyDescent="0.3">
      <c r="A1279" s="7" t="str">
        <f>BD_ControlRegimen[[#This Row],[FECHA]]&amp;BD_ControlRegimen[[#This Row],[NOMBRE]]</f>
        <v>45098AVILA OBLEA PERCY CARLOS</v>
      </c>
      <c r="B1279" s="83">
        <f>WEEKNUM(BD_ControlRegimen[[#This Row],[FECHA]],2)</f>
        <v>26</v>
      </c>
      <c r="C1279" s="7">
        <v>45098</v>
      </c>
      <c r="D1279" s="3" t="s">
        <v>10</v>
      </c>
      <c r="E1279" s="3"/>
      <c r="F1279" s="3"/>
    </row>
    <row r="1280" spans="1:6" hidden="1" x14ac:dyDescent="0.3">
      <c r="A1280" s="7" t="str">
        <f>BD_ControlRegimen[[#This Row],[FECHA]]&amp;BD_ControlRegimen[[#This Row],[NOMBRE]]</f>
        <v>45099AVILA OBLEA PERCY CARLOS</v>
      </c>
      <c r="B1280" s="83">
        <f>WEEKNUM(BD_ControlRegimen[[#This Row],[FECHA]],2)</f>
        <v>26</v>
      </c>
      <c r="C1280" s="7">
        <v>45099</v>
      </c>
      <c r="D1280" s="3" t="s">
        <v>10</v>
      </c>
      <c r="E1280" s="3"/>
      <c r="F1280" s="3"/>
    </row>
    <row r="1281" spans="1:6" hidden="1" x14ac:dyDescent="0.3">
      <c r="A1281" s="7" t="str">
        <f>BD_ControlRegimen[[#This Row],[FECHA]]&amp;BD_ControlRegimen[[#This Row],[NOMBRE]]</f>
        <v>45100AVILA OBLEA PERCY CARLOS</v>
      </c>
      <c r="B1281" s="83">
        <f>WEEKNUM(BD_ControlRegimen[[#This Row],[FECHA]],2)</f>
        <v>26</v>
      </c>
      <c r="C1281" s="7">
        <v>45100</v>
      </c>
      <c r="D1281" s="3" t="s">
        <v>10</v>
      </c>
      <c r="E1281" s="3"/>
      <c r="F1281" s="3"/>
    </row>
    <row r="1282" spans="1:6" hidden="1" x14ac:dyDescent="0.3">
      <c r="A1282" s="7" t="str">
        <f>BD_ControlRegimen[[#This Row],[FECHA]]&amp;BD_ControlRegimen[[#This Row],[NOMBRE]]</f>
        <v>45101AVILA OBLEA PERCY CARLOS</v>
      </c>
      <c r="B1282" s="83">
        <f>WEEKNUM(BD_ControlRegimen[[#This Row],[FECHA]],2)</f>
        <v>26</v>
      </c>
      <c r="C1282" s="7">
        <v>45101</v>
      </c>
      <c r="D1282" s="3" t="s">
        <v>10</v>
      </c>
      <c r="E1282" s="3"/>
      <c r="F1282" s="3"/>
    </row>
    <row r="1283" spans="1:6" hidden="1" x14ac:dyDescent="0.3">
      <c r="A1283" s="7" t="str">
        <f>BD_ControlRegimen[[#This Row],[FECHA]]&amp;BD_ControlRegimen[[#This Row],[NOMBRE]]</f>
        <v>45102AVILA OBLEA PERCY CARLOS</v>
      </c>
      <c r="B1283" s="83">
        <f>WEEKNUM(BD_ControlRegimen[[#This Row],[FECHA]],2)</f>
        <v>26</v>
      </c>
      <c r="C1283" s="7">
        <v>45102</v>
      </c>
      <c r="D1283" s="3" t="s">
        <v>10</v>
      </c>
      <c r="E1283" s="3"/>
      <c r="F1283" s="3"/>
    </row>
    <row r="1284" spans="1:6" hidden="1" x14ac:dyDescent="0.3">
      <c r="A1284" s="7" t="str">
        <f>BD_ControlRegimen[[#This Row],[FECHA]]&amp;BD_ControlRegimen[[#This Row],[NOMBRE]]</f>
        <v>45103AVILA OBLEA PERCY CARLOS</v>
      </c>
      <c r="B1284" s="83">
        <f>WEEKNUM(BD_ControlRegimen[[#This Row],[FECHA]],2)</f>
        <v>27</v>
      </c>
      <c r="C1284" s="7">
        <v>45103</v>
      </c>
      <c r="D1284" s="3" t="s">
        <v>10</v>
      </c>
      <c r="E1284" s="3"/>
      <c r="F1284" s="3"/>
    </row>
    <row r="1285" spans="1:6" hidden="1" x14ac:dyDescent="0.3">
      <c r="A1285" s="7" t="str">
        <f>BD_ControlRegimen[[#This Row],[FECHA]]&amp;BD_ControlRegimen[[#This Row],[NOMBRE]]</f>
        <v>45104AVILA OBLEA PERCY CARLOS</v>
      </c>
      <c r="B1285" s="83">
        <f>WEEKNUM(BD_ControlRegimen[[#This Row],[FECHA]],2)</f>
        <v>27</v>
      </c>
      <c r="C1285" s="7">
        <v>45104</v>
      </c>
      <c r="D1285" s="3" t="s">
        <v>10</v>
      </c>
      <c r="E1285" s="3"/>
      <c r="F1285" s="3"/>
    </row>
    <row r="1286" spans="1:6" hidden="1" x14ac:dyDescent="0.3">
      <c r="A1286" s="7" t="str">
        <f>BD_ControlRegimen[[#This Row],[FECHA]]&amp;BD_ControlRegimen[[#This Row],[NOMBRE]]</f>
        <v>45105AVILA OBLEA PERCY CARLOS</v>
      </c>
      <c r="B1286" s="83">
        <f>WEEKNUM(BD_ControlRegimen[[#This Row],[FECHA]],2)</f>
        <v>27</v>
      </c>
      <c r="C1286" s="7">
        <v>45105</v>
      </c>
      <c r="D1286" s="3" t="s">
        <v>10</v>
      </c>
      <c r="E1286" s="3"/>
      <c r="F1286" s="3"/>
    </row>
    <row r="1287" spans="1:6" hidden="1" x14ac:dyDescent="0.3">
      <c r="A1287" s="7" t="str">
        <f>BD_ControlRegimen[[#This Row],[FECHA]]&amp;BD_ControlRegimen[[#This Row],[NOMBRE]]</f>
        <v>45106AVILA OBLEA PERCY CARLOS</v>
      </c>
      <c r="B1287" s="83">
        <f>WEEKNUM(BD_ControlRegimen[[#This Row],[FECHA]],2)</f>
        <v>27</v>
      </c>
      <c r="C1287" s="7">
        <v>45106</v>
      </c>
      <c r="D1287" s="3" t="s">
        <v>10</v>
      </c>
      <c r="E1287" s="3"/>
      <c r="F1287" s="3"/>
    </row>
    <row r="1288" spans="1:6" hidden="1" x14ac:dyDescent="0.3">
      <c r="A1288" s="7" t="str">
        <f>BD_ControlRegimen[[#This Row],[FECHA]]&amp;BD_ControlRegimen[[#This Row],[NOMBRE]]</f>
        <v>45107AVILA OBLEA PERCY CARLOS</v>
      </c>
      <c r="B1288" s="83">
        <f>WEEKNUM(BD_ControlRegimen[[#This Row],[FECHA]],2)</f>
        <v>27</v>
      </c>
      <c r="C1288" s="7">
        <v>45107</v>
      </c>
      <c r="D1288" s="3" t="s">
        <v>10</v>
      </c>
      <c r="E1288" s="3"/>
      <c r="F1288" s="3"/>
    </row>
    <row r="1289" spans="1:6" hidden="1" x14ac:dyDescent="0.3">
      <c r="A1289" s="7" t="str">
        <f>BD_ControlRegimen[[#This Row],[FECHA]]&amp;BD_ControlRegimen[[#This Row],[NOMBRE]]</f>
        <v>45108AVILA OBLEA PERCY CARLOS</v>
      </c>
      <c r="B1289" s="83">
        <f>WEEKNUM(BD_ControlRegimen[[#This Row],[FECHA]],2)</f>
        <v>27</v>
      </c>
      <c r="C1289" s="7">
        <v>45108</v>
      </c>
      <c r="D1289" s="3" t="s">
        <v>10</v>
      </c>
      <c r="E1289" s="3"/>
      <c r="F1289" s="3"/>
    </row>
    <row r="1290" spans="1:6" hidden="1" x14ac:dyDescent="0.3">
      <c r="A1290" s="7" t="str">
        <f>BD_ControlRegimen[[#This Row],[FECHA]]&amp;BD_ControlRegimen[[#This Row],[NOMBRE]]</f>
        <v>45109AVILA OBLEA PERCY CARLOS</v>
      </c>
      <c r="B1290" s="83">
        <f>WEEKNUM(BD_ControlRegimen[[#This Row],[FECHA]],2)</f>
        <v>27</v>
      </c>
      <c r="C1290" s="7">
        <v>45109</v>
      </c>
      <c r="D1290" s="3" t="s">
        <v>10</v>
      </c>
      <c r="E1290" s="3"/>
      <c r="F1290" s="3"/>
    </row>
    <row r="1291" spans="1:6" hidden="1" x14ac:dyDescent="0.3">
      <c r="A1291" s="7" t="str">
        <f>BD_ControlRegimen[[#This Row],[FECHA]]&amp;BD_ControlRegimen[[#This Row],[NOMBRE]]</f>
        <v>45110AVILA OBLEA PERCY CARLOS</v>
      </c>
      <c r="B1291" s="83">
        <f>WEEKNUM(BD_ControlRegimen[[#This Row],[FECHA]],2)</f>
        <v>28</v>
      </c>
      <c r="C1291" s="7">
        <v>45110</v>
      </c>
      <c r="D1291" s="3" t="s">
        <v>10</v>
      </c>
      <c r="E1291" s="3"/>
      <c r="F1291" s="3"/>
    </row>
    <row r="1292" spans="1:6" hidden="1" x14ac:dyDescent="0.3">
      <c r="A1292" s="7" t="str">
        <f>BD_ControlRegimen[[#This Row],[FECHA]]&amp;BD_ControlRegimen[[#This Row],[NOMBRE]]</f>
        <v>45111AVILA OBLEA PERCY CARLOS</v>
      </c>
      <c r="B1292" s="83">
        <f>WEEKNUM(BD_ControlRegimen[[#This Row],[FECHA]],2)</f>
        <v>28</v>
      </c>
      <c r="C1292" s="7">
        <v>45111</v>
      </c>
      <c r="D1292" s="3" t="s">
        <v>10</v>
      </c>
      <c r="E1292" s="3"/>
      <c r="F1292" s="3"/>
    </row>
    <row r="1293" spans="1:6" hidden="1" x14ac:dyDescent="0.3">
      <c r="A1293" s="7" t="str">
        <f>BD_ControlRegimen[[#This Row],[FECHA]]&amp;BD_ControlRegimen[[#This Row],[NOMBRE]]</f>
        <v>45112AVILA OBLEA PERCY CARLOS</v>
      </c>
      <c r="B1293" s="83">
        <f>WEEKNUM(BD_ControlRegimen[[#This Row],[FECHA]],2)</f>
        <v>28</v>
      </c>
      <c r="C1293" s="7">
        <v>45112</v>
      </c>
      <c r="D1293" s="3" t="s">
        <v>10</v>
      </c>
      <c r="E1293" s="3"/>
      <c r="F1293" s="3"/>
    </row>
    <row r="1294" spans="1:6" hidden="1" x14ac:dyDescent="0.3">
      <c r="A1294" s="7" t="str">
        <f>BD_ControlRegimen[[#This Row],[FECHA]]&amp;BD_ControlRegimen[[#This Row],[NOMBRE]]</f>
        <v>45113AVILA OBLEA PERCY CARLOS</v>
      </c>
      <c r="B1294" s="83">
        <f>WEEKNUM(BD_ControlRegimen[[#This Row],[FECHA]],2)</f>
        <v>28</v>
      </c>
      <c r="C1294" s="7">
        <v>45113</v>
      </c>
      <c r="D1294" s="3" t="s">
        <v>10</v>
      </c>
      <c r="E1294" s="3"/>
      <c r="F1294" s="3"/>
    </row>
    <row r="1295" spans="1:6" hidden="1" x14ac:dyDescent="0.3">
      <c r="A1295" s="7" t="str">
        <f>BD_ControlRegimen[[#This Row],[FECHA]]&amp;BD_ControlRegimen[[#This Row],[NOMBRE]]</f>
        <v>45114AVILA OBLEA PERCY CARLOS</v>
      </c>
      <c r="B1295" s="83">
        <f>WEEKNUM(BD_ControlRegimen[[#This Row],[FECHA]],2)</f>
        <v>28</v>
      </c>
      <c r="C1295" s="7">
        <v>45114</v>
      </c>
      <c r="D1295" s="3" t="s">
        <v>10</v>
      </c>
      <c r="E1295" s="3"/>
      <c r="F1295" s="3"/>
    </row>
    <row r="1296" spans="1:6" hidden="1" x14ac:dyDescent="0.3">
      <c r="A1296" s="7" t="str">
        <f>BD_ControlRegimen[[#This Row],[FECHA]]&amp;BD_ControlRegimen[[#This Row],[NOMBRE]]</f>
        <v>45115AVILA OBLEA PERCY CARLOS</v>
      </c>
      <c r="B1296" s="83">
        <f>WEEKNUM(BD_ControlRegimen[[#This Row],[FECHA]],2)</f>
        <v>28</v>
      </c>
      <c r="C1296" s="7">
        <v>45115</v>
      </c>
      <c r="D1296" s="3" t="s">
        <v>10</v>
      </c>
      <c r="E1296" s="3"/>
      <c r="F1296" s="3"/>
    </row>
    <row r="1297" spans="1:6" hidden="1" x14ac:dyDescent="0.3">
      <c r="A1297" s="7" t="str">
        <f>BD_ControlRegimen[[#This Row],[FECHA]]&amp;BD_ControlRegimen[[#This Row],[NOMBRE]]</f>
        <v>45116AVILA OBLEA PERCY CARLOS</v>
      </c>
      <c r="B1297" s="83">
        <f>WEEKNUM(BD_ControlRegimen[[#This Row],[FECHA]],2)</f>
        <v>28</v>
      </c>
      <c r="C1297" s="7">
        <v>45116</v>
      </c>
      <c r="D1297" s="3" t="s">
        <v>10</v>
      </c>
      <c r="E1297" s="3"/>
      <c r="F1297" s="3"/>
    </row>
    <row r="1298" spans="1:6" hidden="1" x14ac:dyDescent="0.3">
      <c r="A1298" s="7" t="str">
        <f>BD_ControlRegimen[[#This Row],[FECHA]]&amp;BD_ControlRegimen[[#This Row],[NOMBRE]]</f>
        <v>45117AVILA OBLEA PERCY CARLOS</v>
      </c>
      <c r="B1298" s="83">
        <f>WEEKNUM(BD_ControlRegimen[[#This Row],[FECHA]],2)</f>
        <v>29</v>
      </c>
      <c r="C1298" s="7">
        <v>45117</v>
      </c>
      <c r="D1298" s="3" t="s">
        <v>10</v>
      </c>
      <c r="E1298" s="3"/>
      <c r="F1298" s="3"/>
    </row>
    <row r="1299" spans="1:6" hidden="1" x14ac:dyDescent="0.3">
      <c r="A1299" s="7" t="str">
        <f>BD_ControlRegimen[[#This Row],[FECHA]]&amp;BD_ControlRegimen[[#This Row],[NOMBRE]]</f>
        <v>45118AVILA OBLEA PERCY CARLOS</v>
      </c>
      <c r="B1299" s="83">
        <f>WEEKNUM(BD_ControlRegimen[[#This Row],[FECHA]],2)</f>
        <v>29</v>
      </c>
      <c r="C1299" s="7">
        <v>45118</v>
      </c>
      <c r="D1299" s="3" t="s">
        <v>10</v>
      </c>
      <c r="E1299" s="3"/>
      <c r="F1299" s="3"/>
    </row>
    <row r="1300" spans="1:6" hidden="1" x14ac:dyDescent="0.3">
      <c r="A1300" s="7" t="str">
        <f>BD_ControlRegimen[[#This Row],[FECHA]]&amp;BD_ControlRegimen[[#This Row],[NOMBRE]]</f>
        <v>45119AVILA OBLEA PERCY CARLOS</v>
      </c>
      <c r="B1300" s="83">
        <f>WEEKNUM(BD_ControlRegimen[[#This Row],[FECHA]],2)</f>
        <v>29</v>
      </c>
      <c r="C1300" s="7">
        <v>45119</v>
      </c>
      <c r="D1300" s="3" t="s">
        <v>10</v>
      </c>
      <c r="E1300" s="3"/>
      <c r="F1300" s="3"/>
    </row>
    <row r="1301" spans="1:6" hidden="1" x14ac:dyDescent="0.3">
      <c r="A1301" s="7" t="str">
        <f>BD_ControlRegimen[[#This Row],[FECHA]]&amp;BD_ControlRegimen[[#This Row],[NOMBRE]]</f>
        <v>45120AVILA OBLEA PERCY CARLOS</v>
      </c>
      <c r="B1301" s="83">
        <f>WEEKNUM(BD_ControlRegimen[[#This Row],[FECHA]],2)</f>
        <v>29</v>
      </c>
      <c r="C1301" s="7">
        <v>45120</v>
      </c>
      <c r="D1301" s="3" t="s">
        <v>10</v>
      </c>
      <c r="E1301" s="3"/>
      <c r="F1301" s="3"/>
    </row>
    <row r="1302" spans="1:6" hidden="1" x14ac:dyDescent="0.3">
      <c r="A1302" s="7" t="str">
        <f>BD_ControlRegimen[[#This Row],[FECHA]]&amp;BD_ControlRegimen[[#This Row],[NOMBRE]]</f>
        <v>45121AVILA OBLEA PERCY CARLOS</v>
      </c>
      <c r="B1302" s="83">
        <f>WEEKNUM(BD_ControlRegimen[[#This Row],[FECHA]],2)</f>
        <v>29</v>
      </c>
      <c r="C1302" s="7">
        <v>45121</v>
      </c>
      <c r="D1302" s="3" t="s">
        <v>10</v>
      </c>
      <c r="E1302" s="3"/>
      <c r="F1302" s="3"/>
    </row>
    <row r="1303" spans="1:6" hidden="1" x14ac:dyDescent="0.3">
      <c r="A1303" s="7" t="str">
        <f>BD_ControlRegimen[[#This Row],[FECHA]]&amp;BD_ControlRegimen[[#This Row],[NOMBRE]]</f>
        <v>45122AVILA OBLEA PERCY CARLOS</v>
      </c>
      <c r="B1303" s="83">
        <f>WEEKNUM(BD_ControlRegimen[[#This Row],[FECHA]],2)</f>
        <v>29</v>
      </c>
      <c r="C1303" s="7">
        <v>45122</v>
      </c>
      <c r="D1303" s="3" t="s">
        <v>10</v>
      </c>
      <c r="E1303" s="3"/>
      <c r="F1303" s="3"/>
    </row>
    <row r="1304" spans="1:6" hidden="1" x14ac:dyDescent="0.3">
      <c r="A1304" s="7" t="str">
        <f>BD_ControlRegimen[[#This Row],[FECHA]]&amp;BD_ControlRegimen[[#This Row],[NOMBRE]]</f>
        <v>45123AVILA OBLEA PERCY CARLOS</v>
      </c>
      <c r="B1304" s="83">
        <f>WEEKNUM(BD_ControlRegimen[[#This Row],[FECHA]],2)</f>
        <v>29</v>
      </c>
      <c r="C1304" s="7">
        <v>45123</v>
      </c>
      <c r="D1304" s="3" t="s">
        <v>10</v>
      </c>
      <c r="E1304" s="3"/>
      <c r="F1304" s="3"/>
    </row>
    <row r="1305" spans="1:6" hidden="1" x14ac:dyDescent="0.3">
      <c r="A1305" s="7" t="str">
        <f>BD_ControlRegimen[[#This Row],[FECHA]]&amp;BD_ControlRegimen[[#This Row],[NOMBRE]]</f>
        <v>45124AVILA OBLEA PERCY CARLOS</v>
      </c>
      <c r="B1305" s="83">
        <f>WEEKNUM(BD_ControlRegimen[[#This Row],[FECHA]],2)</f>
        <v>30</v>
      </c>
      <c r="C1305" s="7">
        <v>45124</v>
      </c>
      <c r="D1305" s="3" t="s">
        <v>10</v>
      </c>
      <c r="E1305" s="3"/>
      <c r="F1305" s="3"/>
    </row>
    <row r="1306" spans="1:6" hidden="1" x14ac:dyDescent="0.3">
      <c r="A1306" s="7" t="str">
        <f>BD_ControlRegimen[[#This Row],[FECHA]]&amp;BD_ControlRegimen[[#This Row],[NOMBRE]]</f>
        <v>45125AVILA OBLEA PERCY CARLOS</v>
      </c>
      <c r="B1306" s="83">
        <f>WEEKNUM(BD_ControlRegimen[[#This Row],[FECHA]],2)</f>
        <v>30</v>
      </c>
      <c r="C1306" s="7">
        <v>45125</v>
      </c>
      <c r="D1306" s="3" t="s">
        <v>10</v>
      </c>
      <c r="E1306" s="3"/>
      <c r="F1306" s="3"/>
    </row>
    <row r="1307" spans="1:6" hidden="1" x14ac:dyDescent="0.3">
      <c r="A1307" s="7" t="str">
        <f>BD_ControlRegimen[[#This Row],[FECHA]]&amp;BD_ControlRegimen[[#This Row],[NOMBRE]]</f>
        <v>45126AVILA OBLEA PERCY CARLOS</v>
      </c>
      <c r="B1307" s="83">
        <f>WEEKNUM(BD_ControlRegimen[[#This Row],[FECHA]],2)</f>
        <v>30</v>
      </c>
      <c r="C1307" s="7">
        <v>45126</v>
      </c>
      <c r="D1307" s="3" t="s">
        <v>10</v>
      </c>
      <c r="E1307" s="3"/>
      <c r="F1307" s="3"/>
    </row>
    <row r="1308" spans="1:6" hidden="1" x14ac:dyDescent="0.3">
      <c r="A1308" s="7" t="str">
        <f>BD_ControlRegimen[[#This Row],[FECHA]]&amp;BD_ControlRegimen[[#This Row],[NOMBRE]]</f>
        <v>45127AVILA OBLEA PERCY CARLOS</v>
      </c>
      <c r="B1308" s="83">
        <f>WEEKNUM(BD_ControlRegimen[[#This Row],[FECHA]],2)</f>
        <v>30</v>
      </c>
      <c r="C1308" s="7">
        <v>45127</v>
      </c>
      <c r="D1308" s="3" t="s">
        <v>10</v>
      </c>
      <c r="E1308" s="3"/>
      <c r="F1308" s="3"/>
    </row>
    <row r="1309" spans="1:6" hidden="1" x14ac:dyDescent="0.3">
      <c r="A1309" s="7" t="str">
        <f>BD_ControlRegimen[[#This Row],[FECHA]]&amp;BD_ControlRegimen[[#This Row],[NOMBRE]]</f>
        <v>45128AVILA OBLEA PERCY CARLOS</v>
      </c>
      <c r="B1309" s="83">
        <f>WEEKNUM(BD_ControlRegimen[[#This Row],[FECHA]],2)</f>
        <v>30</v>
      </c>
      <c r="C1309" s="7">
        <v>45128</v>
      </c>
      <c r="D1309" s="3" t="s">
        <v>10</v>
      </c>
      <c r="E1309" s="3"/>
      <c r="F1309" s="3"/>
    </row>
    <row r="1310" spans="1:6" hidden="1" x14ac:dyDescent="0.3">
      <c r="A1310" s="7" t="str">
        <f>BD_ControlRegimen[[#This Row],[FECHA]]&amp;BD_ControlRegimen[[#This Row],[NOMBRE]]</f>
        <v>45129AVILA OBLEA PERCY CARLOS</v>
      </c>
      <c r="B1310" s="83">
        <f>WEEKNUM(BD_ControlRegimen[[#This Row],[FECHA]],2)</f>
        <v>30</v>
      </c>
      <c r="C1310" s="7">
        <v>45129</v>
      </c>
      <c r="D1310" s="3" t="s">
        <v>10</v>
      </c>
      <c r="E1310" s="3"/>
      <c r="F1310" s="3"/>
    </row>
    <row r="1311" spans="1:6" hidden="1" x14ac:dyDescent="0.3">
      <c r="A1311" s="7" t="str">
        <f>BD_ControlRegimen[[#This Row],[FECHA]]&amp;BD_ControlRegimen[[#This Row],[NOMBRE]]</f>
        <v>45130AVILA OBLEA PERCY CARLOS</v>
      </c>
      <c r="B1311" s="83">
        <f>WEEKNUM(BD_ControlRegimen[[#This Row],[FECHA]],2)</f>
        <v>30</v>
      </c>
      <c r="C1311" s="7">
        <v>45130</v>
      </c>
      <c r="D1311" s="3" t="s">
        <v>10</v>
      </c>
      <c r="E1311" s="3"/>
      <c r="F1311" s="3"/>
    </row>
    <row r="1312" spans="1:6" hidden="1" x14ac:dyDescent="0.3">
      <c r="A1312" s="7" t="str">
        <f>BD_ControlRegimen[[#This Row],[FECHA]]&amp;BD_ControlRegimen[[#This Row],[NOMBRE]]</f>
        <v>45131AVILA OBLEA PERCY CARLOS</v>
      </c>
      <c r="B1312" s="83">
        <f>WEEKNUM(BD_ControlRegimen[[#This Row],[FECHA]],2)</f>
        <v>31</v>
      </c>
      <c r="C1312" s="7">
        <v>45131</v>
      </c>
      <c r="D1312" s="3" t="s">
        <v>10</v>
      </c>
      <c r="E1312" s="3"/>
      <c r="F1312" s="3"/>
    </row>
    <row r="1313" spans="1:6" hidden="1" x14ac:dyDescent="0.3">
      <c r="A1313" s="7" t="str">
        <f>BD_ControlRegimen[[#This Row],[FECHA]]&amp;BD_ControlRegimen[[#This Row],[NOMBRE]]</f>
        <v>45132AVILA OBLEA PERCY CARLOS</v>
      </c>
      <c r="B1313" s="83">
        <f>WEEKNUM(BD_ControlRegimen[[#This Row],[FECHA]],2)</f>
        <v>31</v>
      </c>
      <c r="C1313" s="7">
        <v>45132</v>
      </c>
      <c r="D1313" s="3" t="s">
        <v>10</v>
      </c>
      <c r="E1313" s="3"/>
      <c r="F1313" s="3"/>
    </row>
    <row r="1314" spans="1:6" hidden="1" x14ac:dyDescent="0.3">
      <c r="A1314" s="7" t="str">
        <f>BD_ControlRegimen[[#This Row],[FECHA]]&amp;BD_ControlRegimen[[#This Row],[NOMBRE]]</f>
        <v>45133AVILA OBLEA PERCY CARLOS</v>
      </c>
      <c r="B1314" s="83">
        <f>WEEKNUM(BD_ControlRegimen[[#This Row],[FECHA]],2)</f>
        <v>31</v>
      </c>
      <c r="C1314" s="7">
        <v>45133</v>
      </c>
      <c r="D1314" s="3" t="s">
        <v>10</v>
      </c>
      <c r="E1314" s="3"/>
      <c r="F1314" s="3"/>
    </row>
    <row r="1315" spans="1:6" hidden="1" x14ac:dyDescent="0.3">
      <c r="A1315" s="7" t="str">
        <f>BD_ControlRegimen[[#This Row],[FECHA]]&amp;BD_ControlRegimen[[#This Row],[NOMBRE]]</f>
        <v>45134AVILA OBLEA PERCY CARLOS</v>
      </c>
      <c r="B1315" s="83">
        <f>WEEKNUM(BD_ControlRegimen[[#This Row],[FECHA]],2)</f>
        <v>31</v>
      </c>
      <c r="C1315" s="7">
        <v>45134</v>
      </c>
      <c r="D1315" s="3" t="s">
        <v>10</v>
      </c>
      <c r="E1315" s="3"/>
      <c r="F1315" s="3"/>
    </row>
    <row r="1316" spans="1:6" hidden="1" x14ac:dyDescent="0.3">
      <c r="A1316" s="7" t="str">
        <f>BD_ControlRegimen[[#This Row],[FECHA]]&amp;BD_ControlRegimen[[#This Row],[NOMBRE]]</f>
        <v>45135AVILA OBLEA PERCY CARLOS</v>
      </c>
      <c r="B1316" s="83">
        <f>WEEKNUM(BD_ControlRegimen[[#This Row],[FECHA]],2)</f>
        <v>31</v>
      </c>
      <c r="C1316" s="7">
        <v>45135</v>
      </c>
      <c r="D1316" s="3" t="s">
        <v>10</v>
      </c>
      <c r="E1316" s="3"/>
      <c r="F1316" s="3"/>
    </row>
    <row r="1317" spans="1:6" hidden="1" x14ac:dyDescent="0.3">
      <c r="A1317" s="7" t="str">
        <f>BD_ControlRegimen[[#This Row],[FECHA]]&amp;BD_ControlRegimen[[#This Row],[NOMBRE]]</f>
        <v>45136AVILA OBLEA PERCY CARLOS</v>
      </c>
      <c r="B1317" s="83">
        <f>WEEKNUM(BD_ControlRegimen[[#This Row],[FECHA]],2)</f>
        <v>31</v>
      </c>
      <c r="C1317" s="7">
        <v>45136</v>
      </c>
      <c r="D1317" s="3" t="s">
        <v>10</v>
      </c>
      <c r="E1317" s="3"/>
      <c r="F1317" s="3"/>
    </row>
    <row r="1318" spans="1:6" hidden="1" x14ac:dyDescent="0.3">
      <c r="A1318" s="7" t="str">
        <f>BD_ControlRegimen[[#This Row],[FECHA]]&amp;BD_ControlRegimen[[#This Row],[NOMBRE]]</f>
        <v>45137AVILA OBLEA PERCY CARLOS</v>
      </c>
      <c r="B1318" s="83">
        <f>WEEKNUM(BD_ControlRegimen[[#This Row],[FECHA]],2)</f>
        <v>31</v>
      </c>
      <c r="C1318" s="7">
        <v>45137</v>
      </c>
      <c r="D1318" s="3" t="s">
        <v>10</v>
      </c>
      <c r="E1318" s="3"/>
      <c r="F1318" s="3"/>
    </row>
    <row r="1319" spans="1:6" hidden="1" x14ac:dyDescent="0.3">
      <c r="A1319" s="7" t="str">
        <f>BD_ControlRegimen[[#This Row],[FECHA]]&amp;BD_ControlRegimen[[#This Row],[NOMBRE]]</f>
        <v>45138AVILA OBLEA PERCY CARLOS</v>
      </c>
      <c r="B1319" s="83">
        <f>WEEKNUM(BD_ControlRegimen[[#This Row],[FECHA]],2)</f>
        <v>32</v>
      </c>
      <c r="C1319" s="7">
        <v>45138</v>
      </c>
      <c r="D1319" s="3" t="s">
        <v>10</v>
      </c>
      <c r="E1319" s="3"/>
      <c r="F1319" s="3"/>
    </row>
    <row r="1320" spans="1:6" hidden="1" x14ac:dyDescent="0.3">
      <c r="A1320" s="7" t="str">
        <f>BD_ControlRegimen[[#This Row],[FECHA]]&amp;BD_ControlRegimen[[#This Row],[NOMBRE]]</f>
        <v>45139AVILA OBLEA PERCY CARLOS</v>
      </c>
      <c r="B1320" s="83">
        <f>WEEKNUM(BD_ControlRegimen[[#This Row],[FECHA]],2)</f>
        <v>32</v>
      </c>
      <c r="C1320" s="7">
        <v>45139</v>
      </c>
      <c r="D1320" s="3" t="s">
        <v>10</v>
      </c>
      <c r="E1320" s="3"/>
      <c r="F1320" s="3"/>
    </row>
    <row r="1321" spans="1:6" hidden="1" x14ac:dyDescent="0.3">
      <c r="A1321" s="7" t="str">
        <f>BD_ControlRegimen[[#This Row],[FECHA]]&amp;BD_ControlRegimen[[#This Row],[NOMBRE]]</f>
        <v>45140AVILA OBLEA PERCY CARLOS</v>
      </c>
      <c r="B1321" s="83">
        <f>WEEKNUM(BD_ControlRegimen[[#This Row],[FECHA]],2)</f>
        <v>32</v>
      </c>
      <c r="C1321" s="7">
        <v>45140</v>
      </c>
      <c r="D1321" s="3" t="s">
        <v>10</v>
      </c>
      <c r="E1321" s="3"/>
      <c r="F1321" s="3"/>
    </row>
    <row r="1322" spans="1:6" hidden="1" x14ac:dyDescent="0.3">
      <c r="A1322" s="7" t="str">
        <f>BD_ControlRegimen[[#This Row],[FECHA]]&amp;BD_ControlRegimen[[#This Row],[NOMBRE]]</f>
        <v>45141AVILA OBLEA PERCY CARLOS</v>
      </c>
      <c r="B1322" s="83">
        <f>WEEKNUM(BD_ControlRegimen[[#This Row],[FECHA]],2)</f>
        <v>32</v>
      </c>
      <c r="C1322" s="7">
        <v>45141</v>
      </c>
      <c r="D1322" s="3" t="s">
        <v>10</v>
      </c>
      <c r="E1322" s="3"/>
      <c r="F1322" s="3"/>
    </row>
    <row r="1323" spans="1:6" hidden="1" x14ac:dyDescent="0.3">
      <c r="A1323" s="7" t="str">
        <f>BD_ControlRegimen[[#This Row],[FECHA]]&amp;BD_ControlRegimen[[#This Row],[NOMBRE]]</f>
        <v>45142AVILA OBLEA PERCY CARLOS</v>
      </c>
      <c r="B1323" s="83">
        <f>WEEKNUM(BD_ControlRegimen[[#This Row],[FECHA]],2)</f>
        <v>32</v>
      </c>
      <c r="C1323" s="7">
        <v>45142</v>
      </c>
      <c r="D1323" s="3" t="s">
        <v>10</v>
      </c>
      <c r="E1323" s="3"/>
      <c r="F1323" s="3"/>
    </row>
    <row r="1324" spans="1:6" hidden="1" x14ac:dyDescent="0.3">
      <c r="A1324" s="7" t="str">
        <f>BD_ControlRegimen[[#This Row],[FECHA]]&amp;BD_ControlRegimen[[#This Row],[NOMBRE]]</f>
        <v>45143AVILA OBLEA PERCY CARLOS</v>
      </c>
      <c r="B1324" s="83">
        <f>WEEKNUM(BD_ControlRegimen[[#This Row],[FECHA]],2)</f>
        <v>32</v>
      </c>
      <c r="C1324" s="7">
        <v>45143</v>
      </c>
      <c r="D1324" s="3" t="s">
        <v>10</v>
      </c>
      <c r="E1324" s="3"/>
      <c r="F1324" s="3"/>
    </row>
    <row r="1325" spans="1:6" hidden="1" x14ac:dyDescent="0.3">
      <c r="A1325" s="7" t="str">
        <f>BD_ControlRegimen[[#This Row],[FECHA]]&amp;BD_ControlRegimen[[#This Row],[NOMBRE]]</f>
        <v>45144AVILA OBLEA PERCY CARLOS</v>
      </c>
      <c r="B1325" s="83">
        <f>WEEKNUM(BD_ControlRegimen[[#This Row],[FECHA]],2)</f>
        <v>32</v>
      </c>
      <c r="C1325" s="7">
        <v>45144</v>
      </c>
      <c r="D1325" s="3" t="s">
        <v>10</v>
      </c>
      <c r="E1325" s="3"/>
      <c r="F1325" s="3"/>
    </row>
    <row r="1326" spans="1:6" hidden="1" x14ac:dyDescent="0.3">
      <c r="A1326" s="7" t="str">
        <f>BD_ControlRegimen[[#This Row],[FECHA]]&amp;BD_ControlRegimen[[#This Row],[NOMBRE]]</f>
        <v>45145AVILA OBLEA PERCY CARLOS</v>
      </c>
      <c r="B1326" s="83">
        <f>WEEKNUM(BD_ControlRegimen[[#This Row],[FECHA]],2)</f>
        <v>33</v>
      </c>
      <c r="C1326" s="7">
        <v>45145</v>
      </c>
      <c r="D1326" s="3" t="s">
        <v>10</v>
      </c>
      <c r="E1326" s="3"/>
      <c r="F1326" s="3"/>
    </row>
    <row r="1327" spans="1:6" hidden="1" x14ac:dyDescent="0.3">
      <c r="A1327" s="7" t="str">
        <f>BD_ControlRegimen[[#This Row],[FECHA]]&amp;BD_ControlRegimen[[#This Row],[NOMBRE]]</f>
        <v>45146AVILA OBLEA PERCY CARLOS</v>
      </c>
      <c r="B1327" s="83">
        <f>WEEKNUM(BD_ControlRegimen[[#This Row],[FECHA]],2)</f>
        <v>33</v>
      </c>
      <c r="C1327" s="7">
        <v>45146</v>
      </c>
      <c r="D1327" s="3" t="s">
        <v>10</v>
      </c>
      <c r="E1327" s="3"/>
      <c r="F1327" s="3"/>
    </row>
    <row r="1328" spans="1:6" hidden="1" x14ac:dyDescent="0.3">
      <c r="A1328" s="7" t="str">
        <f>BD_ControlRegimen[[#This Row],[FECHA]]&amp;BD_ControlRegimen[[#This Row],[NOMBRE]]</f>
        <v>45147AVILA OBLEA PERCY CARLOS</v>
      </c>
      <c r="B1328" s="83">
        <f>WEEKNUM(BD_ControlRegimen[[#This Row],[FECHA]],2)</f>
        <v>33</v>
      </c>
      <c r="C1328" s="7">
        <v>45147</v>
      </c>
      <c r="D1328" s="3" t="s">
        <v>10</v>
      </c>
      <c r="E1328" s="3"/>
      <c r="F1328" s="3"/>
    </row>
    <row r="1329" spans="1:6" hidden="1" x14ac:dyDescent="0.3">
      <c r="A1329" s="7" t="str">
        <f>BD_ControlRegimen[[#This Row],[FECHA]]&amp;BD_ControlRegimen[[#This Row],[NOMBRE]]</f>
        <v>45148AVILA OBLEA PERCY CARLOS</v>
      </c>
      <c r="B1329" s="83">
        <f>WEEKNUM(BD_ControlRegimen[[#This Row],[FECHA]],2)</f>
        <v>33</v>
      </c>
      <c r="C1329" s="7">
        <v>45148</v>
      </c>
      <c r="D1329" s="3" t="s">
        <v>10</v>
      </c>
      <c r="E1329" s="3"/>
      <c r="F1329" s="3"/>
    </row>
    <row r="1330" spans="1:6" hidden="1" x14ac:dyDescent="0.3">
      <c r="A1330" s="7" t="str">
        <f>BD_ControlRegimen[[#This Row],[FECHA]]&amp;BD_ControlRegimen[[#This Row],[NOMBRE]]</f>
        <v>45149AVILA OBLEA PERCY CARLOS</v>
      </c>
      <c r="B1330" s="83">
        <f>WEEKNUM(BD_ControlRegimen[[#This Row],[FECHA]],2)</f>
        <v>33</v>
      </c>
      <c r="C1330" s="7">
        <v>45149</v>
      </c>
      <c r="D1330" s="3" t="s">
        <v>10</v>
      </c>
      <c r="E1330" s="3"/>
      <c r="F1330" s="3"/>
    </row>
    <row r="1331" spans="1:6" hidden="1" x14ac:dyDescent="0.3">
      <c r="A1331" s="7" t="str">
        <f>BD_ControlRegimen[[#This Row],[FECHA]]&amp;BD_ControlRegimen[[#This Row],[NOMBRE]]</f>
        <v>45150AVILA OBLEA PERCY CARLOS</v>
      </c>
      <c r="B1331" s="83">
        <f>WEEKNUM(BD_ControlRegimen[[#This Row],[FECHA]],2)</f>
        <v>33</v>
      </c>
      <c r="C1331" s="7">
        <v>45150</v>
      </c>
      <c r="D1331" s="3" t="s">
        <v>10</v>
      </c>
      <c r="E1331" s="3"/>
      <c r="F1331" s="3"/>
    </row>
    <row r="1332" spans="1:6" hidden="1" x14ac:dyDescent="0.3">
      <c r="A1332" s="7" t="str">
        <f>BD_ControlRegimen[[#This Row],[FECHA]]&amp;BD_ControlRegimen[[#This Row],[NOMBRE]]</f>
        <v>45151AVILA OBLEA PERCY CARLOS</v>
      </c>
      <c r="B1332" s="83">
        <f>WEEKNUM(BD_ControlRegimen[[#This Row],[FECHA]],2)</f>
        <v>33</v>
      </c>
      <c r="C1332" s="7">
        <v>45151</v>
      </c>
      <c r="D1332" s="3" t="s">
        <v>10</v>
      </c>
      <c r="E1332" s="3"/>
      <c r="F1332" s="3"/>
    </row>
    <row r="1333" spans="1:6" hidden="1" x14ac:dyDescent="0.3">
      <c r="A1333" s="7" t="str">
        <f>BD_ControlRegimen[[#This Row],[FECHA]]&amp;BD_ControlRegimen[[#This Row],[NOMBRE]]</f>
        <v>45152AVILA OBLEA PERCY CARLOS</v>
      </c>
      <c r="B1333" s="83">
        <f>WEEKNUM(BD_ControlRegimen[[#This Row],[FECHA]],2)</f>
        <v>34</v>
      </c>
      <c r="C1333" s="7">
        <v>45152</v>
      </c>
      <c r="D1333" s="3" t="s">
        <v>10</v>
      </c>
      <c r="E1333" s="3"/>
      <c r="F1333" s="3"/>
    </row>
    <row r="1334" spans="1:6" hidden="1" x14ac:dyDescent="0.3">
      <c r="A1334" s="7" t="str">
        <f>BD_ControlRegimen[[#This Row],[FECHA]]&amp;BD_ControlRegimen[[#This Row],[NOMBRE]]</f>
        <v>45153AVILA OBLEA PERCY CARLOS</v>
      </c>
      <c r="B1334" s="83">
        <f>WEEKNUM(BD_ControlRegimen[[#This Row],[FECHA]],2)</f>
        <v>34</v>
      </c>
      <c r="C1334" s="7">
        <v>45153</v>
      </c>
      <c r="D1334" s="3" t="s">
        <v>10</v>
      </c>
      <c r="E1334" s="3"/>
      <c r="F1334" s="3"/>
    </row>
    <row r="1335" spans="1:6" hidden="1" x14ac:dyDescent="0.3">
      <c r="A1335" s="7" t="str">
        <f>BD_ControlRegimen[[#This Row],[FECHA]]&amp;BD_ControlRegimen[[#This Row],[NOMBRE]]</f>
        <v>45154AVILA OBLEA PERCY CARLOS</v>
      </c>
      <c r="B1335" s="83">
        <f>WEEKNUM(BD_ControlRegimen[[#This Row],[FECHA]],2)</f>
        <v>34</v>
      </c>
      <c r="C1335" s="7">
        <v>45154</v>
      </c>
      <c r="D1335" s="3" t="s">
        <v>10</v>
      </c>
      <c r="E1335" s="3"/>
      <c r="F1335" s="3"/>
    </row>
    <row r="1336" spans="1:6" hidden="1" x14ac:dyDescent="0.3">
      <c r="A1336" s="7" t="str">
        <f>BD_ControlRegimen[[#This Row],[FECHA]]&amp;BD_ControlRegimen[[#This Row],[NOMBRE]]</f>
        <v>45155AVILA OBLEA PERCY CARLOS</v>
      </c>
      <c r="B1336" s="83">
        <f>WEEKNUM(BD_ControlRegimen[[#This Row],[FECHA]],2)</f>
        <v>34</v>
      </c>
      <c r="C1336" s="7">
        <v>45155</v>
      </c>
      <c r="D1336" s="3" t="s">
        <v>10</v>
      </c>
      <c r="E1336" s="3"/>
      <c r="F1336" s="3"/>
    </row>
    <row r="1337" spans="1:6" hidden="1" x14ac:dyDescent="0.3">
      <c r="A1337" s="7" t="str">
        <f>BD_ControlRegimen[[#This Row],[FECHA]]&amp;BD_ControlRegimen[[#This Row],[NOMBRE]]</f>
        <v>45156AVILA OBLEA PERCY CARLOS</v>
      </c>
      <c r="B1337" s="83">
        <f>WEEKNUM(BD_ControlRegimen[[#This Row],[FECHA]],2)</f>
        <v>34</v>
      </c>
      <c r="C1337" s="7">
        <v>45156</v>
      </c>
      <c r="D1337" s="3" t="s">
        <v>10</v>
      </c>
      <c r="E1337" s="3"/>
      <c r="F1337" s="3"/>
    </row>
    <row r="1338" spans="1:6" hidden="1" x14ac:dyDescent="0.3">
      <c r="A1338" s="7" t="str">
        <f>BD_ControlRegimen[[#This Row],[FECHA]]&amp;BD_ControlRegimen[[#This Row],[NOMBRE]]</f>
        <v>45157AVILA OBLEA PERCY CARLOS</v>
      </c>
      <c r="B1338" s="83">
        <f>WEEKNUM(BD_ControlRegimen[[#This Row],[FECHA]],2)</f>
        <v>34</v>
      </c>
      <c r="C1338" s="7">
        <v>45157</v>
      </c>
      <c r="D1338" s="3" t="s">
        <v>10</v>
      </c>
      <c r="E1338" s="3"/>
      <c r="F1338" s="3"/>
    </row>
    <row r="1339" spans="1:6" hidden="1" x14ac:dyDescent="0.3">
      <c r="A1339" s="7" t="str">
        <f>BD_ControlRegimen[[#This Row],[FECHA]]&amp;BD_ControlRegimen[[#This Row],[NOMBRE]]</f>
        <v>45158AVILA OBLEA PERCY CARLOS</v>
      </c>
      <c r="B1339" s="83">
        <f>WEEKNUM(BD_ControlRegimen[[#This Row],[FECHA]],2)</f>
        <v>34</v>
      </c>
      <c r="C1339" s="7">
        <v>45158</v>
      </c>
      <c r="D1339" s="3" t="s">
        <v>10</v>
      </c>
      <c r="E1339" s="3"/>
      <c r="F1339" s="3"/>
    </row>
    <row r="1340" spans="1:6" hidden="1" x14ac:dyDescent="0.3">
      <c r="A1340" s="7" t="str">
        <f>BD_ControlRegimen[[#This Row],[FECHA]]&amp;BD_ControlRegimen[[#This Row],[NOMBRE]]</f>
        <v>45159AVILA OBLEA PERCY CARLOS</v>
      </c>
      <c r="B1340" s="83">
        <f>WEEKNUM(BD_ControlRegimen[[#This Row],[FECHA]],2)</f>
        <v>35</v>
      </c>
      <c r="C1340" s="7">
        <v>45159</v>
      </c>
      <c r="D1340" s="3" t="s">
        <v>10</v>
      </c>
      <c r="E1340" s="3"/>
      <c r="F1340" s="3"/>
    </row>
    <row r="1341" spans="1:6" hidden="1" x14ac:dyDescent="0.3">
      <c r="A1341" s="7" t="str">
        <f>BD_ControlRegimen[[#This Row],[FECHA]]&amp;BD_ControlRegimen[[#This Row],[NOMBRE]]</f>
        <v>45160AVILA OBLEA PERCY CARLOS</v>
      </c>
      <c r="B1341" s="83">
        <f>WEEKNUM(BD_ControlRegimen[[#This Row],[FECHA]],2)</f>
        <v>35</v>
      </c>
      <c r="C1341" s="7">
        <v>45160</v>
      </c>
      <c r="D1341" s="3" t="s">
        <v>10</v>
      </c>
      <c r="E1341" s="3"/>
      <c r="F1341" s="3"/>
    </row>
    <row r="1342" spans="1:6" hidden="1" x14ac:dyDescent="0.3">
      <c r="A1342" s="7" t="str">
        <f>BD_ControlRegimen[[#This Row],[FECHA]]&amp;BD_ControlRegimen[[#This Row],[NOMBRE]]</f>
        <v>45161AVILA OBLEA PERCY CARLOS</v>
      </c>
      <c r="B1342" s="83">
        <f>WEEKNUM(BD_ControlRegimen[[#This Row],[FECHA]],2)</f>
        <v>35</v>
      </c>
      <c r="C1342" s="7">
        <v>45161</v>
      </c>
      <c r="D1342" s="3" t="s">
        <v>10</v>
      </c>
      <c r="E1342" s="3"/>
      <c r="F1342" s="3"/>
    </row>
    <row r="1343" spans="1:6" hidden="1" x14ac:dyDescent="0.3">
      <c r="A1343" s="7" t="str">
        <f>BD_ControlRegimen[[#This Row],[FECHA]]&amp;BD_ControlRegimen[[#This Row],[NOMBRE]]</f>
        <v>45162AVILA OBLEA PERCY CARLOS</v>
      </c>
      <c r="B1343" s="83">
        <f>WEEKNUM(BD_ControlRegimen[[#This Row],[FECHA]],2)</f>
        <v>35</v>
      </c>
      <c r="C1343" s="7">
        <v>45162</v>
      </c>
      <c r="D1343" s="3" t="s">
        <v>10</v>
      </c>
      <c r="E1343" s="3"/>
      <c r="F1343" s="3"/>
    </row>
    <row r="1344" spans="1:6" hidden="1" x14ac:dyDescent="0.3">
      <c r="A1344" s="7" t="str">
        <f>BD_ControlRegimen[[#This Row],[FECHA]]&amp;BD_ControlRegimen[[#This Row],[NOMBRE]]</f>
        <v>45163AVILA OBLEA PERCY CARLOS</v>
      </c>
      <c r="B1344" s="83">
        <f>WEEKNUM(BD_ControlRegimen[[#This Row],[FECHA]],2)</f>
        <v>35</v>
      </c>
      <c r="C1344" s="7">
        <v>45163</v>
      </c>
      <c r="D1344" s="3" t="s">
        <v>10</v>
      </c>
      <c r="E1344" s="3"/>
      <c r="F1344" s="3"/>
    </row>
    <row r="1345" spans="1:6" hidden="1" x14ac:dyDescent="0.3">
      <c r="A1345" s="7" t="str">
        <f>BD_ControlRegimen[[#This Row],[FECHA]]&amp;BD_ControlRegimen[[#This Row],[NOMBRE]]</f>
        <v>45164AVILA OBLEA PERCY CARLOS</v>
      </c>
      <c r="B1345" s="83">
        <f>WEEKNUM(BD_ControlRegimen[[#This Row],[FECHA]],2)</f>
        <v>35</v>
      </c>
      <c r="C1345" s="7">
        <v>45164</v>
      </c>
      <c r="D1345" s="3" t="s">
        <v>10</v>
      </c>
      <c r="E1345" s="3"/>
      <c r="F1345" s="3"/>
    </row>
    <row r="1346" spans="1:6" hidden="1" x14ac:dyDescent="0.3">
      <c r="A1346" s="7" t="str">
        <f>BD_ControlRegimen[[#This Row],[FECHA]]&amp;BD_ControlRegimen[[#This Row],[NOMBRE]]</f>
        <v>45165AVILA OBLEA PERCY CARLOS</v>
      </c>
      <c r="B1346" s="83">
        <f>WEEKNUM(BD_ControlRegimen[[#This Row],[FECHA]],2)</f>
        <v>35</v>
      </c>
      <c r="C1346" s="7">
        <v>45165</v>
      </c>
      <c r="D1346" s="3" t="s">
        <v>10</v>
      </c>
      <c r="E1346" s="3"/>
      <c r="F1346" s="3"/>
    </row>
    <row r="1347" spans="1:6" hidden="1" x14ac:dyDescent="0.3">
      <c r="A1347" s="7" t="str">
        <f>BD_ControlRegimen[[#This Row],[FECHA]]&amp;BD_ControlRegimen[[#This Row],[NOMBRE]]</f>
        <v>45166AVILA OBLEA PERCY CARLOS</v>
      </c>
      <c r="B1347" s="83">
        <f>WEEKNUM(BD_ControlRegimen[[#This Row],[FECHA]],2)</f>
        <v>36</v>
      </c>
      <c r="C1347" s="7">
        <v>45166</v>
      </c>
      <c r="D1347" s="3" t="s">
        <v>10</v>
      </c>
      <c r="E1347" s="3"/>
      <c r="F1347" s="3"/>
    </row>
    <row r="1348" spans="1:6" hidden="1" x14ac:dyDescent="0.3">
      <c r="A1348" s="7" t="str">
        <f>BD_ControlRegimen[[#This Row],[FECHA]]&amp;BD_ControlRegimen[[#This Row],[NOMBRE]]</f>
        <v>45167AVILA OBLEA PERCY CARLOS</v>
      </c>
      <c r="B1348" s="83">
        <f>WEEKNUM(BD_ControlRegimen[[#This Row],[FECHA]],2)</f>
        <v>36</v>
      </c>
      <c r="C1348" s="7">
        <v>45167</v>
      </c>
      <c r="D1348" s="3" t="s">
        <v>10</v>
      </c>
      <c r="E1348" s="3"/>
      <c r="F1348" s="3"/>
    </row>
    <row r="1349" spans="1:6" hidden="1" x14ac:dyDescent="0.3">
      <c r="A1349" s="7" t="str">
        <f>BD_ControlRegimen[[#This Row],[FECHA]]&amp;BD_ControlRegimen[[#This Row],[NOMBRE]]</f>
        <v>45168AVILA OBLEA PERCY CARLOS</v>
      </c>
      <c r="B1349" s="83">
        <f>WEEKNUM(BD_ControlRegimen[[#This Row],[FECHA]],2)</f>
        <v>36</v>
      </c>
      <c r="C1349" s="7">
        <v>45168</v>
      </c>
      <c r="D1349" s="3" t="s">
        <v>10</v>
      </c>
      <c r="E1349" s="3"/>
      <c r="F1349" s="3"/>
    </row>
    <row r="1350" spans="1:6" hidden="1" x14ac:dyDescent="0.3">
      <c r="A1350" s="7" t="str">
        <f>BD_ControlRegimen[[#This Row],[FECHA]]&amp;BD_ControlRegimen[[#This Row],[NOMBRE]]</f>
        <v>45169AVILA OBLEA PERCY CARLOS</v>
      </c>
      <c r="B1350" s="83">
        <f>WEEKNUM(BD_ControlRegimen[[#This Row],[FECHA]],2)</f>
        <v>36</v>
      </c>
      <c r="C1350" s="7">
        <v>45169</v>
      </c>
      <c r="D1350" s="3" t="s">
        <v>10</v>
      </c>
      <c r="E1350" s="3"/>
      <c r="F1350" s="3"/>
    </row>
    <row r="1351" spans="1:6" hidden="1" x14ac:dyDescent="0.3">
      <c r="A1351" s="7" t="str">
        <f>BD_ControlRegimen[[#This Row],[FECHA]]&amp;BD_ControlRegimen[[#This Row],[NOMBRE]]</f>
        <v>45170AVILA OBLEA PERCY CARLOS</v>
      </c>
      <c r="B1351" s="83">
        <f>WEEKNUM(BD_ControlRegimen[[#This Row],[FECHA]],2)</f>
        <v>36</v>
      </c>
      <c r="C1351" s="7">
        <v>45170</v>
      </c>
      <c r="D1351" s="3" t="s">
        <v>10</v>
      </c>
      <c r="E1351" s="3"/>
      <c r="F1351" s="3"/>
    </row>
    <row r="1352" spans="1:6" hidden="1" x14ac:dyDescent="0.3">
      <c r="A1352" s="7" t="str">
        <f>BD_ControlRegimen[[#This Row],[FECHA]]&amp;BD_ControlRegimen[[#This Row],[NOMBRE]]</f>
        <v>45171AVILA OBLEA PERCY CARLOS</v>
      </c>
      <c r="B1352" s="83">
        <f>WEEKNUM(BD_ControlRegimen[[#This Row],[FECHA]],2)</f>
        <v>36</v>
      </c>
      <c r="C1352" s="7">
        <v>45171</v>
      </c>
      <c r="D1352" s="3" t="s">
        <v>10</v>
      </c>
      <c r="E1352" s="3"/>
      <c r="F1352" s="3"/>
    </row>
    <row r="1353" spans="1:6" hidden="1" x14ac:dyDescent="0.3">
      <c r="A1353" s="7" t="str">
        <f>BD_ControlRegimen[[#This Row],[FECHA]]&amp;BD_ControlRegimen[[#This Row],[NOMBRE]]</f>
        <v>45172AVILA OBLEA PERCY CARLOS</v>
      </c>
      <c r="B1353" s="83">
        <f>WEEKNUM(BD_ControlRegimen[[#This Row],[FECHA]],2)</f>
        <v>36</v>
      </c>
      <c r="C1353" s="7">
        <v>45172</v>
      </c>
      <c r="D1353" s="3" t="s">
        <v>10</v>
      </c>
      <c r="E1353" s="3"/>
      <c r="F1353" s="3"/>
    </row>
    <row r="1354" spans="1:6" hidden="1" x14ac:dyDescent="0.3">
      <c r="A1354" s="7" t="str">
        <f>BD_ControlRegimen[[#This Row],[FECHA]]&amp;BD_ControlRegimen[[#This Row],[NOMBRE]]</f>
        <v>45173AVILA OBLEA PERCY CARLOS</v>
      </c>
      <c r="B1354" s="83">
        <f>WEEKNUM(BD_ControlRegimen[[#This Row],[FECHA]],2)</f>
        <v>37</v>
      </c>
      <c r="C1354" s="7">
        <v>45173</v>
      </c>
      <c r="D1354" s="3" t="s">
        <v>10</v>
      </c>
      <c r="E1354" s="3"/>
      <c r="F1354" s="3"/>
    </row>
    <row r="1355" spans="1:6" hidden="1" x14ac:dyDescent="0.3">
      <c r="A1355" s="7" t="str">
        <f>BD_ControlRegimen[[#This Row],[FECHA]]&amp;BD_ControlRegimen[[#This Row],[NOMBRE]]</f>
        <v>45174AVILA OBLEA PERCY CARLOS</v>
      </c>
      <c r="B1355" s="83">
        <f>WEEKNUM(BD_ControlRegimen[[#This Row],[FECHA]],2)</f>
        <v>37</v>
      </c>
      <c r="C1355" s="7">
        <v>45174</v>
      </c>
      <c r="D1355" s="3" t="s">
        <v>10</v>
      </c>
      <c r="E1355" s="3"/>
      <c r="F1355" s="3"/>
    </row>
    <row r="1356" spans="1:6" hidden="1" x14ac:dyDescent="0.3">
      <c r="A1356" s="7" t="str">
        <f>BD_ControlRegimen[[#This Row],[FECHA]]&amp;BD_ControlRegimen[[#This Row],[NOMBRE]]</f>
        <v>45175AVILA OBLEA PERCY CARLOS</v>
      </c>
      <c r="B1356" s="83">
        <f>WEEKNUM(BD_ControlRegimen[[#This Row],[FECHA]],2)</f>
        <v>37</v>
      </c>
      <c r="C1356" s="7">
        <v>45175</v>
      </c>
      <c r="D1356" s="3" t="s">
        <v>10</v>
      </c>
      <c r="E1356" s="3"/>
      <c r="F1356" s="3"/>
    </row>
    <row r="1357" spans="1:6" hidden="1" x14ac:dyDescent="0.3">
      <c r="A1357" s="7" t="str">
        <f>BD_ControlRegimen[[#This Row],[FECHA]]&amp;BD_ControlRegimen[[#This Row],[NOMBRE]]</f>
        <v>45176AVILA OBLEA PERCY CARLOS</v>
      </c>
      <c r="B1357" s="83">
        <f>WEEKNUM(BD_ControlRegimen[[#This Row],[FECHA]],2)</f>
        <v>37</v>
      </c>
      <c r="C1357" s="7">
        <v>45176</v>
      </c>
      <c r="D1357" s="3" t="s">
        <v>10</v>
      </c>
      <c r="E1357" s="3"/>
      <c r="F1357" s="3"/>
    </row>
    <row r="1358" spans="1:6" hidden="1" x14ac:dyDescent="0.3">
      <c r="A1358" s="7" t="str">
        <f>BD_ControlRegimen[[#This Row],[FECHA]]&amp;BD_ControlRegimen[[#This Row],[NOMBRE]]</f>
        <v>45177AVILA OBLEA PERCY CARLOS</v>
      </c>
      <c r="B1358" s="83">
        <f>WEEKNUM(BD_ControlRegimen[[#This Row],[FECHA]],2)</f>
        <v>37</v>
      </c>
      <c r="C1358" s="7">
        <v>45177</v>
      </c>
      <c r="D1358" s="3" t="s">
        <v>10</v>
      </c>
      <c r="E1358" s="3"/>
      <c r="F1358" s="3"/>
    </row>
    <row r="1359" spans="1:6" hidden="1" x14ac:dyDescent="0.3">
      <c r="A1359" s="7" t="str">
        <f>BD_ControlRegimen[[#This Row],[FECHA]]&amp;BD_ControlRegimen[[#This Row],[NOMBRE]]</f>
        <v>45178AVILA OBLEA PERCY CARLOS</v>
      </c>
      <c r="B1359" s="83">
        <f>WEEKNUM(BD_ControlRegimen[[#This Row],[FECHA]],2)</f>
        <v>37</v>
      </c>
      <c r="C1359" s="7">
        <v>45178</v>
      </c>
      <c r="D1359" s="3" t="s">
        <v>10</v>
      </c>
      <c r="E1359" s="3"/>
      <c r="F1359" s="3"/>
    </row>
    <row r="1360" spans="1:6" hidden="1" x14ac:dyDescent="0.3">
      <c r="A1360" s="7" t="str">
        <f>BD_ControlRegimen[[#This Row],[FECHA]]&amp;BD_ControlRegimen[[#This Row],[NOMBRE]]</f>
        <v>45179AVILA OBLEA PERCY CARLOS</v>
      </c>
      <c r="B1360" s="83">
        <f>WEEKNUM(BD_ControlRegimen[[#This Row],[FECHA]],2)</f>
        <v>37</v>
      </c>
      <c r="C1360" s="7">
        <v>45179</v>
      </c>
      <c r="D1360" s="3" t="s">
        <v>10</v>
      </c>
      <c r="E1360" s="3"/>
      <c r="F1360" s="3"/>
    </row>
    <row r="1361" spans="1:6" hidden="1" x14ac:dyDescent="0.3">
      <c r="A1361" s="7" t="str">
        <f>BD_ControlRegimen[[#This Row],[FECHA]]&amp;BD_ControlRegimen[[#This Row],[NOMBRE]]</f>
        <v>45180AVILA OBLEA PERCY CARLOS</v>
      </c>
      <c r="B1361" s="83">
        <f>WEEKNUM(BD_ControlRegimen[[#This Row],[FECHA]],2)</f>
        <v>38</v>
      </c>
      <c r="C1361" s="7">
        <v>45180</v>
      </c>
      <c r="D1361" s="3" t="s">
        <v>10</v>
      </c>
      <c r="E1361" s="3"/>
      <c r="F1361" s="3"/>
    </row>
    <row r="1362" spans="1:6" hidden="1" x14ac:dyDescent="0.3">
      <c r="A1362" s="7" t="str">
        <f>BD_ControlRegimen[[#This Row],[FECHA]]&amp;BD_ControlRegimen[[#This Row],[NOMBRE]]</f>
        <v>45181AVILA OBLEA PERCY CARLOS</v>
      </c>
      <c r="B1362" s="83">
        <f>WEEKNUM(BD_ControlRegimen[[#This Row],[FECHA]],2)</f>
        <v>38</v>
      </c>
      <c r="C1362" s="7">
        <v>45181</v>
      </c>
      <c r="D1362" s="3" t="s">
        <v>10</v>
      </c>
      <c r="E1362" s="3"/>
      <c r="F1362" s="3"/>
    </row>
    <row r="1363" spans="1:6" hidden="1" x14ac:dyDescent="0.3">
      <c r="A1363" s="7" t="str">
        <f>BD_ControlRegimen[[#This Row],[FECHA]]&amp;BD_ControlRegimen[[#This Row],[NOMBRE]]</f>
        <v>45182AVILA OBLEA PERCY CARLOS</v>
      </c>
      <c r="B1363" s="83">
        <f>WEEKNUM(BD_ControlRegimen[[#This Row],[FECHA]],2)</f>
        <v>38</v>
      </c>
      <c r="C1363" s="7">
        <v>45182</v>
      </c>
      <c r="D1363" s="3" t="s">
        <v>10</v>
      </c>
      <c r="E1363" s="3"/>
      <c r="F1363" s="3"/>
    </row>
    <row r="1364" spans="1:6" hidden="1" x14ac:dyDescent="0.3">
      <c r="A1364" s="7" t="str">
        <f>BD_ControlRegimen[[#This Row],[FECHA]]&amp;BD_ControlRegimen[[#This Row],[NOMBRE]]</f>
        <v>45183AVILA OBLEA PERCY CARLOS</v>
      </c>
      <c r="B1364" s="83">
        <f>WEEKNUM(BD_ControlRegimen[[#This Row],[FECHA]],2)</f>
        <v>38</v>
      </c>
      <c r="C1364" s="7">
        <v>45183</v>
      </c>
      <c r="D1364" s="3" t="s">
        <v>10</v>
      </c>
      <c r="E1364" s="3"/>
      <c r="F1364" s="3"/>
    </row>
    <row r="1365" spans="1:6" hidden="1" x14ac:dyDescent="0.3">
      <c r="A1365" s="7" t="str">
        <f>BD_ControlRegimen[[#This Row],[FECHA]]&amp;BD_ControlRegimen[[#This Row],[NOMBRE]]</f>
        <v>45184AVILA OBLEA PERCY CARLOS</v>
      </c>
      <c r="B1365" s="83">
        <f>WEEKNUM(BD_ControlRegimen[[#This Row],[FECHA]],2)</f>
        <v>38</v>
      </c>
      <c r="C1365" s="7">
        <v>45184</v>
      </c>
      <c r="D1365" s="3" t="s">
        <v>10</v>
      </c>
      <c r="E1365" s="3"/>
      <c r="F1365" s="3"/>
    </row>
    <row r="1366" spans="1:6" hidden="1" x14ac:dyDescent="0.3">
      <c r="A1366" s="7" t="str">
        <f>BD_ControlRegimen[[#This Row],[FECHA]]&amp;BD_ControlRegimen[[#This Row],[NOMBRE]]</f>
        <v>45185AVILA OBLEA PERCY CARLOS</v>
      </c>
      <c r="B1366" s="83">
        <f>WEEKNUM(BD_ControlRegimen[[#This Row],[FECHA]],2)</f>
        <v>38</v>
      </c>
      <c r="C1366" s="7">
        <v>45185</v>
      </c>
      <c r="D1366" s="3" t="s">
        <v>10</v>
      </c>
      <c r="E1366" s="3"/>
      <c r="F1366" s="3"/>
    </row>
    <row r="1367" spans="1:6" hidden="1" x14ac:dyDescent="0.3">
      <c r="A1367" s="7" t="str">
        <f>BD_ControlRegimen[[#This Row],[FECHA]]&amp;BD_ControlRegimen[[#This Row],[NOMBRE]]</f>
        <v>45186AVILA OBLEA PERCY CARLOS</v>
      </c>
      <c r="B1367" s="83">
        <f>WEEKNUM(BD_ControlRegimen[[#This Row],[FECHA]],2)</f>
        <v>38</v>
      </c>
      <c r="C1367" s="7">
        <v>45186</v>
      </c>
      <c r="D1367" s="3" t="s">
        <v>10</v>
      </c>
      <c r="E1367" s="3"/>
      <c r="F1367" s="3"/>
    </row>
    <row r="1368" spans="1:6" hidden="1" x14ac:dyDescent="0.3">
      <c r="A1368" s="7" t="str">
        <f>BD_ControlRegimen[[#This Row],[FECHA]]&amp;BD_ControlRegimen[[#This Row],[NOMBRE]]</f>
        <v>45187AVILA OBLEA PERCY CARLOS</v>
      </c>
      <c r="B1368" s="83">
        <f>WEEKNUM(BD_ControlRegimen[[#This Row],[FECHA]],2)</f>
        <v>39</v>
      </c>
      <c r="C1368" s="7">
        <v>45187</v>
      </c>
      <c r="D1368" s="3" t="s">
        <v>10</v>
      </c>
      <c r="E1368" s="3"/>
      <c r="F1368" s="3"/>
    </row>
    <row r="1369" spans="1:6" hidden="1" x14ac:dyDescent="0.3">
      <c r="A1369" s="7" t="str">
        <f>BD_ControlRegimen[[#This Row],[FECHA]]&amp;BD_ControlRegimen[[#This Row],[NOMBRE]]</f>
        <v>45188AVILA OBLEA PERCY CARLOS</v>
      </c>
      <c r="B1369" s="83">
        <f>WEEKNUM(BD_ControlRegimen[[#This Row],[FECHA]],2)</f>
        <v>39</v>
      </c>
      <c r="C1369" s="7">
        <v>45188</v>
      </c>
      <c r="D1369" s="3" t="s">
        <v>10</v>
      </c>
      <c r="E1369" s="3"/>
      <c r="F1369" s="3"/>
    </row>
    <row r="1370" spans="1:6" hidden="1" x14ac:dyDescent="0.3">
      <c r="A1370" s="7" t="str">
        <f>BD_ControlRegimen[[#This Row],[FECHA]]&amp;BD_ControlRegimen[[#This Row],[NOMBRE]]</f>
        <v>45189AVILA OBLEA PERCY CARLOS</v>
      </c>
      <c r="B1370" s="83">
        <f>WEEKNUM(BD_ControlRegimen[[#This Row],[FECHA]],2)</f>
        <v>39</v>
      </c>
      <c r="C1370" s="7">
        <v>45189</v>
      </c>
      <c r="D1370" s="3" t="s">
        <v>10</v>
      </c>
      <c r="E1370" s="3"/>
      <c r="F1370" s="3"/>
    </row>
    <row r="1371" spans="1:6" hidden="1" x14ac:dyDescent="0.3">
      <c r="A1371" s="7" t="str">
        <f>BD_ControlRegimen[[#This Row],[FECHA]]&amp;BD_ControlRegimen[[#This Row],[NOMBRE]]</f>
        <v>45190AVILA OBLEA PERCY CARLOS</v>
      </c>
      <c r="B1371" s="83">
        <f>WEEKNUM(BD_ControlRegimen[[#This Row],[FECHA]],2)</f>
        <v>39</v>
      </c>
      <c r="C1371" s="7">
        <v>45190</v>
      </c>
      <c r="D1371" s="3" t="s">
        <v>10</v>
      </c>
      <c r="E1371" s="3"/>
      <c r="F1371" s="3"/>
    </row>
    <row r="1372" spans="1:6" hidden="1" x14ac:dyDescent="0.3">
      <c r="A1372" s="7" t="str">
        <f>BD_ControlRegimen[[#This Row],[FECHA]]&amp;BD_ControlRegimen[[#This Row],[NOMBRE]]</f>
        <v>45191AVILA OBLEA PERCY CARLOS</v>
      </c>
      <c r="B1372" s="83">
        <f>WEEKNUM(BD_ControlRegimen[[#This Row],[FECHA]],2)</f>
        <v>39</v>
      </c>
      <c r="C1372" s="7">
        <v>45191</v>
      </c>
      <c r="D1372" s="3" t="s">
        <v>10</v>
      </c>
      <c r="E1372" s="3"/>
      <c r="F1372" s="3"/>
    </row>
    <row r="1373" spans="1:6" hidden="1" x14ac:dyDescent="0.3">
      <c r="A1373" s="7" t="str">
        <f>BD_ControlRegimen[[#This Row],[FECHA]]&amp;BD_ControlRegimen[[#This Row],[NOMBRE]]</f>
        <v>45192AVILA OBLEA PERCY CARLOS</v>
      </c>
      <c r="B1373" s="83">
        <f>WEEKNUM(BD_ControlRegimen[[#This Row],[FECHA]],2)</f>
        <v>39</v>
      </c>
      <c r="C1373" s="7">
        <v>45192</v>
      </c>
      <c r="D1373" s="3" t="s">
        <v>10</v>
      </c>
      <c r="E1373" s="3"/>
      <c r="F1373" s="3"/>
    </row>
    <row r="1374" spans="1:6" hidden="1" x14ac:dyDescent="0.3">
      <c r="A1374" s="7" t="str">
        <f>BD_ControlRegimen[[#This Row],[FECHA]]&amp;BD_ControlRegimen[[#This Row],[NOMBRE]]</f>
        <v>45193AVILA OBLEA PERCY CARLOS</v>
      </c>
      <c r="B1374" s="83">
        <f>WEEKNUM(BD_ControlRegimen[[#This Row],[FECHA]],2)</f>
        <v>39</v>
      </c>
      <c r="C1374" s="7">
        <v>45193</v>
      </c>
      <c r="D1374" s="3" t="s">
        <v>10</v>
      </c>
      <c r="E1374" s="3"/>
      <c r="F1374" s="3"/>
    </row>
    <row r="1375" spans="1:6" hidden="1" x14ac:dyDescent="0.3">
      <c r="A1375" s="7" t="str">
        <f>BD_ControlRegimen[[#This Row],[FECHA]]&amp;BD_ControlRegimen[[#This Row],[NOMBRE]]</f>
        <v>45194AVILA OBLEA PERCY CARLOS</v>
      </c>
      <c r="B1375" s="83">
        <f>WEEKNUM(BD_ControlRegimen[[#This Row],[FECHA]],2)</f>
        <v>40</v>
      </c>
      <c r="C1375" s="7">
        <v>45194</v>
      </c>
      <c r="D1375" s="3" t="s">
        <v>10</v>
      </c>
      <c r="E1375" s="3"/>
      <c r="F1375" s="3"/>
    </row>
    <row r="1376" spans="1:6" hidden="1" x14ac:dyDescent="0.3">
      <c r="A1376" s="7" t="str">
        <f>BD_ControlRegimen[[#This Row],[FECHA]]&amp;BD_ControlRegimen[[#This Row],[NOMBRE]]</f>
        <v>45195AVILA OBLEA PERCY CARLOS</v>
      </c>
      <c r="B1376" s="83">
        <f>WEEKNUM(BD_ControlRegimen[[#This Row],[FECHA]],2)</f>
        <v>40</v>
      </c>
      <c r="C1376" s="7">
        <v>45195</v>
      </c>
      <c r="D1376" s="3" t="s">
        <v>10</v>
      </c>
      <c r="E1376" s="3"/>
      <c r="F1376" s="3"/>
    </row>
    <row r="1377" spans="1:6" hidden="1" x14ac:dyDescent="0.3">
      <c r="A1377" s="7" t="str">
        <f>BD_ControlRegimen[[#This Row],[FECHA]]&amp;BD_ControlRegimen[[#This Row],[NOMBRE]]</f>
        <v>45196AVILA OBLEA PERCY CARLOS</v>
      </c>
      <c r="B1377" s="83">
        <f>WEEKNUM(BD_ControlRegimen[[#This Row],[FECHA]],2)</f>
        <v>40</v>
      </c>
      <c r="C1377" s="7">
        <v>45196</v>
      </c>
      <c r="D1377" s="3" t="s">
        <v>10</v>
      </c>
      <c r="E1377" s="3"/>
      <c r="F1377" s="3"/>
    </row>
    <row r="1378" spans="1:6" hidden="1" x14ac:dyDescent="0.3">
      <c r="A1378" s="7" t="str">
        <f>BD_ControlRegimen[[#This Row],[FECHA]]&amp;BD_ControlRegimen[[#This Row],[NOMBRE]]</f>
        <v>45197AVILA OBLEA PERCY CARLOS</v>
      </c>
      <c r="B1378" s="83">
        <f>WEEKNUM(BD_ControlRegimen[[#This Row],[FECHA]],2)</f>
        <v>40</v>
      </c>
      <c r="C1378" s="7">
        <v>45197</v>
      </c>
      <c r="D1378" s="3" t="s">
        <v>10</v>
      </c>
      <c r="E1378" s="3"/>
      <c r="F1378" s="3"/>
    </row>
    <row r="1379" spans="1:6" hidden="1" x14ac:dyDescent="0.3">
      <c r="A1379" s="7" t="str">
        <f>BD_ControlRegimen[[#This Row],[FECHA]]&amp;BD_ControlRegimen[[#This Row],[NOMBRE]]</f>
        <v>45198AVILA OBLEA PERCY CARLOS</v>
      </c>
      <c r="B1379" s="83">
        <f>WEEKNUM(BD_ControlRegimen[[#This Row],[FECHA]],2)</f>
        <v>40</v>
      </c>
      <c r="C1379" s="7">
        <v>45198</v>
      </c>
      <c r="D1379" s="3" t="s">
        <v>10</v>
      </c>
      <c r="E1379" s="3"/>
      <c r="F1379" s="3"/>
    </row>
    <row r="1380" spans="1:6" hidden="1" x14ac:dyDescent="0.3">
      <c r="A1380" s="7" t="str">
        <f>BD_ControlRegimen[[#This Row],[FECHA]]&amp;BD_ControlRegimen[[#This Row],[NOMBRE]]</f>
        <v>45199AVILA OBLEA PERCY CARLOS</v>
      </c>
      <c r="B1380" s="83">
        <f>WEEKNUM(BD_ControlRegimen[[#This Row],[FECHA]],2)</f>
        <v>40</v>
      </c>
      <c r="C1380" s="7">
        <v>45199</v>
      </c>
      <c r="D1380" s="3" t="s">
        <v>10</v>
      </c>
      <c r="E1380" s="3"/>
      <c r="F1380" s="3"/>
    </row>
    <row r="1381" spans="1:6" hidden="1" x14ac:dyDescent="0.3">
      <c r="A1381" s="7" t="str">
        <f>BD_ControlRegimen[[#This Row],[FECHA]]&amp;BD_ControlRegimen[[#This Row],[NOMBRE]]</f>
        <v>45200AVILA OBLEA PERCY CARLOS</v>
      </c>
      <c r="B1381" s="83">
        <f>WEEKNUM(BD_ControlRegimen[[#This Row],[FECHA]],2)</f>
        <v>40</v>
      </c>
      <c r="C1381" s="7">
        <v>45200</v>
      </c>
      <c r="D1381" s="3" t="s">
        <v>10</v>
      </c>
      <c r="E1381" s="3"/>
      <c r="F1381" s="3"/>
    </row>
    <row r="1382" spans="1:6" hidden="1" x14ac:dyDescent="0.3">
      <c r="A1382" s="7" t="str">
        <f>BD_ControlRegimen[[#This Row],[FECHA]]&amp;BD_ControlRegimen[[#This Row],[NOMBRE]]</f>
        <v>45201AVILA OBLEA PERCY CARLOS</v>
      </c>
      <c r="B1382" s="83">
        <f>WEEKNUM(BD_ControlRegimen[[#This Row],[FECHA]],2)</f>
        <v>41</v>
      </c>
      <c r="C1382" s="7">
        <v>45201</v>
      </c>
      <c r="D1382" s="3" t="s">
        <v>10</v>
      </c>
      <c r="E1382" s="3"/>
      <c r="F1382" s="3"/>
    </row>
    <row r="1383" spans="1:6" hidden="1" x14ac:dyDescent="0.3">
      <c r="A1383" s="7" t="str">
        <f>BD_ControlRegimen[[#This Row],[FECHA]]&amp;BD_ControlRegimen[[#This Row],[NOMBRE]]</f>
        <v>45202AVILA OBLEA PERCY CARLOS</v>
      </c>
      <c r="B1383" s="83">
        <f>WEEKNUM(BD_ControlRegimen[[#This Row],[FECHA]],2)</f>
        <v>41</v>
      </c>
      <c r="C1383" s="7">
        <v>45202</v>
      </c>
      <c r="D1383" s="3" t="s">
        <v>10</v>
      </c>
      <c r="E1383" s="3"/>
      <c r="F1383" s="3"/>
    </row>
    <row r="1384" spans="1:6" hidden="1" x14ac:dyDescent="0.3">
      <c r="A1384" s="7" t="str">
        <f>BD_ControlRegimen[[#This Row],[FECHA]]&amp;BD_ControlRegimen[[#This Row],[NOMBRE]]</f>
        <v>45203AVILA OBLEA PERCY CARLOS</v>
      </c>
      <c r="B1384" s="83">
        <f>WEEKNUM(BD_ControlRegimen[[#This Row],[FECHA]],2)</f>
        <v>41</v>
      </c>
      <c r="C1384" s="7">
        <v>45203</v>
      </c>
      <c r="D1384" s="3" t="s">
        <v>10</v>
      </c>
      <c r="E1384" s="3"/>
      <c r="F1384" s="3"/>
    </row>
    <row r="1385" spans="1:6" hidden="1" x14ac:dyDescent="0.3">
      <c r="A1385" s="7" t="str">
        <f>BD_ControlRegimen[[#This Row],[FECHA]]&amp;BD_ControlRegimen[[#This Row],[NOMBRE]]</f>
        <v>45204AVILA OBLEA PERCY CARLOS</v>
      </c>
      <c r="B1385" s="83">
        <f>WEEKNUM(BD_ControlRegimen[[#This Row],[FECHA]],2)</f>
        <v>41</v>
      </c>
      <c r="C1385" s="7">
        <v>45204</v>
      </c>
      <c r="D1385" s="3" t="s">
        <v>10</v>
      </c>
      <c r="E1385" s="3"/>
      <c r="F1385" s="3"/>
    </row>
    <row r="1386" spans="1:6" hidden="1" x14ac:dyDescent="0.3">
      <c r="A1386" s="7" t="str">
        <f>BD_ControlRegimen[[#This Row],[FECHA]]&amp;BD_ControlRegimen[[#This Row],[NOMBRE]]</f>
        <v>45205AVILA OBLEA PERCY CARLOS</v>
      </c>
      <c r="B1386" s="83">
        <f>WEEKNUM(BD_ControlRegimen[[#This Row],[FECHA]],2)</f>
        <v>41</v>
      </c>
      <c r="C1386" s="7">
        <v>45205</v>
      </c>
      <c r="D1386" s="3" t="s">
        <v>10</v>
      </c>
      <c r="E1386" s="3"/>
      <c r="F1386" s="3"/>
    </row>
    <row r="1387" spans="1:6" hidden="1" x14ac:dyDescent="0.3">
      <c r="A1387" s="7" t="str">
        <f>BD_ControlRegimen[[#This Row],[FECHA]]&amp;BD_ControlRegimen[[#This Row],[NOMBRE]]</f>
        <v>45206AVILA OBLEA PERCY CARLOS</v>
      </c>
      <c r="B1387" s="83">
        <f>WEEKNUM(BD_ControlRegimen[[#This Row],[FECHA]],2)</f>
        <v>41</v>
      </c>
      <c r="C1387" s="7">
        <v>45206</v>
      </c>
      <c r="D1387" s="3" t="s">
        <v>10</v>
      </c>
      <c r="E1387" s="3"/>
      <c r="F1387" s="3"/>
    </row>
    <row r="1388" spans="1:6" hidden="1" x14ac:dyDescent="0.3">
      <c r="A1388" s="7" t="str">
        <f>BD_ControlRegimen[[#This Row],[FECHA]]&amp;BD_ControlRegimen[[#This Row],[NOMBRE]]</f>
        <v>45207AVILA OBLEA PERCY CARLOS</v>
      </c>
      <c r="B1388" s="83">
        <f>WEEKNUM(BD_ControlRegimen[[#This Row],[FECHA]],2)</f>
        <v>41</v>
      </c>
      <c r="C1388" s="7">
        <v>45207</v>
      </c>
      <c r="D1388" s="3" t="s">
        <v>10</v>
      </c>
      <c r="E1388" s="3"/>
      <c r="F1388" s="3"/>
    </row>
    <row r="1389" spans="1:6" hidden="1" x14ac:dyDescent="0.3">
      <c r="A1389" s="7" t="str">
        <f>BD_ControlRegimen[[#This Row],[FECHA]]&amp;BD_ControlRegimen[[#This Row],[NOMBRE]]</f>
        <v>45208AVILA OBLEA PERCY CARLOS</v>
      </c>
      <c r="B1389" s="83">
        <f>WEEKNUM(BD_ControlRegimen[[#This Row],[FECHA]],2)</f>
        <v>42</v>
      </c>
      <c r="C1389" s="7">
        <v>45208</v>
      </c>
      <c r="D1389" s="3" t="s">
        <v>10</v>
      </c>
      <c r="E1389" s="3"/>
      <c r="F1389" s="3"/>
    </row>
    <row r="1390" spans="1:6" hidden="1" x14ac:dyDescent="0.3">
      <c r="A1390" s="7" t="str">
        <f>BD_ControlRegimen[[#This Row],[FECHA]]&amp;BD_ControlRegimen[[#This Row],[NOMBRE]]</f>
        <v>45209AVILA OBLEA PERCY CARLOS</v>
      </c>
      <c r="B1390" s="83">
        <f>WEEKNUM(BD_ControlRegimen[[#This Row],[FECHA]],2)</f>
        <v>42</v>
      </c>
      <c r="C1390" s="7">
        <v>45209</v>
      </c>
      <c r="D1390" s="3" t="s">
        <v>10</v>
      </c>
      <c r="E1390" s="3"/>
      <c r="F1390" s="3"/>
    </row>
    <row r="1391" spans="1:6" hidden="1" x14ac:dyDescent="0.3">
      <c r="A1391" s="7" t="str">
        <f>BD_ControlRegimen[[#This Row],[FECHA]]&amp;BD_ControlRegimen[[#This Row],[NOMBRE]]</f>
        <v>45210AVILA OBLEA PERCY CARLOS</v>
      </c>
      <c r="B1391" s="83">
        <f>WEEKNUM(BD_ControlRegimen[[#This Row],[FECHA]],2)</f>
        <v>42</v>
      </c>
      <c r="C1391" s="7">
        <v>45210</v>
      </c>
      <c r="D1391" s="3" t="s">
        <v>10</v>
      </c>
      <c r="E1391" s="3"/>
      <c r="F1391" s="3"/>
    </row>
    <row r="1392" spans="1:6" hidden="1" x14ac:dyDescent="0.3">
      <c r="A1392" s="7" t="str">
        <f>BD_ControlRegimen[[#This Row],[FECHA]]&amp;BD_ControlRegimen[[#This Row],[NOMBRE]]</f>
        <v>45211AVILA OBLEA PERCY CARLOS</v>
      </c>
      <c r="B1392" s="83">
        <f>WEEKNUM(BD_ControlRegimen[[#This Row],[FECHA]],2)</f>
        <v>42</v>
      </c>
      <c r="C1392" s="7">
        <v>45211</v>
      </c>
      <c r="D1392" s="3" t="s">
        <v>10</v>
      </c>
      <c r="E1392" s="3"/>
      <c r="F1392" s="3"/>
    </row>
    <row r="1393" spans="1:6" hidden="1" x14ac:dyDescent="0.3">
      <c r="A1393" s="7" t="str">
        <f>BD_ControlRegimen[[#This Row],[FECHA]]&amp;BD_ControlRegimen[[#This Row],[NOMBRE]]</f>
        <v>45212AVILA OBLEA PERCY CARLOS</v>
      </c>
      <c r="B1393" s="83">
        <f>WEEKNUM(BD_ControlRegimen[[#This Row],[FECHA]],2)</f>
        <v>42</v>
      </c>
      <c r="C1393" s="7">
        <v>45212</v>
      </c>
      <c r="D1393" s="3" t="s">
        <v>10</v>
      </c>
      <c r="E1393" s="3"/>
      <c r="F1393" s="3"/>
    </row>
    <row r="1394" spans="1:6" hidden="1" x14ac:dyDescent="0.3">
      <c r="A1394" s="7" t="str">
        <f>BD_ControlRegimen[[#This Row],[FECHA]]&amp;BD_ControlRegimen[[#This Row],[NOMBRE]]</f>
        <v>45213AVILA OBLEA PERCY CARLOS</v>
      </c>
      <c r="B1394" s="83">
        <f>WEEKNUM(BD_ControlRegimen[[#This Row],[FECHA]],2)</f>
        <v>42</v>
      </c>
      <c r="C1394" s="7">
        <v>45213</v>
      </c>
      <c r="D1394" s="3" t="s">
        <v>10</v>
      </c>
      <c r="E1394" s="3"/>
      <c r="F1394" s="3"/>
    </row>
    <row r="1395" spans="1:6" hidden="1" x14ac:dyDescent="0.3">
      <c r="A1395" s="7" t="str">
        <f>BD_ControlRegimen[[#This Row],[FECHA]]&amp;BD_ControlRegimen[[#This Row],[NOMBRE]]</f>
        <v>45214AVILA OBLEA PERCY CARLOS</v>
      </c>
      <c r="B1395" s="83">
        <f>WEEKNUM(BD_ControlRegimen[[#This Row],[FECHA]],2)</f>
        <v>42</v>
      </c>
      <c r="C1395" s="7">
        <v>45214</v>
      </c>
      <c r="D1395" s="3" t="s">
        <v>10</v>
      </c>
      <c r="E1395" s="3"/>
      <c r="F1395" s="3"/>
    </row>
    <row r="1396" spans="1:6" hidden="1" x14ac:dyDescent="0.3">
      <c r="A1396" s="7" t="str">
        <f>BD_ControlRegimen[[#This Row],[FECHA]]&amp;BD_ControlRegimen[[#This Row],[NOMBRE]]</f>
        <v>45215AVILA OBLEA PERCY CARLOS</v>
      </c>
      <c r="B1396" s="83">
        <f>WEEKNUM(BD_ControlRegimen[[#This Row],[FECHA]],2)</f>
        <v>43</v>
      </c>
      <c r="C1396" s="7">
        <v>45215</v>
      </c>
      <c r="D1396" s="3" t="s">
        <v>10</v>
      </c>
      <c r="E1396" s="3"/>
      <c r="F1396" s="3"/>
    </row>
    <row r="1397" spans="1:6" hidden="1" x14ac:dyDescent="0.3">
      <c r="A1397" s="7" t="str">
        <f>BD_ControlRegimen[[#This Row],[FECHA]]&amp;BD_ControlRegimen[[#This Row],[NOMBRE]]</f>
        <v>45216AVILA OBLEA PERCY CARLOS</v>
      </c>
      <c r="B1397" s="83">
        <f>WEEKNUM(BD_ControlRegimen[[#This Row],[FECHA]],2)</f>
        <v>43</v>
      </c>
      <c r="C1397" s="7">
        <v>45216</v>
      </c>
      <c r="D1397" s="3" t="s">
        <v>10</v>
      </c>
      <c r="E1397" s="3"/>
      <c r="F1397" s="3"/>
    </row>
    <row r="1398" spans="1:6" hidden="1" x14ac:dyDescent="0.3">
      <c r="A1398" s="7" t="str">
        <f>BD_ControlRegimen[[#This Row],[FECHA]]&amp;BD_ControlRegimen[[#This Row],[NOMBRE]]</f>
        <v>45217AVILA OBLEA PERCY CARLOS</v>
      </c>
      <c r="B1398" s="83">
        <f>WEEKNUM(BD_ControlRegimen[[#This Row],[FECHA]],2)</f>
        <v>43</v>
      </c>
      <c r="C1398" s="7">
        <v>45217</v>
      </c>
      <c r="D1398" s="3" t="s">
        <v>10</v>
      </c>
      <c r="E1398" s="3"/>
      <c r="F1398" s="3"/>
    </row>
    <row r="1399" spans="1:6" hidden="1" x14ac:dyDescent="0.3">
      <c r="A1399" s="7" t="str">
        <f>BD_ControlRegimen[[#This Row],[FECHA]]&amp;BD_ControlRegimen[[#This Row],[NOMBRE]]</f>
        <v>45218AVILA OBLEA PERCY CARLOS</v>
      </c>
      <c r="B1399" s="83">
        <f>WEEKNUM(BD_ControlRegimen[[#This Row],[FECHA]],2)</f>
        <v>43</v>
      </c>
      <c r="C1399" s="7">
        <v>45218</v>
      </c>
      <c r="D1399" s="3" t="s">
        <v>10</v>
      </c>
      <c r="E1399" s="3"/>
      <c r="F1399" s="3"/>
    </row>
    <row r="1400" spans="1:6" hidden="1" x14ac:dyDescent="0.3">
      <c r="A1400" s="7" t="str">
        <f>BD_ControlRegimen[[#This Row],[FECHA]]&amp;BD_ControlRegimen[[#This Row],[NOMBRE]]</f>
        <v>45219AVILA OBLEA PERCY CARLOS</v>
      </c>
      <c r="B1400" s="83">
        <f>WEEKNUM(BD_ControlRegimen[[#This Row],[FECHA]],2)</f>
        <v>43</v>
      </c>
      <c r="C1400" s="7">
        <v>45219</v>
      </c>
      <c r="D1400" s="3" t="s">
        <v>10</v>
      </c>
      <c r="E1400" s="3"/>
      <c r="F1400" s="3"/>
    </row>
    <row r="1401" spans="1:6" hidden="1" x14ac:dyDescent="0.3">
      <c r="A1401" s="7" t="str">
        <f>BD_ControlRegimen[[#This Row],[FECHA]]&amp;BD_ControlRegimen[[#This Row],[NOMBRE]]</f>
        <v>45220AVILA OBLEA PERCY CARLOS</v>
      </c>
      <c r="B1401" s="83">
        <f>WEEKNUM(BD_ControlRegimen[[#This Row],[FECHA]],2)</f>
        <v>43</v>
      </c>
      <c r="C1401" s="7">
        <v>45220</v>
      </c>
      <c r="D1401" s="3" t="s">
        <v>10</v>
      </c>
      <c r="E1401" s="3"/>
      <c r="F1401" s="3"/>
    </row>
    <row r="1402" spans="1:6" hidden="1" x14ac:dyDescent="0.3">
      <c r="A1402" s="7" t="str">
        <f>BD_ControlRegimen[[#This Row],[FECHA]]&amp;BD_ControlRegimen[[#This Row],[NOMBRE]]</f>
        <v>45221AVILA OBLEA PERCY CARLOS</v>
      </c>
      <c r="B1402" s="83">
        <f>WEEKNUM(BD_ControlRegimen[[#This Row],[FECHA]],2)</f>
        <v>43</v>
      </c>
      <c r="C1402" s="7">
        <v>45221</v>
      </c>
      <c r="D1402" s="3" t="s">
        <v>10</v>
      </c>
      <c r="E1402" s="3"/>
      <c r="F1402" s="3"/>
    </row>
    <row r="1403" spans="1:6" hidden="1" x14ac:dyDescent="0.3">
      <c r="A1403" s="7" t="str">
        <f>BD_ControlRegimen[[#This Row],[FECHA]]&amp;BD_ControlRegimen[[#This Row],[NOMBRE]]</f>
        <v>45222AVILA OBLEA PERCY CARLOS</v>
      </c>
      <c r="B1403" s="83">
        <f>WEEKNUM(BD_ControlRegimen[[#This Row],[FECHA]],2)</f>
        <v>44</v>
      </c>
      <c r="C1403" s="7">
        <v>45222</v>
      </c>
      <c r="D1403" s="3" t="s">
        <v>10</v>
      </c>
      <c r="E1403" s="3"/>
      <c r="F1403" s="3"/>
    </row>
    <row r="1404" spans="1:6" hidden="1" x14ac:dyDescent="0.3">
      <c r="A1404" s="7" t="str">
        <f>BD_ControlRegimen[[#This Row],[FECHA]]&amp;BD_ControlRegimen[[#This Row],[NOMBRE]]</f>
        <v>45223AVILA OBLEA PERCY CARLOS</v>
      </c>
      <c r="B1404" s="83">
        <f>WEEKNUM(BD_ControlRegimen[[#This Row],[FECHA]],2)</f>
        <v>44</v>
      </c>
      <c r="C1404" s="7">
        <v>45223</v>
      </c>
      <c r="D1404" s="3" t="s">
        <v>10</v>
      </c>
      <c r="E1404" s="3"/>
      <c r="F1404" s="3"/>
    </row>
    <row r="1405" spans="1:6" hidden="1" x14ac:dyDescent="0.3">
      <c r="A1405" s="7" t="str">
        <f>BD_ControlRegimen[[#This Row],[FECHA]]&amp;BD_ControlRegimen[[#This Row],[NOMBRE]]</f>
        <v>45224AVILA OBLEA PERCY CARLOS</v>
      </c>
      <c r="B1405" s="83">
        <f>WEEKNUM(BD_ControlRegimen[[#This Row],[FECHA]],2)</f>
        <v>44</v>
      </c>
      <c r="C1405" s="7">
        <v>45224</v>
      </c>
      <c r="D1405" s="3" t="s">
        <v>10</v>
      </c>
      <c r="E1405" s="3"/>
      <c r="F1405" s="3"/>
    </row>
    <row r="1406" spans="1:6" hidden="1" x14ac:dyDescent="0.3">
      <c r="A1406" s="7" t="str">
        <f>BD_ControlRegimen[[#This Row],[FECHA]]&amp;BD_ControlRegimen[[#This Row],[NOMBRE]]</f>
        <v>45225AVILA OBLEA PERCY CARLOS</v>
      </c>
      <c r="B1406" s="83">
        <f>WEEKNUM(BD_ControlRegimen[[#This Row],[FECHA]],2)</f>
        <v>44</v>
      </c>
      <c r="C1406" s="7">
        <v>45225</v>
      </c>
      <c r="D1406" s="3" t="s">
        <v>10</v>
      </c>
      <c r="E1406" s="3"/>
      <c r="F1406" s="3"/>
    </row>
    <row r="1407" spans="1:6" hidden="1" x14ac:dyDescent="0.3">
      <c r="A1407" s="7" t="str">
        <f>BD_ControlRegimen[[#This Row],[FECHA]]&amp;BD_ControlRegimen[[#This Row],[NOMBRE]]</f>
        <v>45226AVILA OBLEA PERCY CARLOS</v>
      </c>
      <c r="B1407" s="83">
        <f>WEEKNUM(BD_ControlRegimen[[#This Row],[FECHA]],2)</f>
        <v>44</v>
      </c>
      <c r="C1407" s="7">
        <v>45226</v>
      </c>
      <c r="D1407" s="3" t="s">
        <v>10</v>
      </c>
      <c r="E1407" s="3"/>
      <c r="F1407" s="3"/>
    </row>
    <row r="1408" spans="1:6" hidden="1" x14ac:dyDescent="0.3">
      <c r="A1408" s="7" t="str">
        <f>BD_ControlRegimen[[#This Row],[FECHA]]&amp;BD_ControlRegimen[[#This Row],[NOMBRE]]</f>
        <v>45227AVILA OBLEA PERCY CARLOS</v>
      </c>
      <c r="B1408" s="83">
        <f>WEEKNUM(BD_ControlRegimen[[#This Row],[FECHA]],2)</f>
        <v>44</v>
      </c>
      <c r="C1408" s="7">
        <v>45227</v>
      </c>
      <c r="D1408" s="3" t="s">
        <v>10</v>
      </c>
      <c r="E1408" s="3"/>
      <c r="F1408" s="3"/>
    </row>
    <row r="1409" spans="1:6" hidden="1" x14ac:dyDescent="0.3">
      <c r="A1409" s="7" t="str">
        <f>BD_ControlRegimen[[#This Row],[FECHA]]&amp;BD_ControlRegimen[[#This Row],[NOMBRE]]</f>
        <v>45228AVILA OBLEA PERCY CARLOS</v>
      </c>
      <c r="B1409" s="83">
        <f>WEEKNUM(BD_ControlRegimen[[#This Row],[FECHA]],2)</f>
        <v>44</v>
      </c>
      <c r="C1409" s="7">
        <v>45228</v>
      </c>
      <c r="D1409" s="3" t="s">
        <v>10</v>
      </c>
      <c r="E1409" s="3"/>
      <c r="F1409" s="3"/>
    </row>
    <row r="1410" spans="1:6" hidden="1" x14ac:dyDescent="0.3">
      <c r="A1410" s="7" t="str">
        <f>BD_ControlRegimen[[#This Row],[FECHA]]&amp;BD_ControlRegimen[[#This Row],[NOMBRE]]</f>
        <v>45229AVILA OBLEA PERCY CARLOS</v>
      </c>
      <c r="B1410" s="83">
        <f>WEEKNUM(BD_ControlRegimen[[#This Row],[FECHA]],2)</f>
        <v>45</v>
      </c>
      <c r="C1410" s="7">
        <v>45229</v>
      </c>
      <c r="D1410" s="3" t="s">
        <v>10</v>
      </c>
      <c r="E1410" s="3"/>
      <c r="F1410" s="3"/>
    </row>
    <row r="1411" spans="1:6" hidden="1" x14ac:dyDescent="0.3">
      <c r="A1411" s="7" t="str">
        <f>BD_ControlRegimen[[#This Row],[FECHA]]&amp;BD_ControlRegimen[[#This Row],[NOMBRE]]</f>
        <v>45230AVILA OBLEA PERCY CARLOS</v>
      </c>
      <c r="B1411" s="83">
        <f>WEEKNUM(BD_ControlRegimen[[#This Row],[FECHA]],2)</f>
        <v>45</v>
      </c>
      <c r="C1411" s="7">
        <v>45230</v>
      </c>
      <c r="D1411" s="3" t="s">
        <v>10</v>
      </c>
      <c r="E1411" s="3"/>
      <c r="F1411" s="3"/>
    </row>
    <row r="1412" spans="1:6" hidden="1" x14ac:dyDescent="0.3">
      <c r="A1412" s="7" t="str">
        <f>BD_ControlRegimen[[#This Row],[FECHA]]&amp;BD_ControlRegimen[[#This Row],[NOMBRE]]</f>
        <v>45231AVILA OBLEA PERCY CARLOS</v>
      </c>
      <c r="B1412" s="83">
        <f>WEEKNUM(BD_ControlRegimen[[#This Row],[FECHA]],2)</f>
        <v>45</v>
      </c>
      <c r="C1412" s="7">
        <v>45231</v>
      </c>
      <c r="D1412" s="3" t="s">
        <v>10</v>
      </c>
      <c r="E1412" s="3"/>
      <c r="F1412" s="3"/>
    </row>
    <row r="1413" spans="1:6" hidden="1" x14ac:dyDescent="0.3">
      <c r="A1413" s="7" t="str">
        <f>BD_ControlRegimen[[#This Row],[FECHA]]&amp;BD_ControlRegimen[[#This Row],[NOMBRE]]</f>
        <v>45232AVILA OBLEA PERCY CARLOS</v>
      </c>
      <c r="B1413" s="83">
        <f>WEEKNUM(BD_ControlRegimen[[#This Row],[FECHA]],2)</f>
        <v>45</v>
      </c>
      <c r="C1413" s="7">
        <v>45232</v>
      </c>
      <c r="D1413" s="3" t="s">
        <v>10</v>
      </c>
      <c r="E1413" s="3"/>
      <c r="F1413" s="3"/>
    </row>
    <row r="1414" spans="1:6" hidden="1" x14ac:dyDescent="0.3">
      <c r="A1414" s="7" t="str">
        <f>BD_ControlRegimen[[#This Row],[FECHA]]&amp;BD_ControlRegimen[[#This Row],[NOMBRE]]</f>
        <v>45233AVILA OBLEA PERCY CARLOS</v>
      </c>
      <c r="B1414" s="83">
        <f>WEEKNUM(BD_ControlRegimen[[#This Row],[FECHA]],2)</f>
        <v>45</v>
      </c>
      <c r="C1414" s="7">
        <v>45233</v>
      </c>
      <c r="D1414" s="3" t="s">
        <v>10</v>
      </c>
      <c r="E1414" s="3"/>
      <c r="F1414" s="3"/>
    </row>
    <row r="1415" spans="1:6" hidden="1" x14ac:dyDescent="0.3">
      <c r="A1415" s="7" t="str">
        <f>BD_ControlRegimen[[#This Row],[FECHA]]&amp;BD_ControlRegimen[[#This Row],[NOMBRE]]</f>
        <v>45234AVILA OBLEA PERCY CARLOS</v>
      </c>
      <c r="B1415" s="83">
        <f>WEEKNUM(BD_ControlRegimen[[#This Row],[FECHA]],2)</f>
        <v>45</v>
      </c>
      <c r="C1415" s="7">
        <v>45234</v>
      </c>
      <c r="D1415" s="3" t="s">
        <v>10</v>
      </c>
      <c r="E1415" s="3"/>
      <c r="F1415" s="3"/>
    </row>
    <row r="1416" spans="1:6" hidden="1" x14ac:dyDescent="0.3">
      <c r="A1416" s="7" t="str">
        <f>BD_ControlRegimen[[#This Row],[FECHA]]&amp;BD_ControlRegimen[[#This Row],[NOMBRE]]</f>
        <v>45235AVILA OBLEA PERCY CARLOS</v>
      </c>
      <c r="B1416" s="83">
        <f>WEEKNUM(BD_ControlRegimen[[#This Row],[FECHA]],2)</f>
        <v>45</v>
      </c>
      <c r="C1416" s="7">
        <v>45235</v>
      </c>
      <c r="D1416" s="3" t="s">
        <v>10</v>
      </c>
      <c r="E1416" s="3"/>
      <c r="F1416" s="3"/>
    </row>
    <row r="1417" spans="1:6" hidden="1" x14ac:dyDescent="0.3">
      <c r="A1417" s="7" t="str">
        <f>BD_ControlRegimen[[#This Row],[FECHA]]&amp;BD_ControlRegimen[[#This Row],[NOMBRE]]</f>
        <v>45236AVILA OBLEA PERCY CARLOS</v>
      </c>
      <c r="B1417" s="83">
        <f>WEEKNUM(BD_ControlRegimen[[#This Row],[FECHA]],2)</f>
        <v>46</v>
      </c>
      <c r="C1417" s="7">
        <v>45236</v>
      </c>
      <c r="D1417" s="3" t="s">
        <v>10</v>
      </c>
      <c r="E1417" s="3"/>
      <c r="F1417" s="3"/>
    </row>
    <row r="1418" spans="1:6" hidden="1" x14ac:dyDescent="0.3">
      <c r="A1418" s="7" t="str">
        <f>BD_ControlRegimen[[#This Row],[FECHA]]&amp;BD_ControlRegimen[[#This Row],[NOMBRE]]</f>
        <v>45237AVILA OBLEA PERCY CARLOS</v>
      </c>
      <c r="B1418" s="83">
        <f>WEEKNUM(BD_ControlRegimen[[#This Row],[FECHA]],2)</f>
        <v>46</v>
      </c>
      <c r="C1418" s="7">
        <v>45237</v>
      </c>
      <c r="D1418" s="3" t="s">
        <v>10</v>
      </c>
      <c r="E1418" s="3"/>
      <c r="F1418" s="3"/>
    </row>
    <row r="1419" spans="1:6" hidden="1" x14ac:dyDescent="0.3">
      <c r="A1419" s="7" t="str">
        <f>BD_ControlRegimen[[#This Row],[FECHA]]&amp;BD_ControlRegimen[[#This Row],[NOMBRE]]</f>
        <v>45238AVILA OBLEA PERCY CARLOS</v>
      </c>
      <c r="B1419" s="83">
        <f>WEEKNUM(BD_ControlRegimen[[#This Row],[FECHA]],2)</f>
        <v>46</v>
      </c>
      <c r="C1419" s="7">
        <v>45238</v>
      </c>
      <c r="D1419" s="3" t="s">
        <v>10</v>
      </c>
      <c r="E1419" s="3"/>
      <c r="F1419" s="3"/>
    </row>
    <row r="1420" spans="1:6" hidden="1" x14ac:dyDescent="0.3">
      <c r="A1420" s="7" t="str">
        <f>BD_ControlRegimen[[#This Row],[FECHA]]&amp;BD_ControlRegimen[[#This Row],[NOMBRE]]</f>
        <v>45239AVILA OBLEA PERCY CARLOS</v>
      </c>
      <c r="B1420" s="83">
        <f>WEEKNUM(BD_ControlRegimen[[#This Row],[FECHA]],2)</f>
        <v>46</v>
      </c>
      <c r="C1420" s="7">
        <v>45239</v>
      </c>
      <c r="D1420" s="3" t="s">
        <v>10</v>
      </c>
      <c r="E1420" s="3"/>
      <c r="F1420" s="3"/>
    </row>
    <row r="1421" spans="1:6" hidden="1" x14ac:dyDescent="0.3">
      <c r="A1421" s="7" t="str">
        <f>BD_ControlRegimen[[#This Row],[FECHA]]&amp;BD_ControlRegimen[[#This Row],[NOMBRE]]</f>
        <v>45240AVILA OBLEA PERCY CARLOS</v>
      </c>
      <c r="B1421" s="83">
        <f>WEEKNUM(BD_ControlRegimen[[#This Row],[FECHA]],2)</f>
        <v>46</v>
      </c>
      <c r="C1421" s="7">
        <v>45240</v>
      </c>
      <c r="D1421" s="3" t="s">
        <v>10</v>
      </c>
      <c r="E1421" s="3"/>
      <c r="F1421" s="3"/>
    </row>
    <row r="1422" spans="1:6" hidden="1" x14ac:dyDescent="0.3">
      <c r="A1422" s="7" t="str">
        <f>BD_ControlRegimen[[#This Row],[FECHA]]&amp;BD_ControlRegimen[[#This Row],[NOMBRE]]</f>
        <v>45241AVILA OBLEA PERCY CARLOS</v>
      </c>
      <c r="B1422" s="83">
        <f>WEEKNUM(BD_ControlRegimen[[#This Row],[FECHA]],2)</f>
        <v>46</v>
      </c>
      <c r="C1422" s="7">
        <v>45241</v>
      </c>
      <c r="D1422" s="3" t="s">
        <v>10</v>
      </c>
      <c r="E1422" s="3"/>
      <c r="F1422" s="3"/>
    </row>
    <row r="1423" spans="1:6" hidden="1" x14ac:dyDescent="0.3">
      <c r="A1423" s="7" t="str">
        <f>BD_ControlRegimen[[#This Row],[FECHA]]&amp;BD_ControlRegimen[[#This Row],[NOMBRE]]</f>
        <v>45242AVILA OBLEA PERCY CARLOS</v>
      </c>
      <c r="B1423" s="83">
        <f>WEEKNUM(BD_ControlRegimen[[#This Row],[FECHA]],2)</f>
        <v>46</v>
      </c>
      <c r="C1423" s="7">
        <v>45242</v>
      </c>
      <c r="D1423" s="3" t="s">
        <v>10</v>
      </c>
      <c r="E1423" s="3"/>
      <c r="F1423" s="3"/>
    </row>
    <row r="1424" spans="1:6" hidden="1" x14ac:dyDescent="0.3">
      <c r="A1424" s="7" t="str">
        <f>BD_ControlRegimen[[#This Row],[FECHA]]&amp;BD_ControlRegimen[[#This Row],[NOMBRE]]</f>
        <v>45243AVILA OBLEA PERCY CARLOS</v>
      </c>
      <c r="B1424" s="83">
        <f>WEEKNUM(BD_ControlRegimen[[#This Row],[FECHA]],2)</f>
        <v>47</v>
      </c>
      <c r="C1424" s="7">
        <v>45243</v>
      </c>
      <c r="D1424" s="3" t="s">
        <v>10</v>
      </c>
      <c r="E1424" s="3"/>
      <c r="F1424" s="3"/>
    </row>
    <row r="1425" spans="1:6" hidden="1" x14ac:dyDescent="0.3">
      <c r="A1425" s="7" t="str">
        <f>BD_ControlRegimen[[#This Row],[FECHA]]&amp;BD_ControlRegimen[[#This Row],[NOMBRE]]</f>
        <v>45244AVILA OBLEA PERCY CARLOS</v>
      </c>
      <c r="B1425" s="83">
        <f>WEEKNUM(BD_ControlRegimen[[#This Row],[FECHA]],2)</f>
        <v>47</v>
      </c>
      <c r="C1425" s="7">
        <v>45244</v>
      </c>
      <c r="D1425" s="3" t="s">
        <v>10</v>
      </c>
      <c r="E1425" s="3"/>
      <c r="F1425" s="3"/>
    </row>
    <row r="1426" spans="1:6" hidden="1" x14ac:dyDescent="0.3">
      <c r="A1426" s="7" t="str">
        <f>BD_ControlRegimen[[#This Row],[FECHA]]&amp;BD_ControlRegimen[[#This Row],[NOMBRE]]</f>
        <v>45245AVILA OBLEA PERCY CARLOS</v>
      </c>
      <c r="B1426" s="83">
        <f>WEEKNUM(BD_ControlRegimen[[#This Row],[FECHA]],2)</f>
        <v>47</v>
      </c>
      <c r="C1426" s="7">
        <v>45245</v>
      </c>
      <c r="D1426" s="3" t="s">
        <v>10</v>
      </c>
      <c r="E1426" s="3"/>
      <c r="F1426" s="3"/>
    </row>
    <row r="1427" spans="1:6" hidden="1" x14ac:dyDescent="0.3">
      <c r="A1427" s="7" t="str">
        <f>BD_ControlRegimen[[#This Row],[FECHA]]&amp;BD_ControlRegimen[[#This Row],[NOMBRE]]</f>
        <v>45246AVILA OBLEA PERCY CARLOS</v>
      </c>
      <c r="B1427" s="83">
        <f>WEEKNUM(BD_ControlRegimen[[#This Row],[FECHA]],2)</f>
        <v>47</v>
      </c>
      <c r="C1427" s="7">
        <v>45246</v>
      </c>
      <c r="D1427" s="3" t="s">
        <v>10</v>
      </c>
      <c r="E1427" s="3"/>
      <c r="F1427" s="3"/>
    </row>
    <row r="1428" spans="1:6" hidden="1" x14ac:dyDescent="0.3">
      <c r="A1428" s="7" t="str">
        <f>BD_ControlRegimen[[#This Row],[FECHA]]&amp;BD_ControlRegimen[[#This Row],[NOMBRE]]</f>
        <v>45247AVILA OBLEA PERCY CARLOS</v>
      </c>
      <c r="B1428" s="83">
        <f>WEEKNUM(BD_ControlRegimen[[#This Row],[FECHA]],2)</f>
        <v>47</v>
      </c>
      <c r="C1428" s="7">
        <v>45247</v>
      </c>
      <c r="D1428" s="3" t="s">
        <v>10</v>
      </c>
      <c r="E1428" s="3"/>
      <c r="F1428" s="3"/>
    </row>
    <row r="1429" spans="1:6" hidden="1" x14ac:dyDescent="0.3">
      <c r="A1429" s="7" t="str">
        <f>BD_ControlRegimen[[#This Row],[FECHA]]&amp;BD_ControlRegimen[[#This Row],[NOMBRE]]</f>
        <v>45248AVILA OBLEA PERCY CARLOS</v>
      </c>
      <c r="B1429" s="83">
        <f>WEEKNUM(BD_ControlRegimen[[#This Row],[FECHA]],2)</f>
        <v>47</v>
      </c>
      <c r="C1429" s="7">
        <v>45248</v>
      </c>
      <c r="D1429" s="3" t="s">
        <v>10</v>
      </c>
      <c r="E1429" s="3"/>
      <c r="F1429" s="3"/>
    </row>
    <row r="1430" spans="1:6" hidden="1" x14ac:dyDescent="0.3">
      <c r="A1430" s="7" t="str">
        <f>BD_ControlRegimen[[#This Row],[FECHA]]&amp;BD_ControlRegimen[[#This Row],[NOMBRE]]</f>
        <v>45249AVILA OBLEA PERCY CARLOS</v>
      </c>
      <c r="B1430" s="83">
        <f>WEEKNUM(BD_ControlRegimen[[#This Row],[FECHA]],2)</f>
        <v>47</v>
      </c>
      <c r="C1430" s="7">
        <v>45249</v>
      </c>
      <c r="D1430" s="3" t="s">
        <v>10</v>
      </c>
      <c r="E1430" s="3"/>
      <c r="F1430" s="3"/>
    </row>
    <row r="1431" spans="1:6" hidden="1" x14ac:dyDescent="0.3">
      <c r="A1431" s="7" t="str">
        <f>BD_ControlRegimen[[#This Row],[FECHA]]&amp;BD_ControlRegimen[[#This Row],[NOMBRE]]</f>
        <v>45250AVILA OBLEA PERCY CARLOS</v>
      </c>
      <c r="B1431" s="83">
        <f>WEEKNUM(BD_ControlRegimen[[#This Row],[FECHA]],2)</f>
        <v>48</v>
      </c>
      <c r="C1431" s="7">
        <v>45250</v>
      </c>
      <c r="D1431" s="3" t="s">
        <v>10</v>
      </c>
      <c r="E1431" s="3"/>
      <c r="F1431" s="3"/>
    </row>
    <row r="1432" spans="1:6" hidden="1" x14ac:dyDescent="0.3">
      <c r="A1432" s="7" t="str">
        <f>BD_ControlRegimen[[#This Row],[FECHA]]&amp;BD_ControlRegimen[[#This Row],[NOMBRE]]</f>
        <v>45251AVILA OBLEA PERCY CARLOS</v>
      </c>
      <c r="B1432" s="83">
        <f>WEEKNUM(BD_ControlRegimen[[#This Row],[FECHA]],2)</f>
        <v>48</v>
      </c>
      <c r="C1432" s="7">
        <v>45251</v>
      </c>
      <c r="D1432" s="3" t="s">
        <v>10</v>
      </c>
      <c r="E1432" s="3"/>
      <c r="F1432" s="3"/>
    </row>
    <row r="1433" spans="1:6" hidden="1" x14ac:dyDescent="0.3">
      <c r="A1433" s="7" t="str">
        <f>BD_ControlRegimen[[#This Row],[FECHA]]&amp;BD_ControlRegimen[[#This Row],[NOMBRE]]</f>
        <v>45252AVILA OBLEA PERCY CARLOS</v>
      </c>
      <c r="B1433" s="83">
        <f>WEEKNUM(BD_ControlRegimen[[#This Row],[FECHA]],2)</f>
        <v>48</v>
      </c>
      <c r="C1433" s="7">
        <v>45252</v>
      </c>
      <c r="D1433" s="3" t="s">
        <v>10</v>
      </c>
      <c r="E1433" s="3"/>
      <c r="F1433" s="3"/>
    </row>
    <row r="1434" spans="1:6" hidden="1" x14ac:dyDescent="0.3">
      <c r="A1434" s="7" t="str">
        <f>BD_ControlRegimen[[#This Row],[FECHA]]&amp;BD_ControlRegimen[[#This Row],[NOMBRE]]</f>
        <v>45253AVILA OBLEA PERCY CARLOS</v>
      </c>
      <c r="B1434" s="83">
        <f>WEEKNUM(BD_ControlRegimen[[#This Row],[FECHA]],2)</f>
        <v>48</v>
      </c>
      <c r="C1434" s="7">
        <v>45253</v>
      </c>
      <c r="D1434" s="3" t="s">
        <v>10</v>
      </c>
      <c r="E1434" s="3"/>
      <c r="F1434" s="3"/>
    </row>
    <row r="1435" spans="1:6" hidden="1" x14ac:dyDescent="0.3">
      <c r="A1435" s="7" t="str">
        <f>BD_ControlRegimen[[#This Row],[FECHA]]&amp;BD_ControlRegimen[[#This Row],[NOMBRE]]</f>
        <v>45254AVILA OBLEA PERCY CARLOS</v>
      </c>
      <c r="B1435" s="83">
        <f>WEEKNUM(BD_ControlRegimen[[#This Row],[FECHA]],2)</f>
        <v>48</v>
      </c>
      <c r="C1435" s="7">
        <v>45254</v>
      </c>
      <c r="D1435" s="3" t="s">
        <v>10</v>
      </c>
      <c r="E1435" s="3"/>
      <c r="F1435" s="3"/>
    </row>
    <row r="1436" spans="1:6" hidden="1" x14ac:dyDescent="0.3">
      <c r="A1436" s="7" t="str">
        <f>BD_ControlRegimen[[#This Row],[FECHA]]&amp;BD_ControlRegimen[[#This Row],[NOMBRE]]</f>
        <v>45255AVILA OBLEA PERCY CARLOS</v>
      </c>
      <c r="B1436" s="83">
        <f>WEEKNUM(BD_ControlRegimen[[#This Row],[FECHA]],2)</f>
        <v>48</v>
      </c>
      <c r="C1436" s="7">
        <v>45255</v>
      </c>
      <c r="D1436" s="3" t="s">
        <v>10</v>
      </c>
      <c r="E1436" s="3"/>
      <c r="F1436" s="3"/>
    </row>
    <row r="1437" spans="1:6" hidden="1" x14ac:dyDescent="0.3">
      <c r="A1437" s="7" t="str">
        <f>BD_ControlRegimen[[#This Row],[FECHA]]&amp;BD_ControlRegimen[[#This Row],[NOMBRE]]</f>
        <v>45256AVILA OBLEA PERCY CARLOS</v>
      </c>
      <c r="B1437" s="83">
        <f>WEEKNUM(BD_ControlRegimen[[#This Row],[FECHA]],2)</f>
        <v>48</v>
      </c>
      <c r="C1437" s="7">
        <v>45256</v>
      </c>
      <c r="D1437" s="3" t="s">
        <v>10</v>
      </c>
      <c r="E1437" s="3"/>
      <c r="F1437" s="3"/>
    </row>
    <row r="1438" spans="1:6" hidden="1" x14ac:dyDescent="0.3">
      <c r="A1438" s="7" t="str">
        <f>BD_ControlRegimen[[#This Row],[FECHA]]&amp;BD_ControlRegimen[[#This Row],[NOMBRE]]</f>
        <v>45257AVILA OBLEA PERCY CARLOS</v>
      </c>
      <c r="B1438" s="83">
        <f>WEEKNUM(BD_ControlRegimen[[#This Row],[FECHA]],2)</f>
        <v>49</v>
      </c>
      <c r="C1438" s="7">
        <v>45257</v>
      </c>
      <c r="D1438" s="3" t="s">
        <v>10</v>
      </c>
      <c r="E1438" s="3"/>
      <c r="F1438" s="3"/>
    </row>
    <row r="1439" spans="1:6" hidden="1" x14ac:dyDescent="0.3">
      <c r="A1439" s="7" t="str">
        <f>BD_ControlRegimen[[#This Row],[FECHA]]&amp;BD_ControlRegimen[[#This Row],[NOMBRE]]</f>
        <v>45258AVILA OBLEA PERCY CARLOS</v>
      </c>
      <c r="B1439" s="83">
        <f>WEEKNUM(BD_ControlRegimen[[#This Row],[FECHA]],2)</f>
        <v>49</v>
      </c>
      <c r="C1439" s="7">
        <v>45258</v>
      </c>
      <c r="D1439" s="3" t="s">
        <v>10</v>
      </c>
      <c r="E1439" s="3"/>
      <c r="F1439" s="3"/>
    </row>
    <row r="1440" spans="1:6" hidden="1" x14ac:dyDescent="0.3">
      <c r="A1440" s="7" t="str">
        <f>BD_ControlRegimen[[#This Row],[FECHA]]&amp;BD_ControlRegimen[[#This Row],[NOMBRE]]</f>
        <v>45259AVILA OBLEA PERCY CARLOS</v>
      </c>
      <c r="B1440" s="83">
        <f>WEEKNUM(BD_ControlRegimen[[#This Row],[FECHA]],2)</f>
        <v>49</v>
      </c>
      <c r="C1440" s="7">
        <v>45259</v>
      </c>
      <c r="D1440" s="3" t="s">
        <v>10</v>
      </c>
      <c r="E1440" s="3"/>
      <c r="F1440" s="3"/>
    </row>
    <row r="1441" spans="1:6" hidden="1" x14ac:dyDescent="0.3">
      <c r="A1441" s="7" t="str">
        <f>BD_ControlRegimen[[#This Row],[FECHA]]&amp;BD_ControlRegimen[[#This Row],[NOMBRE]]</f>
        <v>45260AVILA OBLEA PERCY CARLOS</v>
      </c>
      <c r="B1441" s="83">
        <f>WEEKNUM(BD_ControlRegimen[[#This Row],[FECHA]],2)</f>
        <v>49</v>
      </c>
      <c r="C1441" s="7">
        <v>45260</v>
      </c>
      <c r="D1441" s="3" t="s">
        <v>10</v>
      </c>
      <c r="E1441" s="3"/>
      <c r="F1441" s="3"/>
    </row>
    <row r="1442" spans="1:6" hidden="1" x14ac:dyDescent="0.3">
      <c r="A1442" s="7" t="str">
        <f>BD_ControlRegimen[[#This Row],[FECHA]]&amp;BD_ControlRegimen[[#This Row],[NOMBRE]]</f>
        <v>45261AVILA OBLEA PERCY CARLOS</v>
      </c>
      <c r="B1442" s="83">
        <f>WEEKNUM(BD_ControlRegimen[[#This Row],[FECHA]],2)</f>
        <v>49</v>
      </c>
      <c r="C1442" s="7">
        <v>45261</v>
      </c>
      <c r="D1442" s="3" t="s">
        <v>10</v>
      </c>
      <c r="E1442" s="3"/>
      <c r="F1442" s="3"/>
    </row>
    <row r="1443" spans="1:6" hidden="1" x14ac:dyDescent="0.3">
      <c r="A1443" s="7" t="str">
        <f>BD_ControlRegimen[[#This Row],[FECHA]]&amp;BD_ControlRegimen[[#This Row],[NOMBRE]]</f>
        <v>45262AVILA OBLEA PERCY CARLOS</v>
      </c>
      <c r="B1443" s="83">
        <f>WEEKNUM(BD_ControlRegimen[[#This Row],[FECHA]],2)</f>
        <v>49</v>
      </c>
      <c r="C1443" s="7">
        <v>45262</v>
      </c>
      <c r="D1443" s="3" t="s">
        <v>10</v>
      </c>
      <c r="E1443" s="3"/>
      <c r="F1443" s="3"/>
    </row>
    <row r="1444" spans="1:6" hidden="1" x14ac:dyDescent="0.3">
      <c r="A1444" s="7" t="str">
        <f>BD_ControlRegimen[[#This Row],[FECHA]]&amp;BD_ControlRegimen[[#This Row],[NOMBRE]]</f>
        <v>45263AVILA OBLEA PERCY CARLOS</v>
      </c>
      <c r="B1444" s="83">
        <f>WEEKNUM(BD_ControlRegimen[[#This Row],[FECHA]],2)</f>
        <v>49</v>
      </c>
      <c r="C1444" s="7">
        <v>45263</v>
      </c>
      <c r="D1444" s="3" t="s">
        <v>10</v>
      </c>
      <c r="E1444" s="3"/>
      <c r="F1444" s="3"/>
    </row>
    <row r="1445" spans="1:6" hidden="1" x14ac:dyDescent="0.3">
      <c r="A1445" s="7" t="str">
        <f>BD_ControlRegimen[[#This Row],[FECHA]]&amp;BD_ControlRegimen[[#This Row],[NOMBRE]]</f>
        <v>45264AVILA OBLEA PERCY CARLOS</v>
      </c>
      <c r="B1445" s="83">
        <f>WEEKNUM(BD_ControlRegimen[[#This Row],[FECHA]],2)</f>
        <v>50</v>
      </c>
      <c r="C1445" s="7">
        <v>45264</v>
      </c>
      <c r="D1445" s="3" t="s">
        <v>10</v>
      </c>
      <c r="E1445" s="3"/>
      <c r="F1445" s="3"/>
    </row>
    <row r="1446" spans="1:6" hidden="1" x14ac:dyDescent="0.3">
      <c r="A1446" s="7" t="str">
        <f>BD_ControlRegimen[[#This Row],[FECHA]]&amp;BD_ControlRegimen[[#This Row],[NOMBRE]]</f>
        <v>45265AVILA OBLEA PERCY CARLOS</v>
      </c>
      <c r="B1446" s="83">
        <f>WEEKNUM(BD_ControlRegimen[[#This Row],[FECHA]],2)</f>
        <v>50</v>
      </c>
      <c r="C1446" s="7">
        <v>45265</v>
      </c>
      <c r="D1446" s="3" t="s">
        <v>10</v>
      </c>
      <c r="E1446" s="3"/>
      <c r="F1446" s="3"/>
    </row>
    <row r="1447" spans="1:6" hidden="1" x14ac:dyDescent="0.3">
      <c r="A1447" s="7" t="str">
        <f>BD_ControlRegimen[[#This Row],[FECHA]]&amp;BD_ControlRegimen[[#This Row],[NOMBRE]]</f>
        <v>45266AVILA OBLEA PERCY CARLOS</v>
      </c>
      <c r="B1447" s="83">
        <f>WEEKNUM(BD_ControlRegimen[[#This Row],[FECHA]],2)</f>
        <v>50</v>
      </c>
      <c r="C1447" s="7">
        <v>45266</v>
      </c>
      <c r="D1447" s="3" t="s">
        <v>10</v>
      </c>
      <c r="E1447" s="3"/>
      <c r="F1447" s="3"/>
    </row>
    <row r="1448" spans="1:6" hidden="1" x14ac:dyDescent="0.3">
      <c r="A1448" s="7" t="str">
        <f>BD_ControlRegimen[[#This Row],[FECHA]]&amp;BD_ControlRegimen[[#This Row],[NOMBRE]]</f>
        <v>45267AVILA OBLEA PERCY CARLOS</v>
      </c>
      <c r="B1448" s="83">
        <f>WEEKNUM(BD_ControlRegimen[[#This Row],[FECHA]],2)</f>
        <v>50</v>
      </c>
      <c r="C1448" s="7">
        <v>45267</v>
      </c>
      <c r="D1448" s="3" t="s">
        <v>10</v>
      </c>
      <c r="E1448" s="3"/>
      <c r="F1448" s="3"/>
    </row>
    <row r="1449" spans="1:6" hidden="1" x14ac:dyDescent="0.3">
      <c r="A1449" s="7" t="str">
        <f>BD_ControlRegimen[[#This Row],[FECHA]]&amp;BD_ControlRegimen[[#This Row],[NOMBRE]]</f>
        <v>45268AVILA OBLEA PERCY CARLOS</v>
      </c>
      <c r="B1449" s="83">
        <f>WEEKNUM(BD_ControlRegimen[[#This Row],[FECHA]],2)</f>
        <v>50</v>
      </c>
      <c r="C1449" s="7">
        <v>45268</v>
      </c>
      <c r="D1449" s="3" t="s">
        <v>10</v>
      </c>
      <c r="E1449" s="3"/>
      <c r="F1449" s="3"/>
    </row>
    <row r="1450" spans="1:6" hidden="1" x14ac:dyDescent="0.3">
      <c r="A1450" s="7" t="str">
        <f>BD_ControlRegimen[[#This Row],[FECHA]]&amp;BD_ControlRegimen[[#This Row],[NOMBRE]]</f>
        <v>45269AVILA OBLEA PERCY CARLOS</v>
      </c>
      <c r="B1450" s="83">
        <f>WEEKNUM(BD_ControlRegimen[[#This Row],[FECHA]],2)</f>
        <v>50</v>
      </c>
      <c r="C1450" s="7">
        <v>45269</v>
      </c>
      <c r="D1450" s="3" t="s">
        <v>10</v>
      </c>
      <c r="E1450" s="3"/>
      <c r="F1450" s="3"/>
    </row>
    <row r="1451" spans="1:6" hidden="1" x14ac:dyDescent="0.3">
      <c r="A1451" s="7" t="str">
        <f>BD_ControlRegimen[[#This Row],[FECHA]]&amp;BD_ControlRegimen[[#This Row],[NOMBRE]]</f>
        <v>45270AVILA OBLEA PERCY CARLOS</v>
      </c>
      <c r="B1451" s="83">
        <f>WEEKNUM(BD_ControlRegimen[[#This Row],[FECHA]],2)</f>
        <v>50</v>
      </c>
      <c r="C1451" s="7">
        <v>45270</v>
      </c>
      <c r="D1451" s="3" t="s">
        <v>10</v>
      </c>
      <c r="E1451" s="3"/>
      <c r="F1451" s="3"/>
    </row>
    <row r="1452" spans="1:6" hidden="1" x14ac:dyDescent="0.3">
      <c r="A1452" s="7" t="str">
        <f>BD_ControlRegimen[[#This Row],[FECHA]]&amp;BD_ControlRegimen[[#This Row],[NOMBRE]]</f>
        <v>45271AVILA OBLEA PERCY CARLOS</v>
      </c>
      <c r="B1452" s="83">
        <f>WEEKNUM(BD_ControlRegimen[[#This Row],[FECHA]],2)</f>
        <v>51</v>
      </c>
      <c r="C1452" s="7">
        <v>45271</v>
      </c>
      <c r="D1452" s="3" t="s">
        <v>10</v>
      </c>
      <c r="E1452" s="3"/>
      <c r="F1452" s="3"/>
    </row>
    <row r="1453" spans="1:6" hidden="1" x14ac:dyDescent="0.3">
      <c r="A1453" s="7" t="str">
        <f>BD_ControlRegimen[[#This Row],[FECHA]]&amp;BD_ControlRegimen[[#This Row],[NOMBRE]]</f>
        <v>45272AVILA OBLEA PERCY CARLOS</v>
      </c>
      <c r="B1453" s="83">
        <f>WEEKNUM(BD_ControlRegimen[[#This Row],[FECHA]],2)</f>
        <v>51</v>
      </c>
      <c r="C1453" s="7">
        <v>45272</v>
      </c>
      <c r="D1453" s="3" t="s">
        <v>10</v>
      </c>
      <c r="E1453" s="3"/>
      <c r="F1453" s="3"/>
    </row>
    <row r="1454" spans="1:6" hidden="1" x14ac:dyDescent="0.3">
      <c r="A1454" s="7" t="str">
        <f>BD_ControlRegimen[[#This Row],[FECHA]]&amp;BD_ControlRegimen[[#This Row],[NOMBRE]]</f>
        <v>45273AVILA OBLEA PERCY CARLOS</v>
      </c>
      <c r="B1454" s="83">
        <f>WEEKNUM(BD_ControlRegimen[[#This Row],[FECHA]],2)</f>
        <v>51</v>
      </c>
      <c r="C1454" s="7">
        <v>45273</v>
      </c>
      <c r="D1454" s="3" t="s">
        <v>10</v>
      </c>
      <c r="E1454" s="3"/>
      <c r="F1454" s="3"/>
    </row>
    <row r="1455" spans="1:6" hidden="1" x14ac:dyDescent="0.3">
      <c r="A1455" s="7" t="str">
        <f>BD_ControlRegimen[[#This Row],[FECHA]]&amp;BD_ControlRegimen[[#This Row],[NOMBRE]]</f>
        <v>45274AVILA OBLEA PERCY CARLOS</v>
      </c>
      <c r="B1455" s="83">
        <f>WEEKNUM(BD_ControlRegimen[[#This Row],[FECHA]],2)</f>
        <v>51</v>
      </c>
      <c r="C1455" s="7">
        <v>45274</v>
      </c>
      <c r="D1455" s="3" t="s">
        <v>10</v>
      </c>
      <c r="E1455" s="3"/>
      <c r="F1455" s="3"/>
    </row>
    <row r="1456" spans="1:6" hidden="1" x14ac:dyDescent="0.3">
      <c r="A1456" s="7" t="str">
        <f>BD_ControlRegimen[[#This Row],[FECHA]]&amp;BD_ControlRegimen[[#This Row],[NOMBRE]]</f>
        <v>45275AVILA OBLEA PERCY CARLOS</v>
      </c>
      <c r="B1456" s="83">
        <f>WEEKNUM(BD_ControlRegimen[[#This Row],[FECHA]],2)</f>
        <v>51</v>
      </c>
      <c r="C1456" s="7">
        <v>45275</v>
      </c>
      <c r="D1456" s="3" t="s">
        <v>10</v>
      </c>
      <c r="E1456" s="3"/>
      <c r="F1456" s="3"/>
    </row>
    <row r="1457" spans="1:6" hidden="1" x14ac:dyDescent="0.3">
      <c r="A1457" s="7" t="str">
        <f>BD_ControlRegimen[[#This Row],[FECHA]]&amp;BD_ControlRegimen[[#This Row],[NOMBRE]]</f>
        <v>45276AVILA OBLEA PERCY CARLOS</v>
      </c>
      <c r="B1457" s="83">
        <f>WEEKNUM(BD_ControlRegimen[[#This Row],[FECHA]],2)</f>
        <v>51</v>
      </c>
      <c r="C1457" s="7">
        <v>45276</v>
      </c>
      <c r="D1457" s="3" t="s">
        <v>10</v>
      </c>
      <c r="E1457" s="3"/>
      <c r="F1457" s="3"/>
    </row>
    <row r="1458" spans="1:6" hidden="1" x14ac:dyDescent="0.3">
      <c r="A1458" s="7" t="str">
        <f>BD_ControlRegimen[[#This Row],[FECHA]]&amp;BD_ControlRegimen[[#This Row],[NOMBRE]]</f>
        <v>45277AVILA OBLEA PERCY CARLOS</v>
      </c>
      <c r="B1458" s="83">
        <f>WEEKNUM(BD_ControlRegimen[[#This Row],[FECHA]],2)</f>
        <v>51</v>
      </c>
      <c r="C1458" s="7">
        <v>45277</v>
      </c>
      <c r="D1458" s="3" t="s">
        <v>10</v>
      </c>
      <c r="E1458" s="3"/>
      <c r="F1458" s="3"/>
    </row>
    <row r="1459" spans="1:6" hidden="1" x14ac:dyDescent="0.3">
      <c r="A1459" s="7" t="str">
        <f>BD_ControlRegimen[[#This Row],[FECHA]]&amp;BD_ControlRegimen[[#This Row],[NOMBRE]]</f>
        <v>45278AVILA OBLEA PERCY CARLOS</v>
      </c>
      <c r="B1459" s="83">
        <f>WEEKNUM(BD_ControlRegimen[[#This Row],[FECHA]],2)</f>
        <v>52</v>
      </c>
      <c r="C1459" s="7">
        <v>45278</v>
      </c>
      <c r="D1459" s="3" t="s">
        <v>10</v>
      </c>
      <c r="E1459" s="3"/>
      <c r="F1459" s="3"/>
    </row>
    <row r="1460" spans="1:6" hidden="1" x14ac:dyDescent="0.3">
      <c r="A1460" s="7" t="str">
        <f>BD_ControlRegimen[[#This Row],[FECHA]]&amp;BD_ControlRegimen[[#This Row],[NOMBRE]]</f>
        <v>45279AVILA OBLEA PERCY CARLOS</v>
      </c>
      <c r="B1460" s="83">
        <f>WEEKNUM(BD_ControlRegimen[[#This Row],[FECHA]],2)</f>
        <v>52</v>
      </c>
      <c r="C1460" s="7">
        <v>45279</v>
      </c>
      <c r="D1460" s="3" t="s">
        <v>10</v>
      </c>
      <c r="E1460" s="3"/>
      <c r="F1460" s="3"/>
    </row>
    <row r="1461" spans="1:6" hidden="1" x14ac:dyDescent="0.3">
      <c r="A1461" s="7" t="str">
        <f>BD_ControlRegimen[[#This Row],[FECHA]]&amp;BD_ControlRegimen[[#This Row],[NOMBRE]]</f>
        <v>45280AVILA OBLEA PERCY CARLOS</v>
      </c>
      <c r="B1461" s="83">
        <f>WEEKNUM(BD_ControlRegimen[[#This Row],[FECHA]],2)</f>
        <v>52</v>
      </c>
      <c r="C1461" s="7">
        <v>45280</v>
      </c>
      <c r="D1461" s="3" t="s">
        <v>10</v>
      </c>
      <c r="E1461" s="3"/>
      <c r="F1461" s="3"/>
    </row>
    <row r="1462" spans="1:6" hidden="1" x14ac:dyDescent="0.3">
      <c r="A1462" s="7" t="str">
        <f>BD_ControlRegimen[[#This Row],[FECHA]]&amp;BD_ControlRegimen[[#This Row],[NOMBRE]]</f>
        <v>45281AVILA OBLEA PERCY CARLOS</v>
      </c>
      <c r="B1462" s="83">
        <f>WEEKNUM(BD_ControlRegimen[[#This Row],[FECHA]],2)</f>
        <v>52</v>
      </c>
      <c r="C1462" s="7">
        <v>45281</v>
      </c>
      <c r="D1462" s="3" t="s">
        <v>10</v>
      </c>
      <c r="E1462" s="3"/>
      <c r="F1462" s="3"/>
    </row>
    <row r="1463" spans="1:6" hidden="1" x14ac:dyDescent="0.3">
      <c r="A1463" s="7" t="str">
        <f>BD_ControlRegimen[[#This Row],[FECHA]]&amp;BD_ControlRegimen[[#This Row],[NOMBRE]]</f>
        <v>45282AVILA OBLEA PERCY CARLOS</v>
      </c>
      <c r="B1463" s="83">
        <f>WEEKNUM(BD_ControlRegimen[[#This Row],[FECHA]],2)</f>
        <v>52</v>
      </c>
      <c r="C1463" s="7">
        <v>45282</v>
      </c>
      <c r="D1463" s="3" t="s">
        <v>10</v>
      </c>
      <c r="E1463" s="3"/>
      <c r="F1463" s="3"/>
    </row>
    <row r="1464" spans="1:6" hidden="1" x14ac:dyDescent="0.3">
      <c r="A1464" s="7" t="str">
        <f>BD_ControlRegimen[[#This Row],[FECHA]]&amp;BD_ControlRegimen[[#This Row],[NOMBRE]]</f>
        <v>45283AVILA OBLEA PERCY CARLOS</v>
      </c>
      <c r="B1464" s="83">
        <f>WEEKNUM(BD_ControlRegimen[[#This Row],[FECHA]],2)</f>
        <v>52</v>
      </c>
      <c r="C1464" s="7">
        <v>45283</v>
      </c>
      <c r="D1464" s="3" t="s">
        <v>10</v>
      </c>
      <c r="E1464" s="3"/>
      <c r="F1464" s="3"/>
    </row>
    <row r="1465" spans="1:6" hidden="1" x14ac:dyDescent="0.3">
      <c r="A1465" s="7" t="str">
        <f>BD_ControlRegimen[[#This Row],[FECHA]]&amp;BD_ControlRegimen[[#This Row],[NOMBRE]]</f>
        <v>45284AVILA OBLEA PERCY CARLOS</v>
      </c>
      <c r="B1465" s="83">
        <f>WEEKNUM(BD_ControlRegimen[[#This Row],[FECHA]],2)</f>
        <v>52</v>
      </c>
      <c r="C1465" s="7">
        <v>45284</v>
      </c>
      <c r="D1465" s="3" t="s">
        <v>10</v>
      </c>
      <c r="E1465" s="3"/>
      <c r="F1465" s="3"/>
    </row>
    <row r="1466" spans="1:6" hidden="1" x14ac:dyDescent="0.3">
      <c r="A1466" s="7" t="str">
        <f>BD_ControlRegimen[[#This Row],[FECHA]]&amp;BD_ControlRegimen[[#This Row],[NOMBRE]]</f>
        <v>45285AVILA OBLEA PERCY CARLOS</v>
      </c>
      <c r="B1466" s="83">
        <f>WEEKNUM(BD_ControlRegimen[[#This Row],[FECHA]],2)</f>
        <v>53</v>
      </c>
      <c r="C1466" s="7">
        <v>45285</v>
      </c>
      <c r="D1466" s="3" t="s">
        <v>10</v>
      </c>
      <c r="E1466" s="3"/>
      <c r="F1466" s="3"/>
    </row>
    <row r="1467" spans="1:6" hidden="1" x14ac:dyDescent="0.3">
      <c r="A1467" s="7" t="str">
        <f>BD_ControlRegimen[[#This Row],[FECHA]]&amp;BD_ControlRegimen[[#This Row],[NOMBRE]]</f>
        <v>45286AVILA OBLEA PERCY CARLOS</v>
      </c>
      <c r="B1467" s="83">
        <f>WEEKNUM(BD_ControlRegimen[[#This Row],[FECHA]],2)</f>
        <v>53</v>
      </c>
      <c r="C1467" s="7">
        <v>45286</v>
      </c>
      <c r="D1467" s="3" t="s">
        <v>10</v>
      </c>
      <c r="E1467" s="3"/>
      <c r="F1467" s="3"/>
    </row>
    <row r="1468" spans="1:6" hidden="1" x14ac:dyDescent="0.3">
      <c r="A1468" s="7" t="str">
        <f>BD_ControlRegimen[[#This Row],[FECHA]]&amp;BD_ControlRegimen[[#This Row],[NOMBRE]]</f>
        <v>45287AVILA OBLEA PERCY CARLOS</v>
      </c>
      <c r="B1468" s="83">
        <f>WEEKNUM(BD_ControlRegimen[[#This Row],[FECHA]],2)</f>
        <v>53</v>
      </c>
      <c r="C1468" s="7">
        <v>45287</v>
      </c>
      <c r="D1468" s="3" t="s">
        <v>10</v>
      </c>
      <c r="E1468" s="3"/>
      <c r="F1468" s="3"/>
    </row>
    <row r="1469" spans="1:6" hidden="1" x14ac:dyDescent="0.3">
      <c r="A1469" s="7" t="str">
        <f>BD_ControlRegimen[[#This Row],[FECHA]]&amp;BD_ControlRegimen[[#This Row],[NOMBRE]]</f>
        <v>45288AVILA OBLEA PERCY CARLOS</v>
      </c>
      <c r="B1469" s="83">
        <f>WEEKNUM(BD_ControlRegimen[[#This Row],[FECHA]],2)</f>
        <v>53</v>
      </c>
      <c r="C1469" s="7">
        <v>45288</v>
      </c>
      <c r="D1469" s="3" t="s">
        <v>10</v>
      </c>
      <c r="E1469" s="3"/>
      <c r="F1469" s="3"/>
    </row>
    <row r="1470" spans="1:6" hidden="1" x14ac:dyDescent="0.3">
      <c r="A1470" s="7" t="str">
        <f>BD_ControlRegimen[[#This Row],[FECHA]]&amp;BD_ControlRegimen[[#This Row],[NOMBRE]]</f>
        <v>45289AVILA OBLEA PERCY CARLOS</v>
      </c>
      <c r="B1470" s="83">
        <f>WEEKNUM(BD_ControlRegimen[[#This Row],[FECHA]],2)</f>
        <v>53</v>
      </c>
      <c r="C1470" s="7">
        <v>45289</v>
      </c>
      <c r="D1470" s="3" t="s">
        <v>10</v>
      </c>
      <c r="E1470" s="3"/>
      <c r="F1470" s="3"/>
    </row>
    <row r="1471" spans="1:6" hidden="1" x14ac:dyDescent="0.3">
      <c r="A1471" s="7" t="str">
        <f>BD_ControlRegimen[[#This Row],[FECHA]]&amp;BD_ControlRegimen[[#This Row],[NOMBRE]]</f>
        <v>45290AVILA OBLEA PERCY CARLOS</v>
      </c>
      <c r="B1471" s="83">
        <f>WEEKNUM(BD_ControlRegimen[[#This Row],[FECHA]],2)</f>
        <v>53</v>
      </c>
      <c r="C1471" s="7">
        <v>45290</v>
      </c>
      <c r="D1471" s="3" t="s">
        <v>10</v>
      </c>
      <c r="E1471" s="3"/>
      <c r="F1471" s="3"/>
    </row>
    <row r="1472" spans="1:6" hidden="1" x14ac:dyDescent="0.3">
      <c r="A1472" s="7" t="str">
        <f>BD_ControlRegimen[[#This Row],[FECHA]]&amp;BD_ControlRegimen[[#This Row],[NOMBRE]]</f>
        <v>45291AVILA OBLEA PERCY CARLOS</v>
      </c>
      <c r="B1472" s="83">
        <f>WEEKNUM(BD_ControlRegimen[[#This Row],[FECHA]],2)</f>
        <v>53</v>
      </c>
      <c r="C1472" s="7">
        <v>45291</v>
      </c>
      <c r="D1472" s="3" t="s">
        <v>10</v>
      </c>
      <c r="E1472" s="3"/>
      <c r="F1472" s="3"/>
    </row>
    <row r="1473" spans="1:6" hidden="1" x14ac:dyDescent="0.3">
      <c r="A1473" s="99" t="str">
        <f>BD_ControlRegimen[[#This Row],[FECHA]]&amp;BD_ControlRegimen[[#This Row],[NOMBRE]]</f>
        <v>44927COTRINA COTRINA VICTOR EDGARDO</v>
      </c>
      <c r="B1473" s="100">
        <f>WEEKNUM(BD_ControlRegimen[[#This Row],[FECHA]],2)</f>
        <v>1</v>
      </c>
      <c r="C1473" s="99">
        <v>44927</v>
      </c>
      <c r="D1473" s="3" t="s">
        <v>84</v>
      </c>
      <c r="E1473" s="101"/>
      <c r="F1473" s="101"/>
    </row>
    <row r="1474" spans="1:6" hidden="1" x14ac:dyDescent="0.3">
      <c r="A1474" s="99" t="str">
        <f>BD_ControlRegimen[[#This Row],[FECHA]]&amp;BD_ControlRegimen[[#This Row],[NOMBRE]]</f>
        <v>44928COTRINA COTRINA VICTOR EDGARDO</v>
      </c>
      <c r="B1474" s="100">
        <f>WEEKNUM(BD_ControlRegimen[[#This Row],[FECHA]],2)</f>
        <v>2</v>
      </c>
      <c r="C1474" s="99">
        <v>44928</v>
      </c>
      <c r="D1474" s="3" t="s">
        <v>84</v>
      </c>
      <c r="E1474" s="101"/>
      <c r="F1474" s="101"/>
    </row>
    <row r="1475" spans="1:6" hidden="1" x14ac:dyDescent="0.3">
      <c r="A1475" s="99" t="str">
        <f>BD_ControlRegimen[[#This Row],[FECHA]]&amp;BD_ControlRegimen[[#This Row],[NOMBRE]]</f>
        <v>44929COTRINA COTRINA VICTOR EDGARDO</v>
      </c>
      <c r="B1475" s="100">
        <f>WEEKNUM(BD_ControlRegimen[[#This Row],[FECHA]],2)</f>
        <v>2</v>
      </c>
      <c r="C1475" s="99">
        <v>44929</v>
      </c>
      <c r="D1475" s="3" t="s">
        <v>84</v>
      </c>
      <c r="E1475" s="101"/>
      <c r="F1475" s="101"/>
    </row>
    <row r="1476" spans="1:6" hidden="1" x14ac:dyDescent="0.3">
      <c r="A1476" s="99" t="str">
        <f>BD_ControlRegimen[[#This Row],[FECHA]]&amp;BD_ControlRegimen[[#This Row],[NOMBRE]]</f>
        <v>44930COTRINA COTRINA VICTOR EDGARDO</v>
      </c>
      <c r="B1476" s="100">
        <f>WEEKNUM(BD_ControlRegimen[[#This Row],[FECHA]],2)</f>
        <v>2</v>
      </c>
      <c r="C1476" s="99">
        <v>44930</v>
      </c>
      <c r="D1476" s="3" t="s">
        <v>84</v>
      </c>
      <c r="E1476" s="101"/>
      <c r="F1476" s="101"/>
    </row>
    <row r="1477" spans="1:6" hidden="1" x14ac:dyDescent="0.3">
      <c r="A1477" s="99" t="str">
        <f>BD_ControlRegimen[[#This Row],[FECHA]]&amp;BD_ControlRegimen[[#This Row],[NOMBRE]]</f>
        <v>44931COTRINA COTRINA VICTOR EDGARDO</v>
      </c>
      <c r="B1477" s="100">
        <f>WEEKNUM(BD_ControlRegimen[[#This Row],[FECHA]],2)</f>
        <v>2</v>
      </c>
      <c r="C1477" s="99">
        <v>44931</v>
      </c>
      <c r="D1477" s="3" t="s">
        <v>84</v>
      </c>
      <c r="E1477" s="101"/>
      <c r="F1477" s="101"/>
    </row>
    <row r="1478" spans="1:6" hidden="1" x14ac:dyDescent="0.3">
      <c r="A1478" s="99" t="str">
        <f>BD_ControlRegimen[[#This Row],[FECHA]]&amp;BD_ControlRegimen[[#This Row],[NOMBRE]]</f>
        <v>44932COTRINA COTRINA VICTOR EDGARDO</v>
      </c>
      <c r="B1478" s="100">
        <f>WEEKNUM(BD_ControlRegimen[[#This Row],[FECHA]],2)</f>
        <v>2</v>
      </c>
      <c r="C1478" s="99">
        <v>44932</v>
      </c>
      <c r="D1478" s="3" t="s">
        <v>84</v>
      </c>
      <c r="E1478" s="101"/>
      <c r="F1478" s="101"/>
    </row>
    <row r="1479" spans="1:6" hidden="1" x14ac:dyDescent="0.3">
      <c r="A1479" s="99" t="str">
        <f>BD_ControlRegimen[[#This Row],[FECHA]]&amp;BD_ControlRegimen[[#This Row],[NOMBRE]]</f>
        <v>44933COTRINA COTRINA VICTOR EDGARDO</v>
      </c>
      <c r="B1479" s="100">
        <f>WEEKNUM(BD_ControlRegimen[[#This Row],[FECHA]],2)</f>
        <v>2</v>
      </c>
      <c r="C1479" s="99">
        <v>44933</v>
      </c>
      <c r="D1479" s="3" t="s">
        <v>84</v>
      </c>
      <c r="E1479" s="101"/>
      <c r="F1479" s="101"/>
    </row>
    <row r="1480" spans="1:6" hidden="1" x14ac:dyDescent="0.3">
      <c r="A1480" s="99" t="str">
        <f>BD_ControlRegimen[[#This Row],[FECHA]]&amp;BD_ControlRegimen[[#This Row],[NOMBRE]]</f>
        <v>44934COTRINA COTRINA VICTOR EDGARDO</v>
      </c>
      <c r="B1480" s="100">
        <f>WEEKNUM(BD_ControlRegimen[[#This Row],[FECHA]],2)</f>
        <v>2</v>
      </c>
      <c r="C1480" s="99">
        <v>44934</v>
      </c>
      <c r="D1480" s="3" t="s">
        <v>84</v>
      </c>
      <c r="E1480" s="101"/>
      <c r="F1480" s="101"/>
    </row>
    <row r="1481" spans="1:6" hidden="1" x14ac:dyDescent="0.3">
      <c r="A1481" s="99" t="str">
        <f>BD_ControlRegimen[[#This Row],[FECHA]]&amp;BD_ControlRegimen[[#This Row],[NOMBRE]]</f>
        <v>44935COTRINA COTRINA VICTOR EDGARDO</v>
      </c>
      <c r="B1481" s="100">
        <f>WEEKNUM(BD_ControlRegimen[[#This Row],[FECHA]],2)</f>
        <v>3</v>
      </c>
      <c r="C1481" s="99">
        <v>44935</v>
      </c>
      <c r="D1481" s="3" t="s">
        <v>84</v>
      </c>
      <c r="E1481" s="101"/>
      <c r="F1481" s="101"/>
    </row>
    <row r="1482" spans="1:6" hidden="1" x14ac:dyDescent="0.3">
      <c r="A1482" s="99" t="str">
        <f>BD_ControlRegimen[[#This Row],[FECHA]]&amp;BD_ControlRegimen[[#This Row],[NOMBRE]]</f>
        <v>44936COTRINA COTRINA VICTOR EDGARDO</v>
      </c>
      <c r="B1482" s="100">
        <f>WEEKNUM(BD_ControlRegimen[[#This Row],[FECHA]],2)</f>
        <v>3</v>
      </c>
      <c r="C1482" s="99">
        <v>44936</v>
      </c>
      <c r="D1482" s="3" t="s">
        <v>84</v>
      </c>
      <c r="E1482" s="101"/>
      <c r="F1482" s="101"/>
    </row>
    <row r="1483" spans="1:6" hidden="1" x14ac:dyDescent="0.3">
      <c r="A1483" s="99" t="str">
        <f>BD_ControlRegimen[[#This Row],[FECHA]]&amp;BD_ControlRegimen[[#This Row],[NOMBRE]]</f>
        <v>44937COTRINA COTRINA VICTOR EDGARDO</v>
      </c>
      <c r="B1483" s="100">
        <f>WEEKNUM(BD_ControlRegimen[[#This Row],[FECHA]],2)</f>
        <v>3</v>
      </c>
      <c r="C1483" s="99">
        <v>44937</v>
      </c>
      <c r="D1483" s="3" t="s">
        <v>84</v>
      </c>
      <c r="E1483" s="101"/>
      <c r="F1483" s="101"/>
    </row>
    <row r="1484" spans="1:6" hidden="1" x14ac:dyDescent="0.3">
      <c r="A1484" s="99" t="str">
        <f>BD_ControlRegimen[[#This Row],[FECHA]]&amp;BD_ControlRegimen[[#This Row],[NOMBRE]]</f>
        <v>44938COTRINA COTRINA VICTOR EDGARDO</v>
      </c>
      <c r="B1484" s="100">
        <f>WEEKNUM(BD_ControlRegimen[[#This Row],[FECHA]],2)</f>
        <v>3</v>
      </c>
      <c r="C1484" s="99">
        <v>44938</v>
      </c>
      <c r="D1484" s="3" t="s">
        <v>84</v>
      </c>
      <c r="E1484" s="101"/>
      <c r="F1484" s="101"/>
    </row>
    <row r="1485" spans="1:6" hidden="1" x14ac:dyDescent="0.3">
      <c r="A1485" s="99" t="str">
        <f>BD_ControlRegimen[[#This Row],[FECHA]]&amp;BD_ControlRegimen[[#This Row],[NOMBRE]]</f>
        <v>44939COTRINA COTRINA VICTOR EDGARDO</v>
      </c>
      <c r="B1485" s="100">
        <f>WEEKNUM(BD_ControlRegimen[[#This Row],[FECHA]],2)</f>
        <v>3</v>
      </c>
      <c r="C1485" s="99">
        <v>44939</v>
      </c>
      <c r="D1485" s="3" t="s">
        <v>84</v>
      </c>
      <c r="E1485" s="101"/>
      <c r="F1485" s="101"/>
    </row>
    <row r="1486" spans="1:6" hidden="1" x14ac:dyDescent="0.3">
      <c r="A1486" s="99" t="str">
        <f>BD_ControlRegimen[[#This Row],[FECHA]]&amp;BD_ControlRegimen[[#This Row],[NOMBRE]]</f>
        <v>44940COTRINA COTRINA VICTOR EDGARDO</v>
      </c>
      <c r="B1486" s="100">
        <f>WEEKNUM(BD_ControlRegimen[[#This Row],[FECHA]],2)</f>
        <v>3</v>
      </c>
      <c r="C1486" s="99">
        <v>44940</v>
      </c>
      <c r="D1486" s="3" t="s">
        <v>84</v>
      </c>
      <c r="E1486" s="101"/>
      <c r="F1486" s="101"/>
    </row>
    <row r="1487" spans="1:6" hidden="1" x14ac:dyDescent="0.3">
      <c r="A1487" s="99" t="str">
        <f>BD_ControlRegimen[[#This Row],[FECHA]]&amp;BD_ControlRegimen[[#This Row],[NOMBRE]]</f>
        <v>44941COTRINA COTRINA VICTOR EDGARDO</v>
      </c>
      <c r="B1487" s="100">
        <f>WEEKNUM(BD_ControlRegimen[[#This Row],[FECHA]],2)</f>
        <v>3</v>
      </c>
      <c r="C1487" s="99">
        <v>44941</v>
      </c>
      <c r="D1487" s="3" t="s">
        <v>84</v>
      </c>
      <c r="E1487" s="101"/>
      <c r="F1487" s="101"/>
    </row>
    <row r="1488" spans="1:6" hidden="1" x14ac:dyDescent="0.3">
      <c r="A1488" s="99" t="str">
        <f>BD_ControlRegimen[[#This Row],[FECHA]]&amp;BD_ControlRegimen[[#This Row],[NOMBRE]]</f>
        <v>44942COTRINA COTRINA VICTOR EDGARDO</v>
      </c>
      <c r="B1488" s="100">
        <f>WEEKNUM(BD_ControlRegimen[[#This Row],[FECHA]],2)</f>
        <v>4</v>
      </c>
      <c r="C1488" s="99">
        <v>44942</v>
      </c>
      <c r="D1488" s="3" t="s">
        <v>84</v>
      </c>
      <c r="E1488" s="101"/>
      <c r="F1488" s="101"/>
    </row>
    <row r="1489" spans="1:6" hidden="1" x14ac:dyDescent="0.3">
      <c r="A1489" s="99" t="str">
        <f>BD_ControlRegimen[[#This Row],[FECHA]]&amp;BD_ControlRegimen[[#This Row],[NOMBRE]]</f>
        <v>44943COTRINA COTRINA VICTOR EDGARDO</v>
      </c>
      <c r="B1489" s="100">
        <f>WEEKNUM(BD_ControlRegimen[[#This Row],[FECHA]],2)</f>
        <v>4</v>
      </c>
      <c r="C1489" s="99">
        <v>44943</v>
      </c>
      <c r="D1489" s="3" t="s">
        <v>84</v>
      </c>
      <c r="E1489" s="101"/>
      <c r="F1489" s="101"/>
    </row>
    <row r="1490" spans="1:6" hidden="1" x14ac:dyDescent="0.3">
      <c r="A1490" s="99" t="str">
        <f>BD_ControlRegimen[[#This Row],[FECHA]]&amp;BD_ControlRegimen[[#This Row],[NOMBRE]]</f>
        <v>44944COTRINA COTRINA VICTOR EDGARDO</v>
      </c>
      <c r="B1490" s="100">
        <f>WEEKNUM(BD_ControlRegimen[[#This Row],[FECHA]],2)</f>
        <v>4</v>
      </c>
      <c r="C1490" s="99">
        <v>44944</v>
      </c>
      <c r="D1490" s="3" t="s">
        <v>84</v>
      </c>
      <c r="E1490" s="101"/>
      <c r="F1490" s="101"/>
    </row>
    <row r="1491" spans="1:6" hidden="1" x14ac:dyDescent="0.3">
      <c r="A1491" s="99" t="str">
        <f>BD_ControlRegimen[[#This Row],[FECHA]]&amp;BD_ControlRegimen[[#This Row],[NOMBRE]]</f>
        <v>44945COTRINA COTRINA VICTOR EDGARDO</v>
      </c>
      <c r="B1491" s="100">
        <f>WEEKNUM(BD_ControlRegimen[[#This Row],[FECHA]],2)</f>
        <v>4</v>
      </c>
      <c r="C1491" s="99">
        <v>44945</v>
      </c>
      <c r="D1491" s="3" t="s">
        <v>84</v>
      </c>
      <c r="E1491" s="101"/>
      <c r="F1491" s="101"/>
    </row>
    <row r="1492" spans="1:6" hidden="1" x14ac:dyDescent="0.3">
      <c r="A1492" s="99" t="str">
        <f>BD_ControlRegimen[[#This Row],[FECHA]]&amp;BD_ControlRegimen[[#This Row],[NOMBRE]]</f>
        <v>44946COTRINA COTRINA VICTOR EDGARDO</v>
      </c>
      <c r="B1492" s="100">
        <f>WEEKNUM(BD_ControlRegimen[[#This Row],[FECHA]],2)</f>
        <v>4</v>
      </c>
      <c r="C1492" s="99">
        <v>44946</v>
      </c>
      <c r="D1492" s="3" t="s">
        <v>84</v>
      </c>
      <c r="E1492" s="101"/>
      <c r="F1492" s="101"/>
    </row>
    <row r="1493" spans="1:6" hidden="1" x14ac:dyDescent="0.3">
      <c r="A1493" s="99" t="str">
        <f>BD_ControlRegimen[[#This Row],[FECHA]]&amp;BD_ControlRegimen[[#This Row],[NOMBRE]]</f>
        <v>44947COTRINA COTRINA VICTOR EDGARDO</v>
      </c>
      <c r="B1493" s="100">
        <f>WEEKNUM(BD_ControlRegimen[[#This Row],[FECHA]],2)</f>
        <v>4</v>
      </c>
      <c r="C1493" s="99">
        <v>44947</v>
      </c>
      <c r="D1493" s="3" t="s">
        <v>84</v>
      </c>
      <c r="E1493" s="101"/>
      <c r="F1493" s="101"/>
    </row>
    <row r="1494" spans="1:6" hidden="1" x14ac:dyDescent="0.3">
      <c r="A1494" s="99" t="str">
        <f>BD_ControlRegimen[[#This Row],[FECHA]]&amp;BD_ControlRegimen[[#This Row],[NOMBRE]]</f>
        <v>44948COTRINA COTRINA VICTOR EDGARDO</v>
      </c>
      <c r="B1494" s="100">
        <f>WEEKNUM(BD_ControlRegimen[[#This Row],[FECHA]],2)</f>
        <v>4</v>
      </c>
      <c r="C1494" s="99">
        <v>44948</v>
      </c>
      <c r="D1494" s="3" t="s">
        <v>84</v>
      </c>
      <c r="E1494" s="101"/>
      <c r="F1494" s="101"/>
    </row>
    <row r="1495" spans="1:6" hidden="1" x14ac:dyDescent="0.3">
      <c r="A1495" s="99" t="str">
        <f>BD_ControlRegimen[[#This Row],[FECHA]]&amp;BD_ControlRegimen[[#This Row],[NOMBRE]]</f>
        <v>44949COTRINA COTRINA VICTOR EDGARDO</v>
      </c>
      <c r="B1495" s="100">
        <f>WEEKNUM(BD_ControlRegimen[[#This Row],[FECHA]],2)</f>
        <v>5</v>
      </c>
      <c r="C1495" s="99">
        <v>44949</v>
      </c>
      <c r="D1495" s="3" t="s">
        <v>84</v>
      </c>
      <c r="E1495" s="101"/>
      <c r="F1495" s="101"/>
    </row>
    <row r="1496" spans="1:6" hidden="1" x14ac:dyDescent="0.3">
      <c r="A1496" s="99" t="str">
        <f>BD_ControlRegimen[[#This Row],[FECHA]]&amp;BD_ControlRegimen[[#This Row],[NOMBRE]]</f>
        <v>44950COTRINA COTRINA VICTOR EDGARDO</v>
      </c>
      <c r="B1496" s="100">
        <f>WEEKNUM(BD_ControlRegimen[[#This Row],[FECHA]],2)</f>
        <v>5</v>
      </c>
      <c r="C1496" s="99">
        <v>44950</v>
      </c>
      <c r="D1496" s="3" t="s">
        <v>84</v>
      </c>
      <c r="E1496" s="101"/>
      <c r="F1496" s="101"/>
    </row>
    <row r="1497" spans="1:6" hidden="1" x14ac:dyDescent="0.3">
      <c r="A1497" s="99" t="str">
        <f>BD_ControlRegimen[[#This Row],[FECHA]]&amp;BD_ControlRegimen[[#This Row],[NOMBRE]]</f>
        <v>44951COTRINA COTRINA VICTOR EDGARDO</v>
      </c>
      <c r="B1497" s="100">
        <f>WEEKNUM(BD_ControlRegimen[[#This Row],[FECHA]],2)</f>
        <v>5</v>
      </c>
      <c r="C1497" s="99">
        <v>44951</v>
      </c>
      <c r="D1497" s="3" t="s">
        <v>84</v>
      </c>
      <c r="E1497" s="101"/>
      <c r="F1497" s="101"/>
    </row>
    <row r="1498" spans="1:6" hidden="1" x14ac:dyDescent="0.3">
      <c r="A1498" s="99" t="str">
        <f>BD_ControlRegimen[[#This Row],[FECHA]]&amp;BD_ControlRegimen[[#This Row],[NOMBRE]]</f>
        <v>44952COTRINA COTRINA VICTOR EDGARDO</v>
      </c>
      <c r="B1498" s="100">
        <f>WEEKNUM(BD_ControlRegimen[[#This Row],[FECHA]],2)</f>
        <v>5</v>
      </c>
      <c r="C1498" s="99">
        <v>44952</v>
      </c>
      <c r="D1498" s="3" t="s">
        <v>84</v>
      </c>
      <c r="E1498" s="101"/>
      <c r="F1498" s="101"/>
    </row>
    <row r="1499" spans="1:6" hidden="1" x14ac:dyDescent="0.3">
      <c r="A1499" s="99" t="str">
        <f>BD_ControlRegimen[[#This Row],[FECHA]]&amp;BD_ControlRegimen[[#This Row],[NOMBRE]]</f>
        <v>44953COTRINA COTRINA VICTOR EDGARDO</v>
      </c>
      <c r="B1499" s="100">
        <f>WEEKNUM(BD_ControlRegimen[[#This Row],[FECHA]],2)</f>
        <v>5</v>
      </c>
      <c r="C1499" s="99">
        <v>44953</v>
      </c>
      <c r="D1499" s="3" t="s">
        <v>84</v>
      </c>
      <c r="E1499" s="101"/>
      <c r="F1499" s="101"/>
    </row>
    <row r="1500" spans="1:6" hidden="1" x14ac:dyDescent="0.3">
      <c r="A1500" s="99" t="str">
        <f>BD_ControlRegimen[[#This Row],[FECHA]]&amp;BD_ControlRegimen[[#This Row],[NOMBRE]]</f>
        <v>44954COTRINA COTRINA VICTOR EDGARDO</v>
      </c>
      <c r="B1500" s="100">
        <f>WEEKNUM(BD_ControlRegimen[[#This Row],[FECHA]],2)</f>
        <v>5</v>
      </c>
      <c r="C1500" s="99">
        <v>44954</v>
      </c>
      <c r="D1500" s="3" t="s">
        <v>84</v>
      </c>
      <c r="E1500" s="101"/>
      <c r="F1500" s="101"/>
    </row>
    <row r="1501" spans="1:6" hidden="1" x14ac:dyDescent="0.3">
      <c r="A1501" s="99" t="str">
        <f>BD_ControlRegimen[[#This Row],[FECHA]]&amp;BD_ControlRegimen[[#This Row],[NOMBRE]]</f>
        <v>44955COTRINA COTRINA VICTOR EDGARDO</v>
      </c>
      <c r="B1501" s="100">
        <f>WEEKNUM(BD_ControlRegimen[[#This Row],[FECHA]],2)</f>
        <v>5</v>
      </c>
      <c r="C1501" s="99">
        <v>44955</v>
      </c>
      <c r="D1501" s="3" t="s">
        <v>84</v>
      </c>
      <c r="E1501" s="101"/>
      <c r="F1501" s="101"/>
    </row>
    <row r="1502" spans="1:6" hidden="1" x14ac:dyDescent="0.3">
      <c r="A1502" s="99" t="str">
        <f>BD_ControlRegimen[[#This Row],[FECHA]]&amp;BD_ControlRegimen[[#This Row],[NOMBRE]]</f>
        <v>44956COTRINA COTRINA VICTOR EDGARDO</v>
      </c>
      <c r="B1502" s="100">
        <f>WEEKNUM(BD_ControlRegimen[[#This Row],[FECHA]],2)</f>
        <v>6</v>
      </c>
      <c r="C1502" s="99">
        <v>44956</v>
      </c>
      <c r="D1502" s="3" t="s">
        <v>84</v>
      </c>
      <c r="E1502" s="101"/>
      <c r="F1502" s="101"/>
    </row>
    <row r="1503" spans="1:6" hidden="1" x14ac:dyDescent="0.3">
      <c r="A1503" s="99" t="str">
        <f>BD_ControlRegimen[[#This Row],[FECHA]]&amp;BD_ControlRegimen[[#This Row],[NOMBRE]]</f>
        <v>44957COTRINA COTRINA VICTOR EDGARDO</v>
      </c>
      <c r="B1503" s="100">
        <f>WEEKNUM(BD_ControlRegimen[[#This Row],[FECHA]],2)</f>
        <v>6</v>
      </c>
      <c r="C1503" s="99">
        <v>44957</v>
      </c>
      <c r="D1503" s="3" t="s">
        <v>84</v>
      </c>
      <c r="E1503" s="101"/>
      <c r="F1503" s="101"/>
    </row>
    <row r="1504" spans="1:6" hidden="1" x14ac:dyDescent="0.3">
      <c r="A1504" s="99" t="str">
        <f>BD_ControlRegimen[[#This Row],[FECHA]]&amp;BD_ControlRegimen[[#This Row],[NOMBRE]]</f>
        <v>44958COTRINA COTRINA VICTOR EDGARDO</v>
      </c>
      <c r="B1504" s="100">
        <f>WEEKNUM(BD_ControlRegimen[[#This Row],[FECHA]],2)</f>
        <v>6</v>
      </c>
      <c r="C1504" s="99">
        <v>44958</v>
      </c>
      <c r="D1504" s="3" t="s">
        <v>84</v>
      </c>
      <c r="E1504" s="101"/>
      <c r="F1504" s="101"/>
    </row>
    <row r="1505" spans="1:6" hidden="1" x14ac:dyDescent="0.3">
      <c r="A1505" s="99" t="str">
        <f>BD_ControlRegimen[[#This Row],[FECHA]]&amp;BD_ControlRegimen[[#This Row],[NOMBRE]]</f>
        <v>44959COTRINA COTRINA VICTOR EDGARDO</v>
      </c>
      <c r="B1505" s="100">
        <f>WEEKNUM(BD_ControlRegimen[[#This Row],[FECHA]],2)</f>
        <v>6</v>
      </c>
      <c r="C1505" s="99">
        <v>44959</v>
      </c>
      <c r="D1505" s="3" t="s">
        <v>84</v>
      </c>
      <c r="E1505" s="101"/>
      <c r="F1505" s="101"/>
    </row>
    <row r="1506" spans="1:6" hidden="1" x14ac:dyDescent="0.3">
      <c r="A1506" s="99" t="str">
        <f>BD_ControlRegimen[[#This Row],[FECHA]]&amp;BD_ControlRegimen[[#This Row],[NOMBRE]]</f>
        <v>44960COTRINA COTRINA VICTOR EDGARDO</v>
      </c>
      <c r="B1506" s="100">
        <f>WEEKNUM(BD_ControlRegimen[[#This Row],[FECHA]],2)</f>
        <v>6</v>
      </c>
      <c r="C1506" s="99">
        <v>44960</v>
      </c>
      <c r="D1506" s="3" t="s">
        <v>84</v>
      </c>
      <c r="E1506" s="101"/>
      <c r="F1506" s="101"/>
    </row>
    <row r="1507" spans="1:6" hidden="1" x14ac:dyDescent="0.3">
      <c r="A1507" s="99" t="str">
        <f>BD_ControlRegimen[[#This Row],[FECHA]]&amp;BD_ControlRegimen[[#This Row],[NOMBRE]]</f>
        <v>44961COTRINA COTRINA VICTOR EDGARDO</v>
      </c>
      <c r="B1507" s="100">
        <f>WEEKNUM(BD_ControlRegimen[[#This Row],[FECHA]],2)</f>
        <v>6</v>
      </c>
      <c r="C1507" s="99">
        <v>44961</v>
      </c>
      <c r="D1507" s="3" t="s">
        <v>84</v>
      </c>
      <c r="E1507" s="101"/>
      <c r="F1507" s="101"/>
    </row>
    <row r="1508" spans="1:6" hidden="1" x14ac:dyDescent="0.3">
      <c r="A1508" s="99" t="str">
        <f>BD_ControlRegimen[[#This Row],[FECHA]]&amp;BD_ControlRegimen[[#This Row],[NOMBRE]]</f>
        <v>44962COTRINA COTRINA VICTOR EDGARDO</v>
      </c>
      <c r="B1508" s="100">
        <f>WEEKNUM(BD_ControlRegimen[[#This Row],[FECHA]],2)</f>
        <v>6</v>
      </c>
      <c r="C1508" s="99">
        <v>44962</v>
      </c>
      <c r="D1508" s="3" t="s">
        <v>84</v>
      </c>
      <c r="E1508" s="101"/>
      <c r="F1508" s="101"/>
    </row>
    <row r="1509" spans="1:6" hidden="1" x14ac:dyDescent="0.3">
      <c r="A1509" s="99" t="str">
        <f>BD_ControlRegimen[[#This Row],[FECHA]]&amp;BD_ControlRegimen[[#This Row],[NOMBRE]]</f>
        <v>44963COTRINA COTRINA VICTOR EDGARDO</v>
      </c>
      <c r="B1509" s="100">
        <f>WEEKNUM(BD_ControlRegimen[[#This Row],[FECHA]],2)</f>
        <v>7</v>
      </c>
      <c r="C1509" s="99">
        <v>44963</v>
      </c>
      <c r="D1509" s="3" t="s">
        <v>84</v>
      </c>
      <c r="E1509" s="101"/>
      <c r="F1509" s="101"/>
    </row>
    <row r="1510" spans="1:6" hidden="1" x14ac:dyDescent="0.3">
      <c r="A1510" s="99" t="str">
        <f>BD_ControlRegimen[[#This Row],[FECHA]]&amp;BD_ControlRegimen[[#This Row],[NOMBRE]]</f>
        <v>44964COTRINA COTRINA VICTOR EDGARDO</v>
      </c>
      <c r="B1510" s="100">
        <f>WEEKNUM(BD_ControlRegimen[[#This Row],[FECHA]],2)</f>
        <v>7</v>
      </c>
      <c r="C1510" s="99">
        <v>44964</v>
      </c>
      <c r="D1510" s="3" t="s">
        <v>84</v>
      </c>
      <c r="E1510" s="101"/>
      <c r="F1510" s="101"/>
    </row>
    <row r="1511" spans="1:6" hidden="1" x14ac:dyDescent="0.3">
      <c r="A1511" s="99" t="str">
        <f>BD_ControlRegimen[[#This Row],[FECHA]]&amp;BD_ControlRegimen[[#This Row],[NOMBRE]]</f>
        <v>44965COTRINA COTRINA VICTOR EDGARDO</v>
      </c>
      <c r="B1511" s="100">
        <f>WEEKNUM(BD_ControlRegimen[[#This Row],[FECHA]],2)</f>
        <v>7</v>
      </c>
      <c r="C1511" s="99">
        <v>44965</v>
      </c>
      <c r="D1511" s="3" t="s">
        <v>84</v>
      </c>
      <c r="E1511" s="101"/>
      <c r="F1511" s="101"/>
    </row>
    <row r="1512" spans="1:6" hidden="1" x14ac:dyDescent="0.3">
      <c r="A1512" s="99" t="str">
        <f>BD_ControlRegimen[[#This Row],[FECHA]]&amp;BD_ControlRegimen[[#This Row],[NOMBRE]]</f>
        <v>44966COTRINA COTRINA VICTOR EDGARDO</v>
      </c>
      <c r="B1512" s="100">
        <f>WEEKNUM(BD_ControlRegimen[[#This Row],[FECHA]],2)</f>
        <v>7</v>
      </c>
      <c r="C1512" s="99">
        <v>44966</v>
      </c>
      <c r="D1512" s="3" t="s">
        <v>84</v>
      </c>
      <c r="E1512" s="101"/>
      <c r="F1512" s="101"/>
    </row>
    <row r="1513" spans="1:6" hidden="1" x14ac:dyDescent="0.3">
      <c r="A1513" s="99" t="str">
        <f>BD_ControlRegimen[[#This Row],[FECHA]]&amp;BD_ControlRegimen[[#This Row],[NOMBRE]]</f>
        <v>44967COTRINA COTRINA VICTOR EDGARDO</v>
      </c>
      <c r="B1513" s="100">
        <f>WEEKNUM(BD_ControlRegimen[[#This Row],[FECHA]],2)</f>
        <v>7</v>
      </c>
      <c r="C1513" s="99">
        <v>44967</v>
      </c>
      <c r="D1513" s="3" t="s">
        <v>84</v>
      </c>
      <c r="E1513" s="101"/>
      <c r="F1513" s="101"/>
    </row>
    <row r="1514" spans="1:6" hidden="1" x14ac:dyDescent="0.3">
      <c r="A1514" s="99" t="str">
        <f>BD_ControlRegimen[[#This Row],[FECHA]]&amp;BD_ControlRegimen[[#This Row],[NOMBRE]]</f>
        <v>44968COTRINA COTRINA VICTOR EDGARDO</v>
      </c>
      <c r="B1514" s="100">
        <f>WEEKNUM(BD_ControlRegimen[[#This Row],[FECHA]],2)</f>
        <v>7</v>
      </c>
      <c r="C1514" s="99">
        <v>44968</v>
      </c>
      <c r="D1514" s="3" t="s">
        <v>84</v>
      </c>
      <c r="E1514" s="101"/>
      <c r="F1514" s="101"/>
    </row>
    <row r="1515" spans="1:6" hidden="1" x14ac:dyDescent="0.3">
      <c r="A1515" s="99" t="str">
        <f>BD_ControlRegimen[[#This Row],[FECHA]]&amp;BD_ControlRegimen[[#This Row],[NOMBRE]]</f>
        <v>44969COTRINA COTRINA VICTOR EDGARDO</v>
      </c>
      <c r="B1515" s="100">
        <f>WEEKNUM(BD_ControlRegimen[[#This Row],[FECHA]],2)</f>
        <v>7</v>
      </c>
      <c r="C1515" s="99">
        <v>44969</v>
      </c>
      <c r="D1515" s="3" t="s">
        <v>84</v>
      </c>
      <c r="E1515" s="101"/>
      <c r="F1515" s="101"/>
    </row>
    <row r="1516" spans="1:6" hidden="1" x14ac:dyDescent="0.3">
      <c r="A1516" s="99" t="str">
        <f>BD_ControlRegimen[[#This Row],[FECHA]]&amp;BD_ControlRegimen[[#This Row],[NOMBRE]]</f>
        <v>44970COTRINA COTRINA VICTOR EDGARDO</v>
      </c>
      <c r="B1516" s="100">
        <f>WEEKNUM(BD_ControlRegimen[[#This Row],[FECHA]],2)</f>
        <v>8</v>
      </c>
      <c r="C1516" s="99">
        <v>44970</v>
      </c>
      <c r="D1516" s="3" t="s">
        <v>84</v>
      </c>
      <c r="E1516" s="101"/>
      <c r="F1516" s="101"/>
    </row>
    <row r="1517" spans="1:6" hidden="1" x14ac:dyDescent="0.3">
      <c r="A1517" s="99" t="str">
        <f>BD_ControlRegimen[[#This Row],[FECHA]]&amp;BD_ControlRegimen[[#This Row],[NOMBRE]]</f>
        <v>44971COTRINA COTRINA VICTOR EDGARDO</v>
      </c>
      <c r="B1517" s="100">
        <f>WEEKNUM(BD_ControlRegimen[[#This Row],[FECHA]],2)</f>
        <v>8</v>
      </c>
      <c r="C1517" s="99">
        <v>44971</v>
      </c>
      <c r="D1517" s="3" t="s">
        <v>84</v>
      </c>
      <c r="E1517" s="101"/>
      <c r="F1517" s="101"/>
    </row>
    <row r="1518" spans="1:6" hidden="1" x14ac:dyDescent="0.3">
      <c r="A1518" s="99" t="str">
        <f>BD_ControlRegimen[[#This Row],[FECHA]]&amp;BD_ControlRegimen[[#This Row],[NOMBRE]]</f>
        <v>44972COTRINA COTRINA VICTOR EDGARDO</v>
      </c>
      <c r="B1518" s="100">
        <f>WEEKNUM(BD_ControlRegimen[[#This Row],[FECHA]],2)</f>
        <v>8</v>
      </c>
      <c r="C1518" s="99">
        <v>44972</v>
      </c>
      <c r="D1518" s="3" t="s">
        <v>84</v>
      </c>
      <c r="E1518" s="101"/>
      <c r="F1518" s="101"/>
    </row>
    <row r="1519" spans="1:6" hidden="1" x14ac:dyDescent="0.3">
      <c r="A1519" s="99" t="str">
        <f>BD_ControlRegimen[[#This Row],[FECHA]]&amp;BD_ControlRegimen[[#This Row],[NOMBRE]]</f>
        <v>44973COTRINA COTRINA VICTOR EDGARDO</v>
      </c>
      <c r="B1519" s="100">
        <f>WEEKNUM(BD_ControlRegimen[[#This Row],[FECHA]],2)</f>
        <v>8</v>
      </c>
      <c r="C1519" s="99">
        <v>44973</v>
      </c>
      <c r="D1519" s="3" t="s">
        <v>84</v>
      </c>
      <c r="E1519" s="101"/>
      <c r="F1519" s="101"/>
    </row>
    <row r="1520" spans="1:6" hidden="1" x14ac:dyDescent="0.3">
      <c r="A1520" s="99" t="str">
        <f>BD_ControlRegimen[[#This Row],[FECHA]]&amp;BD_ControlRegimen[[#This Row],[NOMBRE]]</f>
        <v>44974COTRINA COTRINA VICTOR EDGARDO</v>
      </c>
      <c r="B1520" s="100">
        <f>WEEKNUM(BD_ControlRegimen[[#This Row],[FECHA]],2)</f>
        <v>8</v>
      </c>
      <c r="C1520" s="99">
        <v>44974</v>
      </c>
      <c r="D1520" s="3" t="s">
        <v>84</v>
      </c>
      <c r="E1520" s="101"/>
      <c r="F1520" s="101"/>
    </row>
    <row r="1521" spans="1:6" hidden="1" x14ac:dyDescent="0.3">
      <c r="A1521" s="99" t="str">
        <f>BD_ControlRegimen[[#This Row],[FECHA]]&amp;BD_ControlRegimen[[#This Row],[NOMBRE]]</f>
        <v>44975COTRINA COTRINA VICTOR EDGARDO</v>
      </c>
      <c r="B1521" s="100">
        <f>WEEKNUM(BD_ControlRegimen[[#This Row],[FECHA]],2)</f>
        <v>8</v>
      </c>
      <c r="C1521" s="99">
        <v>44975</v>
      </c>
      <c r="D1521" s="3" t="s">
        <v>84</v>
      </c>
      <c r="E1521" s="101"/>
      <c r="F1521" s="101"/>
    </row>
    <row r="1522" spans="1:6" hidden="1" x14ac:dyDescent="0.3">
      <c r="A1522" s="99" t="str">
        <f>BD_ControlRegimen[[#This Row],[FECHA]]&amp;BD_ControlRegimen[[#This Row],[NOMBRE]]</f>
        <v>44976COTRINA COTRINA VICTOR EDGARDO</v>
      </c>
      <c r="B1522" s="100">
        <f>WEEKNUM(BD_ControlRegimen[[#This Row],[FECHA]],2)</f>
        <v>8</v>
      </c>
      <c r="C1522" s="99">
        <v>44976</v>
      </c>
      <c r="D1522" s="3" t="s">
        <v>84</v>
      </c>
      <c r="E1522" s="101"/>
      <c r="F1522" s="101"/>
    </row>
    <row r="1523" spans="1:6" hidden="1" x14ac:dyDescent="0.3">
      <c r="A1523" s="99" t="str">
        <f>BD_ControlRegimen[[#This Row],[FECHA]]&amp;BD_ControlRegimen[[#This Row],[NOMBRE]]</f>
        <v>44977COTRINA COTRINA VICTOR EDGARDO</v>
      </c>
      <c r="B1523" s="100">
        <f>WEEKNUM(BD_ControlRegimen[[#This Row],[FECHA]],2)</f>
        <v>9</v>
      </c>
      <c r="C1523" s="99">
        <v>44977</v>
      </c>
      <c r="D1523" s="3" t="s">
        <v>84</v>
      </c>
      <c r="E1523" s="101"/>
      <c r="F1523" s="101"/>
    </row>
    <row r="1524" spans="1:6" hidden="1" x14ac:dyDescent="0.3">
      <c r="A1524" s="99" t="str">
        <f>BD_ControlRegimen[[#This Row],[FECHA]]&amp;BD_ControlRegimen[[#This Row],[NOMBRE]]</f>
        <v>44978COTRINA COTRINA VICTOR EDGARDO</v>
      </c>
      <c r="B1524" s="100">
        <f>WEEKNUM(BD_ControlRegimen[[#This Row],[FECHA]],2)</f>
        <v>9</v>
      </c>
      <c r="C1524" s="99">
        <v>44978</v>
      </c>
      <c r="D1524" s="3" t="s">
        <v>84</v>
      </c>
      <c r="E1524" s="101"/>
      <c r="F1524" s="101"/>
    </row>
    <row r="1525" spans="1:6" hidden="1" x14ac:dyDescent="0.3">
      <c r="A1525" s="99" t="str">
        <f>BD_ControlRegimen[[#This Row],[FECHA]]&amp;BD_ControlRegimen[[#This Row],[NOMBRE]]</f>
        <v>44979COTRINA COTRINA VICTOR EDGARDO</v>
      </c>
      <c r="B1525" s="100">
        <f>WEEKNUM(BD_ControlRegimen[[#This Row],[FECHA]],2)</f>
        <v>9</v>
      </c>
      <c r="C1525" s="99">
        <v>44979</v>
      </c>
      <c r="D1525" s="3" t="s">
        <v>84</v>
      </c>
      <c r="E1525" s="101"/>
      <c r="F1525" s="101"/>
    </row>
    <row r="1526" spans="1:6" hidden="1" x14ac:dyDescent="0.3">
      <c r="A1526" s="99" t="str">
        <f>BD_ControlRegimen[[#This Row],[FECHA]]&amp;BD_ControlRegimen[[#This Row],[NOMBRE]]</f>
        <v>44980COTRINA COTRINA VICTOR EDGARDO</v>
      </c>
      <c r="B1526" s="100">
        <f>WEEKNUM(BD_ControlRegimen[[#This Row],[FECHA]],2)</f>
        <v>9</v>
      </c>
      <c r="C1526" s="99">
        <v>44980</v>
      </c>
      <c r="D1526" s="3" t="s">
        <v>84</v>
      </c>
      <c r="E1526" s="101"/>
      <c r="F1526" s="101"/>
    </row>
    <row r="1527" spans="1:6" hidden="1" x14ac:dyDescent="0.3">
      <c r="A1527" s="99" t="str">
        <f>BD_ControlRegimen[[#This Row],[FECHA]]&amp;BD_ControlRegimen[[#This Row],[NOMBRE]]</f>
        <v>44981COTRINA COTRINA VICTOR EDGARDO</v>
      </c>
      <c r="B1527" s="100">
        <f>WEEKNUM(BD_ControlRegimen[[#This Row],[FECHA]],2)</f>
        <v>9</v>
      </c>
      <c r="C1527" s="99">
        <v>44981</v>
      </c>
      <c r="D1527" s="3" t="s">
        <v>84</v>
      </c>
      <c r="E1527" s="101"/>
      <c r="F1527" s="101"/>
    </row>
    <row r="1528" spans="1:6" hidden="1" x14ac:dyDescent="0.3">
      <c r="A1528" s="99" t="str">
        <f>BD_ControlRegimen[[#This Row],[FECHA]]&amp;BD_ControlRegimen[[#This Row],[NOMBRE]]</f>
        <v>44982COTRINA COTRINA VICTOR EDGARDO</v>
      </c>
      <c r="B1528" s="100">
        <f>WEEKNUM(BD_ControlRegimen[[#This Row],[FECHA]],2)</f>
        <v>9</v>
      </c>
      <c r="C1528" s="99">
        <v>44982</v>
      </c>
      <c r="D1528" s="3" t="s">
        <v>84</v>
      </c>
      <c r="E1528" s="101"/>
      <c r="F1528" s="101"/>
    </row>
    <row r="1529" spans="1:6" hidden="1" x14ac:dyDescent="0.3">
      <c r="A1529" s="99" t="str">
        <f>BD_ControlRegimen[[#This Row],[FECHA]]&amp;BD_ControlRegimen[[#This Row],[NOMBRE]]</f>
        <v>44983COTRINA COTRINA VICTOR EDGARDO</v>
      </c>
      <c r="B1529" s="100">
        <f>WEEKNUM(BD_ControlRegimen[[#This Row],[FECHA]],2)</f>
        <v>9</v>
      </c>
      <c r="C1529" s="99">
        <v>44983</v>
      </c>
      <c r="D1529" s="3" t="s">
        <v>84</v>
      </c>
      <c r="E1529" s="101"/>
      <c r="F1529" s="101"/>
    </row>
    <row r="1530" spans="1:6" hidden="1" x14ac:dyDescent="0.3">
      <c r="A1530" s="99" t="str">
        <f>BD_ControlRegimen[[#This Row],[FECHA]]&amp;BD_ControlRegimen[[#This Row],[NOMBRE]]</f>
        <v>44984COTRINA COTRINA VICTOR EDGARDO</v>
      </c>
      <c r="B1530" s="100">
        <f>WEEKNUM(BD_ControlRegimen[[#This Row],[FECHA]],2)</f>
        <v>10</v>
      </c>
      <c r="C1530" s="99">
        <v>44984</v>
      </c>
      <c r="D1530" s="3" t="s">
        <v>84</v>
      </c>
      <c r="E1530" s="101"/>
      <c r="F1530" s="101"/>
    </row>
    <row r="1531" spans="1:6" hidden="1" x14ac:dyDescent="0.3">
      <c r="A1531" s="99" t="str">
        <f>BD_ControlRegimen[[#This Row],[FECHA]]&amp;BD_ControlRegimen[[#This Row],[NOMBRE]]</f>
        <v>44985COTRINA COTRINA VICTOR EDGARDO</v>
      </c>
      <c r="B1531" s="100">
        <f>WEEKNUM(BD_ControlRegimen[[#This Row],[FECHA]],2)</f>
        <v>10</v>
      </c>
      <c r="C1531" s="99">
        <v>44985</v>
      </c>
      <c r="D1531" s="3" t="s">
        <v>84</v>
      </c>
      <c r="E1531" s="101"/>
      <c r="F1531" s="101"/>
    </row>
    <row r="1532" spans="1:6" hidden="1" x14ac:dyDescent="0.3">
      <c r="A1532" s="99" t="str">
        <f>BD_ControlRegimen[[#This Row],[FECHA]]&amp;BD_ControlRegimen[[#This Row],[NOMBRE]]</f>
        <v>44986COTRINA COTRINA VICTOR EDGARDO</v>
      </c>
      <c r="B1532" s="100">
        <f>WEEKNUM(BD_ControlRegimen[[#This Row],[FECHA]],2)</f>
        <v>10</v>
      </c>
      <c r="C1532" s="99">
        <v>44986</v>
      </c>
      <c r="D1532" s="3" t="s">
        <v>84</v>
      </c>
      <c r="E1532" s="101"/>
      <c r="F1532" s="101"/>
    </row>
    <row r="1533" spans="1:6" hidden="1" x14ac:dyDescent="0.3">
      <c r="A1533" s="99" t="str">
        <f>BD_ControlRegimen[[#This Row],[FECHA]]&amp;BD_ControlRegimen[[#This Row],[NOMBRE]]</f>
        <v>44987COTRINA COTRINA VICTOR EDGARDO</v>
      </c>
      <c r="B1533" s="100">
        <f>WEEKNUM(BD_ControlRegimen[[#This Row],[FECHA]],2)</f>
        <v>10</v>
      </c>
      <c r="C1533" s="99">
        <v>44987</v>
      </c>
      <c r="D1533" s="3" t="s">
        <v>84</v>
      </c>
      <c r="E1533" s="101"/>
      <c r="F1533" s="101"/>
    </row>
    <row r="1534" spans="1:6" hidden="1" x14ac:dyDescent="0.3">
      <c r="A1534" s="99" t="str">
        <f>BD_ControlRegimen[[#This Row],[FECHA]]&amp;BD_ControlRegimen[[#This Row],[NOMBRE]]</f>
        <v>44988COTRINA COTRINA VICTOR EDGARDO</v>
      </c>
      <c r="B1534" s="100">
        <f>WEEKNUM(BD_ControlRegimen[[#This Row],[FECHA]],2)</f>
        <v>10</v>
      </c>
      <c r="C1534" s="99">
        <v>44988</v>
      </c>
      <c r="D1534" s="3" t="s">
        <v>84</v>
      </c>
      <c r="E1534" s="101"/>
      <c r="F1534" s="101"/>
    </row>
    <row r="1535" spans="1:6" hidden="1" x14ac:dyDescent="0.3">
      <c r="A1535" s="99" t="str">
        <f>BD_ControlRegimen[[#This Row],[FECHA]]&amp;BD_ControlRegimen[[#This Row],[NOMBRE]]</f>
        <v>44989COTRINA COTRINA VICTOR EDGARDO</v>
      </c>
      <c r="B1535" s="100">
        <f>WEEKNUM(BD_ControlRegimen[[#This Row],[FECHA]],2)</f>
        <v>10</v>
      </c>
      <c r="C1535" s="99">
        <v>44989</v>
      </c>
      <c r="D1535" s="3" t="s">
        <v>84</v>
      </c>
      <c r="E1535" s="101"/>
      <c r="F1535" s="101"/>
    </row>
    <row r="1536" spans="1:6" hidden="1" x14ac:dyDescent="0.3">
      <c r="A1536" s="99" t="str">
        <f>BD_ControlRegimen[[#This Row],[FECHA]]&amp;BD_ControlRegimen[[#This Row],[NOMBRE]]</f>
        <v>44990COTRINA COTRINA VICTOR EDGARDO</v>
      </c>
      <c r="B1536" s="100">
        <f>WEEKNUM(BD_ControlRegimen[[#This Row],[FECHA]],2)</f>
        <v>10</v>
      </c>
      <c r="C1536" s="99">
        <v>44990</v>
      </c>
      <c r="D1536" s="3" t="s">
        <v>84</v>
      </c>
      <c r="E1536" s="101"/>
      <c r="F1536" s="101"/>
    </row>
    <row r="1537" spans="1:6" hidden="1" x14ac:dyDescent="0.3">
      <c r="A1537" s="99" t="str">
        <f>BD_ControlRegimen[[#This Row],[FECHA]]&amp;BD_ControlRegimen[[#This Row],[NOMBRE]]</f>
        <v>44991COTRINA COTRINA VICTOR EDGARDO</v>
      </c>
      <c r="B1537" s="100">
        <f>WEEKNUM(BD_ControlRegimen[[#This Row],[FECHA]],2)</f>
        <v>11</v>
      </c>
      <c r="C1537" s="99">
        <v>44991</v>
      </c>
      <c r="D1537" s="3" t="s">
        <v>84</v>
      </c>
      <c r="E1537" s="101"/>
      <c r="F1537" s="101"/>
    </row>
    <row r="1538" spans="1:6" hidden="1" x14ac:dyDescent="0.3">
      <c r="A1538" s="99" t="str">
        <f>BD_ControlRegimen[[#This Row],[FECHA]]&amp;BD_ControlRegimen[[#This Row],[NOMBRE]]</f>
        <v>44992COTRINA COTRINA VICTOR EDGARDO</v>
      </c>
      <c r="B1538" s="100">
        <f>WEEKNUM(BD_ControlRegimen[[#This Row],[FECHA]],2)</f>
        <v>11</v>
      </c>
      <c r="C1538" s="99">
        <v>44992</v>
      </c>
      <c r="D1538" s="3" t="s">
        <v>84</v>
      </c>
      <c r="E1538" s="101"/>
      <c r="F1538" s="101"/>
    </row>
    <row r="1539" spans="1:6" hidden="1" x14ac:dyDescent="0.3">
      <c r="A1539" s="99" t="str">
        <f>BD_ControlRegimen[[#This Row],[FECHA]]&amp;BD_ControlRegimen[[#This Row],[NOMBRE]]</f>
        <v>44993COTRINA COTRINA VICTOR EDGARDO</v>
      </c>
      <c r="B1539" s="100">
        <f>WEEKNUM(BD_ControlRegimen[[#This Row],[FECHA]],2)</f>
        <v>11</v>
      </c>
      <c r="C1539" s="99">
        <v>44993</v>
      </c>
      <c r="D1539" s="3" t="s">
        <v>84</v>
      </c>
      <c r="E1539" s="101"/>
      <c r="F1539" s="101"/>
    </row>
    <row r="1540" spans="1:6" hidden="1" x14ac:dyDescent="0.3">
      <c r="A1540" s="99" t="str">
        <f>BD_ControlRegimen[[#This Row],[FECHA]]&amp;BD_ControlRegimen[[#This Row],[NOMBRE]]</f>
        <v>44994COTRINA COTRINA VICTOR EDGARDO</v>
      </c>
      <c r="B1540" s="100">
        <f>WEEKNUM(BD_ControlRegimen[[#This Row],[FECHA]],2)</f>
        <v>11</v>
      </c>
      <c r="C1540" s="99">
        <v>44994</v>
      </c>
      <c r="D1540" s="3" t="s">
        <v>84</v>
      </c>
      <c r="E1540" s="101"/>
      <c r="F1540" s="101"/>
    </row>
    <row r="1541" spans="1:6" hidden="1" x14ac:dyDescent="0.3">
      <c r="A1541" s="99" t="str">
        <f>BD_ControlRegimen[[#This Row],[FECHA]]&amp;BD_ControlRegimen[[#This Row],[NOMBRE]]</f>
        <v>44995COTRINA COTRINA VICTOR EDGARDO</v>
      </c>
      <c r="B1541" s="100">
        <f>WEEKNUM(BD_ControlRegimen[[#This Row],[FECHA]],2)</f>
        <v>11</v>
      </c>
      <c r="C1541" s="99">
        <v>44995</v>
      </c>
      <c r="D1541" s="3" t="s">
        <v>84</v>
      </c>
      <c r="E1541" s="101"/>
      <c r="F1541" s="101"/>
    </row>
    <row r="1542" spans="1:6" hidden="1" x14ac:dyDescent="0.3">
      <c r="A1542" s="99" t="str">
        <f>BD_ControlRegimen[[#This Row],[FECHA]]&amp;BD_ControlRegimen[[#This Row],[NOMBRE]]</f>
        <v>44996COTRINA COTRINA VICTOR EDGARDO</v>
      </c>
      <c r="B1542" s="100">
        <f>WEEKNUM(BD_ControlRegimen[[#This Row],[FECHA]],2)</f>
        <v>11</v>
      </c>
      <c r="C1542" s="99">
        <v>44996</v>
      </c>
      <c r="D1542" s="3" t="s">
        <v>84</v>
      </c>
      <c r="E1542" s="101"/>
      <c r="F1542" s="101"/>
    </row>
    <row r="1543" spans="1:6" hidden="1" x14ac:dyDescent="0.3">
      <c r="A1543" s="99" t="str">
        <f>BD_ControlRegimen[[#This Row],[FECHA]]&amp;BD_ControlRegimen[[#This Row],[NOMBRE]]</f>
        <v>44997COTRINA COTRINA VICTOR EDGARDO</v>
      </c>
      <c r="B1543" s="100">
        <f>WEEKNUM(BD_ControlRegimen[[#This Row],[FECHA]],2)</f>
        <v>11</v>
      </c>
      <c r="C1543" s="99">
        <v>44997</v>
      </c>
      <c r="D1543" s="3" t="s">
        <v>84</v>
      </c>
      <c r="E1543" s="101"/>
      <c r="F1543" s="101"/>
    </row>
    <row r="1544" spans="1:6" hidden="1" x14ac:dyDescent="0.3">
      <c r="A1544" s="99" t="str">
        <f>BD_ControlRegimen[[#This Row],[FECHA]]&amp;BD_ControlRegimen[[#This Row],[NOMBRE]]</f>
        <v>44998COTRINA COTRINA VICTOR EDGARDO</v>
      </c>
      <c r="B1544" s="100">
        <f>WEEKNUM(BD_ControlRegimen[[#This Row],[FECHA]],2)</f>
        <v>12</v>
      </c>
      <c r="C1544" s="99">
        <v>44998</v>
      </c>
      <c r="D1544" s="3" t="s">
        <v>84</v>
      </c>
      <c r="E1544" s="101"/>
      <c r="F1544" s="101"/>
    </row>
    <row r="1545" spans="1:6" hidden="1" x14ac:dyDescent="0.3">
      <c r="A1545" s="99" t="str">
        <f>BD_ControlRegimen[[#This Row],[FECHA]]&amp;BD_ControlRegimen[[#This Row],[NOMBRE]]</f>
        <v>44999COTRINA COTRINA VICTOR EDGARDO</v>
      </c>
      <c r="B1545" s="100">
        <f>WEEKNUM(BD_ControlRegimen[[#This Row],[FECHA]],2)</f>
        <v>12</v>
      </c>
      <c r="C1545" s="99">
        <v>44999</v>
      </c>
      <c r="D1545" s="3" t="s">
        <v>84</v>
      </c>
      <c r="E1545" s="101"/>
      <c r="F1545" s="101"/>
    </row>
    <row r="1546" spans="1:6" hidden="1" x14ac:dyDescent="0.3">
      <c r="A1546" s="99" t="str">
        <f>BD_ControlRegimen[[#This Row],[FECHA]]&amp;BD_ControlRegimen[[#This Row],[NOMBRE]]</f>
        <v>45000COTRINA COTRINA VICTOR EDGARDO</v>
      </c>
      <c r="B1546" s="100">
        <f>WEEKNUM(BD_ControlRegimen[[#This Row],[FECHA]],2)</f>
        <v>12</v>
      </c>
      <c r="C1546" s="99">
        <v>45000</v>
      </c>
      <c r="D1546" s="3" t="s">
        <v>84</v>
      </c>
      <c r="E1546" s="101"/>
      <c r="F1546" s="101"/>
    </row>
    <row r="1547" spans="1:6" hidden="1" x14ac:dyDescent="0.3">
      <c r="A1547" s="99" t="str">
        <f>BD_ControlRegimen[[#This Row],[FECHA]]&amp;BD_ControlRegimen[[#This Row],[NOMBRE]]</f>
        <v>45001COTRINA COTRINA VICTOR EDGARDO</v>
      </c>
      <c r="B1547" s="100">
        <f>WEEKNUM(BD_ControlRegimen[[#This Row],[FECHA]],2)</f>
        <v>12</v>
      </c>
      <c r="C1547" s="99">
        <v>45001</v>
      </c>
      <c r="D1547" s="3" t="s">
        <v>84</v>
      </c>
      <c r="E1547" s="101"/>
      <c r="F1547" s="101"/>
    </row>
    <row r="1548" spans="1:6" hidden="1" x14ac:dyDescent="0.3">
      <c r="A1548" s="99" t="str">
        <f>BD_ControlRegimen[[#This Row],[FECHA]]&amp;BD_ControlRegimen[[#This Row],[NOMBRE]]</f>
        <v>45002COTRINA COTRINA VICTOR EDGARDO</v>
      </c>
      <c r="B1548" s="100">
        <f>WEEKNUM(BD_ControlRegimen[[#This Row],[FECHA]],2)</f>
        <v>12</v>
      </c>
      <c r="C1548" s="99">
        <v>45002</v>
      </c>
      <c r="D1548" s="3" t="s">
        <v>84</v>
      </c>
      <c r="E1548" s="101"/>
      <c r="F1548" s="101"/>
    </row>
    <row r="1549" spans="1:6" hidden="1" x14ac:dyDescent="0.3">
      <c r="A1549" s="99" t="str">
        <f>BD_ControlRegimen[[#This Row],[FECHA]]&amp;BD_ControlRegimen[[#This Row],[NOMBRE]]</f>
        <v>45003COTRINA COTRINA VICTOR EDGARDO</v>
      </c>
      <c r="B1549" s="100">
        <f>WEEKNUM(BD_ControlRegimen[[#This Row],[FECHA]],2)</f>
        <v>12</v>
      </c>
      <c r="C1549" s="99">
        <v>45003</v>
      </c>
      <c r="D1549" s="3" t="s">
        <v>84</v>
      </c>
      <c r="E1549" s="101"/>
      <c r="F1549" s="101"/>
    </row>
    <row r="1550" spans="1:6" hidden="1" x14ac:dyDescent="0.3">
      <c r="A1550" s="99" t="str">
        <f>BD_ControlRegimen[[#This Row],[FECHA]]&amp;BD_ControlRegimen[[#This Row],[NOMBRE]]</f>
        <v>45004COTRINA COTRINA VICTOR EDGARDO</v>
      </c>
      <c r="B1550" s="100">
        <f>WEEKNUM(BD_ControlRegimen[[#This Row],[FECHA]],2)</f>
        <v>12</v>
      </c>
      <c r="C1550" s="99">
        <v>45004</v>
      </c>
      <c r="D1550" s="3" t="s">
        <v>84</v>
      </c>
      <c r="E1550" s="101"/>
      <c r="F1550" s="101"/>
    </row>
    <row r="1551" spans="1:6" hidden="1" x14ac:dyDescent="0.3">
      <c r="A1551" s="99" t="str">
        <f>BD_ControlRegimen[[#This Row],[FECHA]]&amp;BD_ControlRegimen[[#This Row],[NOMBRE]]</f>
        <v>45005COTRINA COTRINA VICTOR EDGARDO</v>
      </c>
      <c r="B1551" s="100">
        <f>WEEKNUM(BD_ControlRegimen[[#This Row],[FECHA]],2)</f>
        <v>13</v>
      </c>
      <c r="C1551" s="99">
        <v>45005</v>
      </c>
      <c r="D1551" s="3" t="s">
        <v>84</v>
      </c>
      <c r="E1551" s="101"/>
      <c r="F1551" s="101"/>
    </row>
    <row r="1552" spans="1:6" hidden="1" x14ac:dyDescent="0.3">
      <c r="A1552" s="99" t="str">
        <f>BD_ControlRegimen[[#This Row],[FECHA]]&amp;BD_ControlRegimen[[#This Row],[NOMBRE]]</f>
        <v>45006COTRINA COTRINA VICTOR EDGARDO</v>
      </c>
      <c r="B1552" s="100">
        <f>WEEKNUM(BD_ControlRegimen[[#This Row],[FECHA]],2)</f>
        <v>13</v>
      </c>
      <c r="C1552" s="99">
        <v>45006</v>
      </c>
      <c r="D1552" s="3" t="s">
        <v>84</v>
      </c>
      <c r="E1552" s="101"/>
      <c r="F1552" s="101"/>
    </row>
    <row r="1553" spans="1:6" hidden="1" x14ac:dyDescent="0.3">
      <c r="A1553" s="99" t="str">
        <f>BD_ControlRegimen[[#This Row],[FECHA]]&amp;BD_ControlRegimen[[#This Row],[NOMBRE]]</f>
        <v>45007COTRINA COTRINA VICTOR EDGARDO</v>
      </c>
      <c r="B1553" s="100">
        <f>WEEKNUM(BD_ControlRegimen[[#This Row],[FECHA]],2)</f>
        <v>13</v>
      </c>
      <c r="C1553" s="99">
        <v>45007</v>
      </c>
      <c r="D1553" s="3" t="s">
        <v>84</v>
      </c>
      <c r="E1553" s="101"/>
      <c r="F1553" s="101"/>
    </row>
    <row r="1554" spans="1:6" hidden="1" x14ac:dyDescent="0.3">
      <c r="A1554" s="99" t="str">
        <f>BD_ControlRegimen[[#This Row],[FECHA]]&amp;BD_ControlRegimen[[#This Row],[NOMBRE]]</f>
        <v>45008COTRINA COTRINA VICTOR EDGARDO</v>
      </c>
      <c r="B1554" s="100">
        <f>WEEKNUM(BD_ControlRegimen[[#This Row],[FECHA]],2)</f>
        <v>13</v>
      </c>
      <c r="C1554" s="99">
        <v>45008</v>
      </c>
      <c r="D1554" s="3" t="s">
        <v>84</v>
      </c>
      <c r="E1554" s="101"/>
      <c r="F1554" s="101"/>
    </row>
    <row r="1555" spans="1:6" hidden="1" x14ac:dyDescent="0.3">
      <c r="A1555" s="99" t="str">
        <f>BD_ControlRegimen[[#This Row],[FECHA]]&amp;BD_ControlRegimen[[#This Row],[NOMBRE]]</f>
        <v>45009COTRINA COTRINA VICTOR EDGARDO</v>
      </c>
      <c r="B1555" s="100">
        <f>WEEKNUM(BD_ControlRegimen[[#This Row],[FECHA]],2)</f>
        <v>13</v>
      </c>
      <c r="C1555" s="99">
        <v>45009</v>
      </c>
      <c r="D1555" s="3" t="s">
        <v>84</v>
      </c>
      <c r="E1555" s="101"/>
      <c r="F1555" s="101"/>
    </row>
    <row r="1556" spans="1:6" hidden="1" x14ac:dyDescent="0.3">
      <c r="A1556" s="99" t="str">
        <f>BD_ControlRegimen[[#This Row],[FECHA]]&amp;BD_ControlRegimen[[#This Row],[NOMBRE]]</f>
        <v>45010COTRINA COTRINA VICTOR EDGARDO</v>
      </c>
      <c r="B1556" s="100">
        <f>WEEKNUM(BD_ControlRegimen[[#This Row],[FECHA]],2)</f>
        <v>13</v>
      </c>
      <c r="C1556" s="99">
        <v>45010</v>
      </c>
      <c r="D1556" s="3" t="s">
        <v>84</v>
      </c>
      <c r="E1556" s="101"/>
      <c r="F1556" s="101"/>
    </row>
    <row r="1557" spans="1:6" hidden="1" x14ac:dyDescent="0.3">
      <c r="A1557" s="99" t="str">
        <f>BD_ControlRegimen[[#This Row],[FECHA]]&amp;BD_ControlRegimen[[#This Row],[NOMBRE]]</f>
        <v>45011COTRINA COTRINA VICTOR EDGARDO</v>
      </c>
      <c r="B1557" s="100">
        <f>WEEKNUM(BD_ControlRegimen[[#This Row],[FECHA]],2)</f>
        <v>13</v>
      </c>
      <c r="C1557" s="99">
        <v>45011</v>
      </c>
      <c r="D1557" s="3" t="s">
        <v>84</v>
      </c>
      <c r="E1557" s="101"/>
      <c r="F1557" s="101"/>
    </row>
    <row r="1558" spans="1:6" hidden="1" x14ac:dyDescent="0.3">
      <c r="A1558" s="7" t="str">
        <f>BD_ControlRegimen[[#This Row],[FECHA]]&amp;BD_ControlRegimen[[#This Row],[NOMBRE]]</f>
        <v>45012COTRINA COTRINA VICTOR EDGARDO</v>
      </c>
      <c r="B1558" s="83">
        <f>WEEKNUM(BD_ControlRegimen[[#This Row],[FECHA]],2)</f>
        <v>14</v>
      </c>
      <c r="C1558" s="7">
        <v>45012</v>
      </c>
      <c r="D1558" s="3" t="s">
        <v>84</v>
      </c>
      <c r="E1558" s="3"/>
      <c r="F1558" s="3"/>
    </row>
    <row r="1559" spans="1:6" hidden="1" x14ac:dyDescent="0.3">
      <c r="A1559" s="7" t="str">
        <f>BD_ControlRegimen[[#This Row],[FECHA]]&amp;BD_ControlRegimen[[#This Row],[NOMBRE]]</f>
        <v>45013COTRINA COTRINA VICTOR EDGARDO</v>
      </c>
      <c r="B1559" s="83">
        <f>WEEKNUM(BD_ControlRegimen[[#This Row],[FECHA]],2)</f>
        <v>14</v>
      </c>
      <c r="C1559" s="7">
        <v>45013</v>
      </c>
      <c r="D1559" s="3" t="s">
        <v>84</v>
      </c>
      <c r="E1559" s="3"/>
      <c r="F1559" s="3"/>
    </row>
    <row r="1560" spans="1:6" hidden="1" x14ac:dyDescent="0.3">
      <c r="A1560" s="7" t="str">
        <f>BD_ControlRegimen[[#This Row],[FECHA]]&amp;BD_ControlRegimen[[#This Row],[NOMBRE]]</f>
        <v>45014COTRINA COTRINA VICTOR EDGARDO</v>
      </c>
      <c r="B1560" s="83">
        <f>WEEKNUM(BD_ControlRegimen[[#This Row],[FECHA]],2)</f>
        <v>14</v>
      </c>
      <c r="C1560" s="7">
        <v>45014</v>
      </c>
      <c r="D1560" s="3" t="s">
        <v>84</v>
      </c>
      <c r="E1560" s="3"/>
      <c r="F1560" s="3"/>
    </row>
    <row r="1561" spans="1:6" hidden="1" x14ac:dyDescent="0.3">
      <c r="A1561" s="7" t="str">
        <f>BD_ControlRegimen[[#This Row],[FECHA]]&amp;BD_ControlRegimen[[#This Row],[NOMBRE]]</f>
        <v>45015COTRINA COTRINA VICTOR EDGARDO</v>
      </c>
      <c r="B1561" s="83">
        <f>WEEKNUM(BD_ControlRegimen[[#This Row],[FECHA]],2)</f>
        <v>14</v>
      </c>
      <c r="C1561" s="7">
        <v>45015</v>
      </c>
      <c r="D1561" s="3" t="s">
        <v>84</v>
      </c>
      <c r="E1561" s="3"/>
      <c r="F1561" s="3"/>
    </row>
    <row r="1562" spans="1:6" hidden="1" x14ac:dyDescent="0.3">
      <c r="A1562" s="7" t="str">
        <f>BD_ControlRegimen[[#This Row],[FECHA]]&amp;BD_ControlRegimen[[#This Row],[NOMBRE]]</f>
        <v>45016COTRINA COTRINA VICTOR EDGARDO</v>
      </c>
      <c r="B1562" s="83">
        <f>WEEKNUM(BD_ControlRegimen[[#This Row],[FECHA]],2)</f>
        <v>14</v>
      </c>
      <c r="C1562" s="7">
        <v>45016</v>
      </c>
      <c r="D1562" s="3" t="s">
        <v>84</v>
      </c>
      <c r="E1562" s="3"/>
      <c r="F1562" s="3"/>
    </row>
    <row r="1563" spans="1:6" hidden="1" x14ac:dyDescent="0.3">
      <c r="A1563" s="7" t="str">
        <f>BD_ControlRegimen[[#This Row],[FECHA]]&amp;BD_ControlRegimen[[#This Row],[NOMBRE]]</f>
        <v>45017COTRINA COTRINA VICTOR EDGARDO</v>
      </c>
      <c r="B1563" s="83">
        <f>WEEKNUM(BD_ControlRegimen[[#This Row],[FECHA]],2)</f>
        <v>14</v>
      </c>
      <c r="C1563" s="7">
        <v>45017</v>
      </c>
      <c r="D1563" s="3" t="s">
        <v>84</v>
      </c>
      <c r="E1563" s="3"/>
      <c r="F1563" s="3"/>
    </row>
    <row r="1564" spans="1:6" hidden="1" x14ac:dyDescent="0.3">
      <c r="A1564" s="7" t="str">
        <f>BD_ControlRegimen[[#This Row],[FECHA]]&amp;BD_ControlRegimen[[#This Row],[NOMBRE]]</f>
        <v>45018COTRINA COTRINA VICTOR EDGARDO</v>
      </c>
      <c r="B1564" s="83">
        <f>WEEKNUM(BD_ControlRegimen[[#This Row],[FECHA]],2)</f>
        <v>14</v>
      </c>
      <c r="C1564" s="7">
        <v>45018</v>
      </c>
      <c r="D1564" s="3" t="s">
        <v>84</v>
      </c>
      <c r="E1564" s="3"/>
      <c r="F1564" s="3"/>
    </row>
    <row r="1565" spans="1:6" hidden="1" x14ac:dyDescent="0.3">
      <c r="A1565" s="7" t="str">
        <f>BD_ControlRegimen[[#This Row],[FECHA]]&amp;BD_ControlRegimen[[#This Row],[NOMBRE]]</f>
        <v>45019COTRINA COTRINA VICTOR EDGARDO</v>
      </c>
      <c r="B1565" s="83">
        <f>WEEKNUM(BD_ControlRegimen[[#This Row],[FECHA]],2)</f>
        <v>15</v>
      </c>
      <c r="C1565" s="7">
        <v>45019</v>
      </c>
      <c r="D1565" s="3" t="s">
        <v>84</v>
      </c>
      <c r="E1565" s="3"/>
      <c r="F1565" s="3"/>
    </row>
    <row r="1566" spans="1:6" hidden="1" x14ac:dyDescent="0.3">
      <c r="A1566" s="7" t="str">
        <f>BD_ControlRegimen[[#This Row],[FECHA]]&amp;BD_ControlRegimen[[#This Row],[NOMBRE]]</f>
        <v>45020COTRINA COTRINA VICTOR EDGARDO</v>
      </c>
      <c r="B1566" s="83">
        <f>WEEKNUM(BD_ControlRegimen[[#This Row],[FECHA]],2)</f>
        <v>15</v>
      </c>
      <c r="C1566" s="7">
        <v>45020</v>
      </c>
      <c r="D1566" s="3" t="s">
        <v>84</v>
      </c>
      <c r="E1566" s="3"/>
      <c r="F1566" s="3"/>
    </row>
    <row r="1567" spans="1:6" hidden="1" x14ac:dyDescent="0.3">
      <c r="A1567" s="7" t="str">
        <f>BD_ControlRegimen[[#This Row],[FECHA]]&amp;BD_ControlRegimen[[#This Row],[NOMBRE]]</f>
        <v>45021COTRINA COTRINA VICTOR EDGARDO</v>
      </c>
      <c r="B1567" s="83">
        <f>WEEKNUM(BD_ControlRegimen[[#This Row],[FECHA]],2)</f>
        <v>15</v>
      </c>
      <c r="C1567" s="7">
        <v>45021</v>
      </c>
      <c r="D1567" s="3" t="s">
        <v>84</v>
      </c>
      <c r="E1567" s="3"/>
      <c r="F1567" s="3"/>
    </row>
    <row r="1568" spans="1:6" hidden="1" x14ac:dyDescent="0.3">
      <c r="A1568" s="7" t="str">
        <f>BD_ControlRegimen[[#This Row],[FECHA]]&amp;BD_ControlRegimen[[#This Row],[NOMBRE]]</f>
        <v>45022COTRINA COTRINA VICTOR EDGARDO</v>
      </c>
      <c r="B1568" s="83">
        <f>WEEKNUM(BD_ControlRegimen[[#This Row],[FECHA]],2)</f>
        <v>15</v>
      </c>
      <c r="C1568" s="7">
        <v>45022</v>
      </c>
      <c r="D1568" s="3" t="s">
        <v>84</v>
      </c>
      <c r="E1568" s="3"/>
      <c r="F1568" s="3"/>
    </row>
    <row r="1569" spans="1:6" hidden="1" x14ac:dyDescent="0.3">
      <c r="A1569" s="7" t="str">
        <f>BD_ControlRegimen[[#This Row],[FECHA]]&amp;BD_ControlRegimen[[#This Row],[NOMBRE]]</f>
        <v>45023COTRINA COTRINA VICTOR EDGARDO</v>
      </c>
      <c r="B1569" s="83">
        <f>WEEKNUM(BD_ControlRegimen[[#This Row],[FECHA]],2)</f>
        <v>15</v>
      </c>
      <c r="C1569" s="7">
        <v>45023</v>
      </c>
      <c r="D1569" s="3" t="s">
        <v>84</v>
      </c>
      <c r="E1569" s="3"/>
      <c r="F1569" s="3"/>
    </row>
    <row r="1570" spans="1:6" hidden="1" x14ac:dyDescent="0.3">
      <c r="A1570" s="7" t="str">
        <f>BD_ControlRegimen[[#This Row],[FECHA]]&amp;BD_ControlRegimen[[#This Row],[NOMBRE]]</f>
        <v>45024COTRINA COTRINA VICTOR EDGARDO</v>
      </c>
      <c r="B1570" s="83">
        <f>WEEKNUM(BD_ControlRegimen[[#This Row],[FECHA]],2)</f>
        <v>15</v>
      </c>
      <c r="C1570" s="7">
        <v>45024</v>
      </c>
      <c r="D1570" s="3" t="s">
        <v>84</v>
      </c>
      <c r="E1570" s="3"/>
      <c r="F1570" s="3"/>
    </row>
    <row r="1571" spans="1:6" hidden="1" x14ac:dyDescent="0.3">
      <c r="A1571" s="7" t="str">
        <f>BD_ControlRegimen[[#This Row],[FECHA]]&amp;BD_ControlRegimen[[#This Row],[NOMBRE]]</f>
        <v>45025COTRINA COTRINA VICTOR EDGARDO</v>
      </c>
      <c r="B1571" s="83">
        <f>WEEKNUM(BD_ControlRegimen[[#This Row],[FECHA]],2)</f>
        <v>15</v>
      </c>
      <c r="C1571" s="7">
        <v>45025</v>
      </c>
      <c r="D1571" s="3" t="s">
        <v>84</v>
      </c>
      <c r="E1571" s="3"/>
      <c r="F1571" s="3"/>
    </row>
    <row r="1572" spans="1:6" hidden="1" x14ac:dyDescent="0.3">
      <c r="A1572" s="7" t="str">
        <f>BD_ControlRegimen[[#This Row],[FECHA]]&amp;BD_ControlRegimen[[#This Row],[NOMBRE]]</f>
        <v>45026COTRINA COTRINA VICTOR EDGARDO</v>
      </c>
      <c r="B1572" s="83">
        <f>WEEKNUM(BD_ControlRegimen[[#This Row],[FECHA]],2)</f>
        <v>16</v>
      </c>
      <c r="C1572" s="7">
        <v>45026</v>
      </c>
      <c r="D1572" s="3" t="s">
        <v>84</v>
      </c>
      <c r="E1572" s="3"/>
      <c r="F1572" s="3"/>
    </row>
    <row r="1573" spans="1:6" hidden="1" x14ac:dyDescent="0.3">
      <c r="A1573" s="7" t="str">
        <f>BD_ControlRegimen[[#This Row],[FECHA]]&amp;BD_ControlRegimen[[#This Row],[NOMBRE]]</f>
        <v>45027COTRINA COTRINA VICTOR EDGARDO</v>
      </c>
      <c r="B1573" s="83">
        <f>WEEKNUM(BD_ControlRegimen[[#This Row],[FECHA]],2)</f>
        <v>16</v>
      </c>
      <c r="C1573" s="7">
        <v>45027</v>
      </c>
      <c r="D1573" s="3" t="s">
        <v>84</v>
      </c>
      <c r="E1573" s="3"/>
      <c r="F1573" s="3"/>
    </row>
    <row r="1574" spans="1:6" hidden="1" x14ac:dyDescent="0.3">
      <c r="A1574" s="7" t="str">
        <f>BD_ControlRegimen[[#This Row],[FECHA]]&amp;BD_ControlRegimen[[#This Row],[NOMBRE]]</f>
        <v>45028COTRINA COTRINA VICTOR EDGARDO</v>
      </c>
      <c r="B1574" s="83">
        <f>WEEKNUM(BD_ControlRegimen[[#This Row],[FECHA]],2)</f>
        <v>16</v>
      </c>
      <c r="C1574" s="7">
        <v>45028</v>
      </c>
      <c r="D1574" s="3" t="s">
        <v>84</v>
      </c>
      <c r="E1574" s="3"/>
      <c r="F1574" s="3"/>
    </row>
    <row r="1575" spans="1:6" hidden="1" x14ac:dyDescent="0.3">
      <c r="A1575" s="7" t="str">
        <f>BD_ControlRegimen[[#This Row],[FECHA]]&amp;BD_ControlRegimen[[#This Row],[NOMBRE]]</f>
        <v>45029COTRINA COTRINA VICTOR EDGARDO</v>
      </c>
      <c r="B1575" s="83">
        <f>WEEKNUM(BD_ControlRegimen[[#This Row],[FECHA]],2)</f>
        <v>16</v>
      </c>
      <c r="C1575" s="7">
        <v>45029</v>
      </c>
      <c r="D1575" s="3" t="s">
        <v>84</v>
      </c>
      <c r="E1575" s="3"/>
      <c r="F1575" s="3"/>
    </row>
    <row r="1576" spans="1:6" hidden="1" x14ac:dyDescent="0.3">
      <c r="A1576" s="7" t="str">
        <f>BD_ControlRegimen[[#This Row],[FECHA]]&amp;BD_ControlRegimen[[#This Row],[NOMBRE]]</f>
        <v>45030COTRINA COTRINA VICTOR EDGARDO</v>
      </c>
      <c r="B1576" s="83">
        <f>WEEKNUM(BD_ControlRegimen[[#This Row],[FECHA]],2)</f>
        <v>16</v>
      </c>
      <c r="C1576" s="7">
        <v>45030</v>
      </c>
      <c r="D1576" s="3" t="s">
        <v>84</v>
      </c>
      <c r="E1576" s="3"/>
      <c r="F1576" s="3"/>
    </row>
    <row r="1577" spans="1:6" hidden="1" x14ac:dyDescent="0.3">
      <c r="A1577" s="7" t="str">
        <f>BD_ControlRegimen[[#This Row],[FECHA]]&amp;BD_ControlRegimen[[#This Row],[NOMBRE]]</f>
        <v>45031COTRINA COTRINA VICTOR EDGARDO</v>
      </c>
      <c r="B1577" s="83">
        <f>WEEKNUM(BD_ControlRegimen[[#This Row],[FECHA]],2)</f>
        <v>16</v>
      </c>
      <c r="C1577" s="7">
        <v>45031</v>
      </c>
      <c r="D1577" s="3" t="s">
        <v>84</v>
      </c>
      <c r="E1577" s="3"/>
      <c r="F1577" s="3"/>
    </row>
    <row r="1578" spans="1:6" hidden="1" x14ac:dyDescent="0.3">
      <c r="A1578" s="7" t="str">
        <f>BD_ControlRegimen[[#This Row],[FECHA]]&amp;BD_ControlRegimen[[#This Row],[NOMBRE]]</f>
        <v>45032COTRINA COTRINA VICTOR EDGARDO</v>
      </c>
      <c r="B1578" s="83">
        <f>WEEKNUM(BD_ControlRegimen[[#This Row],[FECHA]],2)</f>
        <v>16</v>
      </c>
      <c r="C1578" s="7">
        <v>45032</v>
      </c>
      <c r="D1578" s="3" t="s">
        <v>84</v>
      </c>
      <c r="E1578" s="3"/>
      <c r="F1578" s="3"/>
    </row>
    <row r="1579" spans="1:6" x14ac:dyDescent="0.3">
      <c r="A1579" s="7" t="str">
        <f>BD_ControlRegimen[[#This Row],[FECHA]]&amp;BD_ControlRegimen[[#This Row],[NOMBRE]]</f>
        <v>45033COTRINA COTRINA VICTOR EDGARDO</v>
      </c>
      <c r="B1579" s="83">
        <f>WEEKNUM(BD_ControlRegimen[[#This Row],[FECHA]],2)</f>
        <v>17</v>
      </c>
      <c r="C1579" s="7">
        <v>45033</v>
      </c>
      <c r="D1579" s="3" t="s">
        <v>84</v>
      </c>
      <c r="E1579" s="3" t="s">
        <v>154</v>
      </c>
      <c r="F1579" s="3"/>
    </row>
    <row r="1580" spans="1:6" x14ac:dyDescent="0.3">
      <c r="A1580" s="7" t="str">
        <f>BD_ControlRegimen[[#This Row],[FECHA]]&amp;BD_ControlRegimen[[#This Row],[NOMBRE]]</f>
        <v>45034COTRINA COTRINA VICTOR EDGARDO</v>
      </c>
      <c r="B1580" s="83">
        <f>WEEKNUM(BD_ControlRegimen[[#This Row],[FECHA]],2)</f>
        <v>17</v>
      </c>
      <c r="C1580" s="7">
        <v>45034</v>
      </c>
      <c r="D1580" s="3" t="s">
        <v>84</v>
      </c>
      <c r="E1580" s="3" t="s">
        <v>154</v>
      </c>
      <c r="F1580" s="3"/>
    </row>
    <row r="1581" spans="1:6" x14ac:dyDescent="0.3">
      <c r="A1581" s="7" t="str">
        <f>BD_ControlRegimen[[#This Row],[FECHA]]&amp;BD_ControlRegimen[[#This Row],[NOMBRE]]</f>
        <v>45035COTRINA COTRINA VICTOR EDGARDO</v>
      </c>
      <c r="B1581" s="83">
        <f>WEEKNUM(BD_ControlRegimen[[#This Row],[FECHA]],2)</f>
        <v>17</v>
      </c>
      <c r="C1581" s="7">
        <v>45035</v>
      </c>
      <c r="D1581" s="3" t="s">
        <v>84</v>
      </c>
      <c r="E1581" s="3" t="s">
        <v>154</v>
      </c>
      <c r="F1581" s="3"/>
    </row>
    <row r="1582" spans="1:6" x14ac:dyDescent="0.3">
      <c r="A1582" s="7" t="str">
        <f>BD_ControlRegimen[[#This Row],[FECHA]]&amp;BD_ControlRegimen[[#This Row],[NOMBRE]]</f>
        <v>45036COTRINA COTRINA VICTOR EDGARDO</v>
      </c>
      <c r="B1582" s="83">
        <f>WEEKNUM(BD_ControlRegimen[[#This Row],[FECHA]],2)</f>
        <v>17</v>
      </c>
      <c r="C1582" s="7">
        <v>45036</v>
      </c>
      <c r="D1582" s="3" t="s">
        <v>84</v>
      </c>
      <c r="E1582" s="3" t="s">
        <v>154</v>
      </c>
      <c r="F1582" s="3"/>
    </row>
    <row r="1583" spans="1:6" x14ac:dyDescent="0.3">
      <c r="A1583" s="7" t="str">
        <f>BD_ControlRegimen[[#This Row],[FECHA]]&amp;BD_ControlRegimen[[#This Row],[NOMBRE]]</f>
        <v>45037COTRINA COTRINA VICTOR EDGARDO</v>
      </c>
      <c r="B1583" s="83">
        <f>WEEKNUM(BD_ControlRegimen[[#This Row],[FECHA]],2)</f>
        <v>17</v>
      </c>
      <c r="C1583" s="7">
        <v>45037</v>
      </c>
      <c r="D1583" s="3" t="s">
        <v>84</v>
      </c>
      <c r="E1583" s="3" t="s">
        <v>154</v>
      </c>
      <c r="F1583" s="3"/>
    </row>
    <row r="1584" spans="1:6" x14ac:dyDescent="0.3">
      <c r="A1584" s="7" t="str">
        <f>BD_ControlRegimen[[#This Row],[FECHA]]&amp;BD_ControlRegimen[[#This Row],[NOMBRE]]</f>
        <v>45038COTRINA COTRINA VICTOR EDGARDO</v>
      </c>
      <c r="B1584" s="83">
        <f>WEEKNUM(BD_ControlRegimen[[#This Row],[FECHA]],2)</f>
        <v>17</v>
      </c>
      <c r="C1584" s="7">
        <v>45038</v>
      </c>
      <c r="D1584" s="3" t="s">
        <v>84</v>
      </c>
      <c r="E1584" s="3" t="s">
        <v>154</v>
      </c>
      <c r="F1584" s="3"/>
    </row>
    <row r="1585" spans="1:6" x14ac:dyDescent="0.3">
      <c r="A1585" s="7" t="str">
        <f>BD_ControlRegimen[[#This Row],[FECHA]]&amp;BD_ControlRegimen[[#This Row],[NOMBRE]]</f>
        <v>45039COTRINA COTRINA VICTOR EDGARDO</v>
      </c>
      <c r="B1585" s="83">
        <f>WEEKNUM(BD_ControlRegimen[[#This Row],[FECHA]],2)</f>
        <v>17</v>
      </c>
      <c r="C1585" s="7">
        <v>45039</v>
      </c>
      <c r="D1585" s="3" t="s">
        <v>84</v>
      </c>
      <c r="E1585" s="3" t="s">
        <v>154</v>
      </c>
      <c r="F1585" s="3"/>
    </row>
    <row r="1586" spans="1:6" x14ac:dyDescent="0.3">
      <c r="A1586" s="7" t="str">
        <f>BD_ControlRegimen[[#This Row],[FECHA]]&amp;BD_ControlRegimen[[#This Row],[NOMBRE]]</f>
        <v>45040COTRINA COTRINA VICTOR EDGARDO</v>
      </c>
      <c r="B1586" s="83">
        <f>WEEKNUM(BD_ControlRegimen[[#This Row],[FECHA]],2)</f>
        <v>18</v>
      </c>
      <c r="C1586" s="7">
        <v>45040</v>
      </c>
      <c r="D1586" s="3" t="s">
        <v>84</v>
      </c>
      <c r="E1586" s="3" t="s">
        <v>154</v>
      </c>
      <c r="F1586" s="3"/>
    </row>
    <row r="1587" spans="1:6" x14ac:dyDescent="0.3">
      <c r="A1587" s="7" t="str">
        <f>BD_ControlRegimen[[#This Row],[FECHA]]&amp;BD_ControlRegimen[[#This Row],[NOMBRE]]</f>
        <v>45041COTRINA COTRINA VICTOR EDGARDO</v>
      </c>
      <c r="B1587" s="83">
        <f>WEEKNUM(BD_ControlRegimen[[#This Row],[FECHA]],2)</f>
        <v>18</v>
      </c>
      <c r="C1587" s="7">
        <v>45041</v>
      </c>
      <c r="D1587" s="3" t="s">
        <v>84</v>
      </c>
      <c r="E1587" s="3" t="s">
        <v>154</v>
      </c>
      <c r="F1587" s="3"/>
    </row>
    <row r="1588" spans="1:6" x14ac:dyDescent="0.3">
      <c r="A1588" s="7" t="str">
        <f>BD_ControlRegimen[[#This Row],[FECHA]]&amp;BD_ControlRegimen[[#This Row],[NOMBRE]]</f>
        <v>45042COTRINA COTRINA VICTOR EDGARDO</v>
      </c>
      <c r="B1588" s="83">
        <f>WEEKNUM(BD_ControlRegimen[[#This Row],[FECHA]],2)</f>
        <v>18</v>
      </c>
      <c r="C1588" s="7">
        <v>45042</v>
      </c>
      <c r="D1588" s="3" t="s">
        <v>84</v>
      </c>
      <c r="E1588" s="3" t="s">
        <v>154</v>
      </c>
      <c r="F1588" s="3"/>
    </row>
    <row r="1589" spans="1:6" x14ac:dyDescent="0.3">
      <c r="A1589" s="7" t="str">
        <f>BD_ControlRegimen[[#This Row],[FECHA]]&amp;BD_ControlRegimen[[#This Row],[NOMBRE]]</f>
        <v>45043COTRINA COTRINA VICTOR EDGARDO</v>
      </c>
      <c r="B1589" s="83">
        <f>WEEKNUM(BD_ControlRegimen[[#This Row],[FECHA]],2)</f>
        <v>18</v>
      </c>
      <c r="C1589" s="7">
        <v>45043</v>
      </c>
      <c r="D1589" s="3" t="s">
        <v>84</v>
      </c>
      <c r="E1589" s="3" t="s">
        <v>154</v>
      </c>
      <c r="F1589" s="3"/>
    </row>
    <row r="1590" spans="1:6" x14ac:dyDescent="0.3">
      <c r="A1590" s="7" t="str">
        <f>BD_ControlRegimen[[#This Row],[FECHA]]&amp;BD_ControlRegimen[[#This Row],[NOMBRE]]</f>
        <v>45044COTRINA COTRINA VICTOR EDGARDO</v>
      </c>
      <c r="B1590" s="83">
        <f>WEEKNUM(BD_ControlRegimen[[#This Row],[FECHA]],2)</f>
        <v>18</v>
      </c>
      <c r="C1590" s="7">
        <v>45044</v>
      </c>
      <c r="D1590" s="3" t="s">
        <v>84</v>
      </c>
      <c r="E1590" s="3" t="s">
        <v>154</v>
      </c>
      <c r="F1590" s="3"/>
    </row>
    <row r="1591" spans="1:6" x14ac:dyDescent="0.3">
      <c r="A1591" s="7" t="str">
        <f>BD_ControlRegimen[[#This Row],[FECHA]]&amp;BD_ControlRegimen[[#This Row],[NOMBRE]]</f>
        <v>45045COTRINA COTRINA VICTOR EDGARDO</v>
      </c>
      <c r="B1591" s="83">
        <f>WEEKNUM(BD_ControlRegimen[[#This Row],[FECHA]],2)</f>
        <v>18</v>
      </c>
      <c r="C1591" s="7">
        <v>45045</v>
      </c>
      <c r="D1591" s="3" t="s">
        <v>84</v>
      </c>
      <c r="E1591" s="3" t="s">
        <v>154</v>
      </c>
      <c r="F1591" s="3"/>
    </row>
    <row r="1592" spans="1:6" x14ac:dyDescent="0.3">
      <c r="A1592" s="7" t="str">
        <f>BD_ControlRegimen[[#This Row],[FECHA]]&amp;BD_ControlRegimen[[#This Row],[NOMBRE]]</f>
        <v>45046COTRINA COTRINA VICTOR EDGARDO</v>
      </c>
      <c r="B1592" s="83">
        <f>WEEKNUM(BD_ControlRegimen[[#This Row],[FECHA]],2)</f>
        <v>18</v>
      </c>
      <c r="C1592" s="7">
        <v>45046</v>
      </c>
      <c r="D1592" s="3" t="s">
        <v>84</v>
      </c>
      <c r="E1592" s="3" t="s">
        <v>154</v>
      </c>
      <c r="F1592" s="3"/>
    </row>
    <row r="1593" spans="1:6" x14ac:dyDescent="0.3">
      <c r="A1593" s="7" t="str">
        <f>BD_ControlRegimen[[#This Row],[FECHA]]&amp;BD_ControlRegimen[[#This Row],[NOMBRE]]</f>
        <v>45047COTRINA COTRINA VICTOR EDGARDO</v>
      </c>
      <c r="B1593" s="83">
        <f>WEEKNUM(BD_ControlRegimen[[#This Row],[FECHA]],2)</f>
        <v>19</v>
      </c>
      <c r="C1593" s="7">
        <v>45047</v>
      </c>
      <c r="D1593" s="3" t="s">
        <v>84</v>
      </c>
      <c r="E1593" s="3" t="s">
        <v>154</v>
      </c>
      <c r="F1593" s="3"/>
    </row>
    <row r="1594" spans="1:6" x14ac:dyDescent="0.3">
      <c r="A1594" s="7" t="str">
        <f>BD_ControlRegimen[[#This Row],[FECHA]]&amp;BD_ControlRegimen[[#This Row],[NOMBRE]]</f>
        <v>45048COTRINA COTRINA VICTOR EDGARDO</v>
      </c>
      <c r="B1594" s="83">
        <f>WEEKNUM(BD_ControlRegimen[[#This Row],[FECHA]],2)</f>
        <v>19</v>
      </c>
      <c r="C1594" s="7">
        <v>45048</v>
      </c>
      <c r="D1594" s="3" t="s">
        <v>84</v>
      </c>
      <c r="E1594" s="3" t="s">
        <v>154</v>
      </c>
      <c r="F1594" s="3"/>
    </row>
    <row r="1595" spans="1:6" x14ac:dyDescent="0.3">
      <c r="A1595" s="7" t="str">
        <f>BD_ControlRegimen[[#This Row],[FECHA]]&amp;BD_ControlRegimen[[#This Row],[NOMBRE]]</f>
        <v>45049COTRINA COTRINA VICTOR EDGARDO</v>
      </c>
      <c r="B1595" s="83">
        <f>WEEKNUM(BD_ControlRegimen[[#This Row],[FECHA]],2)</f>
        <v>19</v>
      </c>
      <c r="C1595" s="7">
        <v>45049</v>
      </c>
      <c r="D1595" s="3" t="s">
        <v>84</v>
      </c>
      <c r="E1595" s="3" t="s">
        <v>154</v>
      </c>
      <c r="F1595" s="3"/>
    </row>
    <row r="1596" spans="1:6" x14ac:dyDescent="0.3">
      <c r="A1596" s="7" t="str">
        <f>BD_ControlRegimen[[#This Row],[FECHA]]&amp;BD_ControlRegimen[[#This Row],[NOMBRE]]</f>
        <v>45050COTRINA COTRINA VICTOR EDGARDO</v>
      </c>
      <c r="B1596" s="83">
        <f>WEEKNUM(BD_ControlRegimen[[#This Row],[FECHA]],2)</f>
        <v>19</v>
      </c>
      <c r="C1596" s="7">
        <v>45050</v>
      </c>
      <c r="D1596" s="3" t="s">
        <v>84</v>
      </c>
      <c r="E1596" s="3" t="s">
        <v>154</v>
      </c>
      <c r="F1596" s="3"/>
    </row>
    <row r="1597" spans="1:6" x14ac:dyDescent="0.3">
      <c r="A1597" s="7" t="str">
        <f>BD_ControlRegimen[[#This Row],[FECHA]]&amp;BD_ControlRegimen[[#This Row],[NOMBRE]]</f>
        <v>45051COTRINA COTRINA VICTOR EDGARDO</v>
      </c>
      <c r="B1597" s="83">
        <f>WEEKNUM(BD_ControlRegimen[[#This Row],[FECHA]],2)</f>
        <v>19</v>
      </c>
      <c r="C1597" s="7">
        <v>45051</v>
      </c>
      <c r="D1597" s="3" t="s">
        <v>84</v>
      </c>
      <c r="E1597" s="3" t="s">
        <v>154</v>
      </c>
      <c r="F1597" s="3"/>
    </row>
    <row r="1598" spans="1:6" x14ac:dyDescent="0.3">
      <c r="A1598" s="7" t="str">
        <f>BD_ControlRegimen[[#This Row],[FECHA]]&amp;BD_ControlRegimen[[#This Row],[NOMBRE]]</f>
        <v>45052COTRINA COTRINA VICTOR EDGARDO</v>
      </c>
      <c r="B1598" s="83">
        <f>WEEKNUM(BD_ControlRegimen[[#This Row],[FECHA]],2)</f>
        <v>19</v>
      </c>
      <c r="C1598" s="7">
        <v>45052</v>
      </c>
      <c r="D1598" s="3" t="s">
        <v>84</v>
      </c>
      <c r="E1598" s="3" t="s">
        <v>154</v>
      </c>
      <c r="F1598" s="3"/>
    </row>
    <row r="1599" spans="1:6" x14ac:dyDescent="0.3">
      <c r="A1599" s="7" t="str">
        <f>BD_ControlRegimen[[#This Row],[FECHA]]&amp;BD_ControlRegimen[[#This Row],[NOMBRE]]</f>
        <v>45053COTRINA COTRINA VICTOR EDGARDO</v>
      </c>
      <c r="B1599" s="83">
        <f>WEEKNUM(BD_ControlRegimen[[#This Row],[FECHA]],2)</f>
        <v>19</v>
      </c>
      <c r="C1599" s="7">
        <v>45053</v>
      </c>
      <c r="D1599" s="3" t="s">
        <v>84</v>
      </c>
      <c r="E1599" s="3" t="s">
        <v>154</v>
      </c>
      <c r="F1599" s="3"/>
    </row>
    <row r="1600" spans="1:6" x14ac:dyDescent="0.3">
      <c r="A1600" s="7" t="str">
        <f>BD_ControlRegimen[[#This Row],[FECHA]]&amp;BD_ControlRegimen[[#This Row],[NOMBRE]]</f>
        <v>45054COTRINA COTRINA VICTOR EDGARDO</v>
      </c>
      <c r="B1600" s="83">
        <f>WEEKNUM(BD_ControlRegimen[[#This Row],[FECHA]],2)</f>
        <v>20</v>
      </c>
      <c r="C1600" s="7">
        <v>45054</v>
      </c>
      <c r="D1600" s="3" t="s">
        <v>84</v>
      </c>
      <c r="E1600" s="3" t="s">
        <v>155</v>
      </c>
      <c r="F1600" s="3"/>
    </row>
    <row r="1601" spans="1:6" x14ac:dyDescent="0.3">
      <c r="A1601" s="7" t="str">
        <f>BD_ControlRegimen[[#This Row],[FECHA]]&amp;BD_ControlRegimen[[#This Row],[NOMBRE]]</f>
        <v>45055COTRINA COTRINA VICTOR EDGARDO</v>
      </c>
      <c r="B1601" s="83">
        <f>WEEKNUM(BD_ControlRegimen[[#This Row],[FECHA]],2)</f>
        <v>20</v>
      </c>
      <c r="C1601" s="7">
        <v>45055</v>
      </c>
      <c r="D1601" s="3" t="s">
        <v>84</v>
      </c>
      <c r="E1601" s="3" t="s">
        <v>155</v>
      </c>
      <c r="F1601" s="3"/>
    </row>
    <row r="1602" spans="1:6" x14ac:dyDescent="0.3">
      <c r="A1602" s="7" t="str">
        <f>BD_ControlRegimen[[#This Row],[FECHA]]&amp;BD_ControlRegimen[[#This Row],[NOMBRE]]</f>
        <v>45056COTRINA COTRINA VICTOR EDGARDO</v>
      </c>
      <c r="B1602" s="83">
        <f>WEEKNUM(BD_ControlRegimen[[#This Row],[FECHA]],2)</f>
        <v>20</v>
      </c>
      <c r="C1602" s="7">
        <v>45056</v>
      </c>
      <c r="D1602" s="3" t="s">
        <v>84</v>
      </c>
      <c r="E1602" s="3" t="s">
        <v>155</v>
      </c>
      <c r="F1602" s="3"/>
    </row>
    <row r="1603" spans="1:6" x14ac:dyDescent="0.3">
      <c r="A1603" s="7" t="str">
        <f>BD_ControlRegimen[[#This Row],[FECHA]]&amp;BD_ControlRegimen[[#This Row],[NOMBRE]]</f>
        <v>45057COTRINA COTRINA VICTOR EDGARDO</v>
      </c>
      <c r="B1603" s="83">
        <f>WEEKNUM(BD_ControlRegimen[[#This Row],[FECHA]],2)</f>
        <v>20</v>
      </c>
      <c r="C1603" s="7">
        <v>45057</v>
      </c>
      <c r="D1603" s="3" t="s">
        <v>84</v>
      </c>
      <c r="E1603" s="3" t="s">
        <v>155</v>
      </c>
      <c r="F1603" s="3"/>
    </row>
    <row r="1604" spans="1:6" x14ac:dyDescent="0.3">
      <c r="A1604" s="7" t="str">
        <f>BD_ControlRegimen[[#This Row],[FECHA]]&amp;BD_ControlRegimen[[#This Row],[NOMBRE]]</f>
        <v>45058COTRINA COTRINA VICTOR EDGARDO</v>
      </c>
      <c r="B1604" s="83">
        <f>WEEKNUM(BD_ControlRegimen[[#This Row],[FECHA]],2)</f>
        <v>20</v>
      </c>
      <c r="C1604" s="7">
        <v>45058</v>
      </c>
      <c r="D1604" s="3" t="s">
        <v>84</v>
      </c>
      <c r="E1604" s="3" t="s">
        <v>155</v>
      </c>
      <c r="F1604" s="3"/>
    </row>
    <row r="1605" spans="1:6" x14ac:dyDescent="0.3">
      <c r="A1605" s="7" t="str">
        <f>BD_ControlRegimen[[#This Row],[FECHA]]&amp;BD_ControlRegimen[[#This Row],[NOMBRE]]</f>
        <v>45059COTRINA COTRINA VICTOR EDGARDO</v>
      </c>
      <c r="B1605" s="83">
        <f>WEEKNUM(BD_ControlRegimen[[#This Row],[FECHA]],2)</f>
        <v>20</v>
      </c>
      <c r="C1605" s="7">
        <v>45059</v>
      </c>
      <c r="D1605" s="3" t="s">
        <v>84</v>
      </c>
      <c r="E1605" s="3" t="s">
        <v>155</v>
      </c>
      <c r="F1605" s="3"/>
    </row>
    <row r="1606" spans="1:6" x14ac:dyDescent="0.3">
      <c r="A1606" s="7" t="str">
        <f>BD_ControlRegimen[[#This Row],[FECHA]]&amp;BD_ControlRegimen[[#This Row],[NOMBRE]]</f>
        <v>45060COTRINA COTRINA VICTOR EDGARDO</v>
      </c>
      <c r="B1606" s="83">
        <f>WEEKNUM(BD_ControlRegimen[[#This Row],[FECHA]],2)</f>
        <v>20</v>
      </c>
      <c r="C1606" s="7">
        <v>45060</v>
      </c>
      <c r="D1606" s="3" t="s">
        <v>84</v>
      </c>
      <c r="E1606" s="3" t="s">
        <v>155</v>
      </c>
      <c r="F1606" s="3"/>
    </row>
    <row r="1607" spans="1:6" hidden="1" x14ac:dyDescent="0.3">
      <c r="A1607" s="7" t="str">
        <f>BD_ControlRegimen[[#This Row],[FECHA]]&amp;BD_ControlRegimen[[#This Row],[NOMBRE]]</f>
        <v>45061COTRINA COTRINA VICTOR EDGARDO</v>
      </c>
      <c r="B1607" s="83">
        <f>WEEKNUM(BD_ControlRegimen[[#This Row],[FECHA]],2)</f>
        <v>21</v>
      </c>
      <c r="C1607" s="7">
        <v>45061</v>
      </c>
      <c r="D1607" s="3" t="s">
        <v>84</v>
      </c>
      <c r="E1607" s="3"/>
      <c r="F1607" s="3"/>
    </row>
    <row r="1608" spans="1:6" hidden="1" x14ac:dyDescent="0.3">
      <c r="A1608" s="7" t="str">
        <f>BD_ControlRegimen[[#This Row],[FECHA]]&amp;BD_ControlRegimen[[#This Row],[NOMBRE]]</f>
        <v>45062COTRINA COTRINA VICTOR EDGARDO</v>
      </c>
      <c r="B1608" s="83">
        <f>WEEKNUM(BD_ControlRegimen[[#This Row],[FECHA]],2)</f>
        <v>21</v>
      </c>
      <c r="C1608" s="7">
        <v>45062</v>
      </c>
      <c r="D1608" s="3" t="s">
        <v>84</v>
      </c>
      <c r="E1608" s="3"/>
      <c r="F1608" s="3"/>
    </row>
    <row r="1609" spans="1:6" hidden="1" x14ac:dyDescent="0.3">
      <c r="A1609" s="7" t="str">
        <f>BD_ControlRegimen[[#This Row],[FECHA]]&amp;BD_ControlRegimen[[#This Row],[NOMBRE]]</f>
        <v>45063COTRINA COTRINA VICTOR EDGARDO</v>
      </c>
      <c r="B1609" s="83">
        <f>WEEKNUM(BD_ControlRegimen[[#This Row],[FECHA]],2)</f>
        <v>21</v>
      </c>
      <c r="C1609" s="7">
        <v>45063</v>
      </c>
      <c r="D1609" s="3" t="s">
        <v>84</v>
      </c>
      <c r="E1609" s="3"/>
      <c r="F1609" s="3"/>
    </row>
    <row r="1610" spans="1:6" hidden="1" x14ac:dyDescent="0.3">
      <c r="A1610" s="7" t="str">
        <f>BD_ControlRegimen[[#This Row],[FECHA]]&amp;BD_ControlRegimen[[#This Row],[NOMBRE]]</f>
        <v>45064COTRINA COTRINA VICTOR EDGARDO</v>
      </c>
      <c r="B1610" s="83">
        <f>WEEKNUM(BD_ControlRegimen[[#This Row],[FECHA]],2)</f>
        <v>21</v>
      </c>
      <c r="C1610" s="7">
        <v>45064</v>
      </c>
      <c r="D1610" s="3" t="s">
        <v>84</v>
      </c>
      <c r="E1610" s="3"/>
      <c r="F1610" s="3"/>
    </row>
    <row r="1611" spans="1:6" hidden="1" x14ac:dyDescent="0.3">
      <c r="A1611" s="7" t="str">
        <f>BD_ControlRegimen[[#This Row],[FECHA]]&amp;BD_ControlRegimen[[#This Row],[NOMBRE]]</f>
        <v>45065COTRINA COTRINA VICTOR EDGARDO</v>
      </c>
      <c r="B1611" s="83">
        <f>WEEKNUM(BD_ControlRegimen[[#This Row],[FECHA]],2)</f>
        <v>21</v>
      </c>
      <c r="C1611" s="7">
        <v>45065</v>
      </c>
      <c r="D1611" s="3" t="s">
        <v>84</v>
      </c>
      <c r="E1611" s="3"/>
      <c r="F1611" s="3"/>
    </row>
    <row r="1612" spans="1:6" hidden="1" x14ac:dyDescent="0.3">
      <c r="A1612" s="7" t="str">
        <f>BD_ControlRegimen[[#This Row],[FECHA]]&amp;BD_ControlRegimen[[#This Row],[NOMBRE]]</f>
        <v>45066COTRINA COTRINA VICTOR EDGARDO</v>
      </c>
      <c r="B1612" s="83">
        <f>WEEKNUM(BD_ControlRegimen[[#This Row],[FECHA]],2)</f>
        <v>21</v>
      </c>
      <c r="C1612" s="7">
        <v>45066</v>
      </c>
      <c r="D1612" s="3" t="s">
        <v>84</v>
      </c>
      <c r="E1612" s="3"/>
      <c r="F1612" s="3"/>
    </row>
    <row r="1613" spans="1:6" hidden="1" x14ac:dyDescent="0.3">
      <c r="A1613" s="7" t="str">
        <f>BD_ControlRegimen[[#This Row],[FECHA]]&amp;BD_ControlRegimen[[#This Row],[NOMBRE]]</f>
        <v>45067COTRINA COTRINA VICTOR EDGARDO</v>
      </c>
      <c r="B1613" s="83">
        <f>WEEKNUM(BD_ControlRegimen[[#This Row],[FECHA]],2)</f>
        <v>21</v>
      </c>
      <c r="C1613" s="7">
        <v>45067</v>
      </c>
      <c r="D1613" s="3" t="s">
        <v>84</v>
      </c>
      <c r="E1613" s="3"/>
      <c r="F1613" s="3"/>
    </row>
    <row r="1614" spans="1:6" hidden="1" x14ac:dyDescent="0.3">
      <c r="A1614" s="7" t="str">
        <f>BD_ControlRegimen[[#This Row],[FECHA]]&amp;BD_ControlRegimen[[#This Row],[NOMBRE]]</f>
        <v>45068COTRINA COTRINA VICTOR EDGARDO</v>
      </c>
      <c r="B1614" s="83">
        <f>WEEKNUM(BD_ControlRegimen[[#This Row],[FECHA]],2)</f>
        <v>22</v>
      </c>
      <c r="C1614" s="7">
        <v>45068</v>
      </c>
      <c r="D1614" s="3" t="s">
        <v>84</v>
      </c>
      <c r="E1614" s="3"/>
      <c r="F1614" s="3"/>
    </row>
    <row r="1615" spans="1:6" hidden="1" x14ac:dyDescent="0.3">
      <c r="A1615" s="7" t="str">
        <f>BD_ControlRegimen[[#This Row],[FECHA]]&amp;BD_ControlRegimen[[#This Row],[NOMBRE]]</f>
        <v>45069COTRINA COTRINA VICTOR EDGARDO</v>
      </c>
      <c r="B1615" s="83">
        <f>WEEKNUM(BD_ControlRegimen[[#This Row],[FECHA]],2)</f>
        <v>22</v>
      </c>
      <c r="C1615" s="7">
        <v>45069</v>
      </c>
      <c r="D1615" s="3" t="s">
        <v>84</v>
      </c>
      <c r="E1615" s="3"/>
      <c r="F1615" s="3"/>
    </row>
    <row r="1616" spans="1:6" hidden="1" x14ac:dyDescent="0.3">
      <c r="A1616" s="7" t="str">
        <f>BD_ControlRegimen[[#This Row],[FECHA]]&amp;BD_ControlRegimen[[#This Row],[NOMBRE]]</f>
        <v>45070COTRINA COTRINA VICTOR EDGARDO</v>
      </c>
      <c r="B1616" s="83">
        <f>WEEKNUM(BD_ControlRegimen[[#This Row],[FECHA]],2)</f>
        <v>22</v>
      </c>
      <c r="C1616" s="7">
        <v>45070</v>
      </c>
      <c r="D1616" s="3" t="s">
        <v>84</v>
      </c>
      <c r="E1616" s="3"/>
      <c r="F1616" s="3"/>
    </row>
    <row r="1617" spans="1:6" hidden="1" x14ac:dyDescent="0.3">
      <c r="A1617" s="7" t="str">
        <f>BD_ControlRegimen[[#This Row],[FECHA]]&amp;BD_ControlRegimen[[#This Row],[NOMBRE]]</f>
        <v>45071COTRINA COTRINA VICTOR EDGARDO</v>
      </c>
      <c r="B1617" s="83">
        <f>WEEKNUM(BD_ControlRegimen[[#This Row],[FECHA]],2)</f>
        <v>22</v>
      </c>
      <c r="C1617" s="7">
        <v>45071</v>
      </c>
      <c r="D1617" s="3" t="s">
        <v>84</v>
      </c>
      <c r="E1617" s="3"/>
      <c r="F1617" s="3"/>
    </row>
    <row r="1618" spans="1:6" hidden="1" x14ac:dyDescent="0.3">
      <c r="A1618" s="7" t="str">
        <f>BD_ControlRegimen[[#This Row],[FECHA]]&amp;BD_ControlRegimen[[#This Row],[NOMBRE]]</f>
        <v>45072COTRINA COTRINA VICTOR EDGARDO</v>
      </c>
      <c r="B1618" s="83">
        <f>WEEKNUM(BD_ControlRegimen[[#This Row],[FECHA]],2)</f>
        <v>22</v>
      </c>
      <c r="C1618" s="7">
        <v>45072</v>
      </c>
      <c r="D1618" s="3" t="s">
        <v>84</v>
      </c>
      <c r="E1618" s="3"/>
      <c r="F1618" s="3"/>
    </row>
    <row r="1619" spans="1:6" hidden="1" x14ac:dyDescent="0.3">
      <c r="A1619" s="7" t="str">
        <f>BD_ControlRegimen[[#This Row],[FECHA]]&amp;BD_ControlRegimen[[#This Row],[NOMBRE]]</f>
        <v>45073COTRINA COTRINA VICTOR EDGARDO</v>
      </c>
      <c r="B1619" s="83">
        <f>WEEKNUM(BD_ControlRegimen[[#This Row],[FECHA]],2)</f>
        <v>22</v>
      </c>
      <c r="C1619" s="7">
        <v>45073</v>
      </c>
      <c r="D1619" s="3" t="s">
        <v>84</v>
      </c>
      <c r="E1619" s="3"/>
      <c r="F1619" s="3"/>
    </row>
    <row r="1620" spans="1:6" hidden="1" x14ac:dyDescent="0.3">
      <c r="A1620" s="7" t="str">
        <f>BD_ControlRegimen[[#This Row],[FECHA]]&amp;BD_ControlRegimen[[#This Row],[NOMBRE]]</f>
        <v>45074COTRINA COTRINA VICTOR EDGARDO</v>
      </c>
      <c r="B1620" s="83">
        <f>WEEKNUM(BD_ControlRegimen[[#This Row],[FECHA]],2)</f>
        <v>22</v>
      </c>
      <c r="C1620" s="7">
        <v>45074</v>
      </c>
      <c r="D1620" s="3" t="s">
        <v>84</v>
      </c>
      <c r="E1620" s="3"/>
      <c r="F1620" s="3"/>
    </row>
    <row r="1621" spans="1:6" hidden="1" x14ac:dyDescent="0.3">
      <c r="A1621" s="7" t="str">
        <f>BD_ControlRegimen[[#This Row],[FECHA]]&amp;BD_ControlRegimen[[#This Row],[NOMBRE]]</f>
        <v>45075COTRINA COTRINA VICTOR EDGARDO</v>
      </c>
      <c r="B1621" s="83">
        <f>WEEKNUM(BD_ControlRegimen[[#This Row],[FECHA]],2)</f>
        <v>23</v>
      </c>
      <c r="C1621" s="7">
        <v>45075</v>
      </c>
      <c r="D1621" s="3" t="s">
        <v>84</v>
      </c>
      <c r="E1621" s="3"/>
      <c r="F1621" s="3"/>
    </row>
    <row r="1622" spans="1:6" hidden="1" x14ac:dyDescent="0.3">
      <c r="A1622" s="7" t="str">
        <f>BD_ControlRegimen[[#This Row],[FECHA]]&amp;BD_ControlRegimen[[#This Row],[NOMBRE]]</f>
        <v>45076COTRINA COTRINA VICTOR EDGARDO</v>
      </c>
      <c r="B1622" s="83">
        <f>WEEKNUM(BD_ControlRegimen[[#This Row],[FECHA]],2)</f>
        <v>23</v>
      </c>
      <c r="C1622" s="7">
        <v>45076</v>
      </c>
      <c r="D1622" s="3" t="s">
        <v>84</v>
      </c>
      <c r="E1622" s="3"/>
      <c r="F1622" s="3"/>
    </row>
    <row r="1623" spans="1:6" hidden="1" x14ac:dyDescent="0.3">
      <c r="A1623" s="7" t="str">
        <f>BD_ControlRegimen[[#This Row],[FECHA]]&amp;BD_ControlRegimen[[#This Row],[NOMBRE]]</f>
        <v>45077COTRINA COTRINA VICTOR EDGARDO</v>
      </c>
      <c r="B1623" s="83">
        <f>WEEKNUM(BD_ControlRegimen[[#This Row],[FECHA]],2)</f>
        <v>23</v>
      </c>
      <c r="C1623" s="7">
        <v>45077</v>
      </c>
      <c r="D1623" s="3" t="s">
        <v>84</v>
      </c>
      <c r="E1623" s="3"/>
      <c r="F1623" s="3"/>
    </row>
    <row r="1624" spans="1:6" hidden="1" x14ac:dyDescent="0.3">
      <c r="A1624" s="7" t="str">
        <f>BD_ControlRegimen[[#This Row],[FECHA]]&amp;BD_ControlRegimen[[#This Row],[NOMBRE]]</f>
        <v>45078COTRINA COTRINA VICTOR EDGARDO</v>
      </c>
      <c r="B1624" s="83">
        <f>WEEKNUM(BD_ControlRegimen[[#This Row],[FECHA]],2)</f>
        <v>23</v>
      </c>
      <c r="C1624" s="7">
        <v>45078</v>
      </c>
      <c r="D1624" s="3" t="s">
        <v>84</v>
      </c>
      <c r="E1624" s="3"/>
      <c r="F1624" s="3"/>
    </row>
    <row r="1625" spans="1:6" hidden="1" x14ac:dyDescent="0.3">
      <c r="A1625" s="7" t="str">
        <f>BD_ControlRegimen[[#This Row],[FECHA]]&amp;BD_ControlRegimen[[#This Row],[NOMBRE]]</f>
        <v>45079COTRINA COTRINA VICTOR EDGARDO</v>
      </c>
      <c r="B1625" s="83">
        <f>WEEKNUM(BD_ControlRegimen[[#This Row],[FECHA]],2)</f>
        <v>23</v>
      </c>
      <c r="C1625" s="7">
        <v>45079</v>
      </c>
      <c r="D1625" s="3" t="s">
        <v>84</v>
      </c>
      <c r="E1625" s="3"/>
      <c r="F1625" s="3"/>
    </row>
    <row r="1626" spans="1:6" hidden="1" x14ac:dyDescent="0.3">
      <c r="A1626" s="7" t="str">
        <f>BD_ControlRegimen[[#This Row],[FECHA]]&amp;BD_ControlRegimen[[#This Row],[NOMBRE]]</f>
        <v>45080COTRINA COTRINA VICTOR EDGARDO</v>
      </c>
      <c r="B1626" s="83">
        <f>WEEKNUM(BD_ControlRegimen[[#This Row],[FECHA]],2)</f>
        <v>23</v>
      </c>
      <c r="C1626" s="7">
        <v>45080</v>
      </c>
      <c r="D1626" s="3" t="s">
        <v>84</v>
      </c>
      <c r="E1626" s="3"/>
      <c r="F1626" s="3"/>
    </row>
    <row r="1627" spans="1:6" hidden="1" x14ac:dyDescent="0.3">
      <c r="A1627" s="7" t="str">
        <f>BD_ControlRegimen[[#This Row],[FECHA]]&amp;BD_ControlRegimen[[#This Row],[NOMBRE]]</f>
        <v>45081COTRINA COTRINA VICTOR EDGARDO</v>
      </c>
      <c r="B1627" s="83">
        <f>WEEKNUM(BD_ControlRegimen[[#This Row],[FECHA]],2)</f>
        <v>23</v>
      </c>
      <c r="C1627" s="7">
        <v>45081</v>
      </c>
      <c r="D1627" s="3" t="s">
        <v>84</v>
      </c>
      <c r="E1627" s="3"/>
      <c r="F1627" s="3"/>
    </row>
    <row r="1628" spans="1:6" hidden="1" x14ac:dyDescent="0.3">
      <c r="A1628" s="7" t="str">
        <f>BD_ControlRegimen[[#This Row],[FECHA]]&amp;BD_ControlRegimen[[#This Row],[NOMBRE]]</f>
        <v>45082COTRINA COTRINA VICTOR EDGARDO</v>
      </c>
      <c r="B1628" s="83">
        <f>WEEKNUM(BD_ControlRegimen[[#This Row],[FECHA]],2)</f>
        <v>24</v>
      </c>
      <c r="C1628" s="7">
        <v>45082</v>
      </c>
      <c r="D1628" s="3" t="s">
        <v>84</v>
      </c>
      <c r="E1628" s="3"/>
      <c r="F1628" s="3"/>
    </row>
    <row r="1629" spans="1:6" hidden="1" x14ac:dyDescent="0.3">
      <c r="A1629" s="7" t="str">
        <f>BD_ControlRegimen[[#This Row],[FECHA]]&amp;BD_ControlRegimen[[#This Row],[NOMBRE]]</f>
        <v>45083COTRINA COTRINA VICTOR EDGARDO</v>
      </c>
      <c r="B1629" s="83">
        <f>WEEKNUM(BD_ControlRegimen[[#This Row],[FECHA]],2)</f>
        <v>24</v>
      </c>
      <c r="C1629" s="7">
        <v>45083</v>
      </c>
      <c r="D1629" s="3" t="s">
        <v>84</v>
      </c>
      <c r="E1629" s="3"/>
      <c r="F1629" s="3"/>
    </row>
    <row r="1630" spans="1:6" hidden="1" x14ac:dyDescent="0.3">
      <c r="A1630" s="7" t="str">
        <f>BD_ControlRegimen[[#This Row],[FECHA]]&amp;BD_ControlRegimen[[#This Row],[NOMBRE]]</f>
        <v>45084COTRINA COTRINA VICTOR EDGARDO</v>
      </c>
      <c r="B1630" s="83">
        <f>WEEKNUM(BD_ControlRegimen[[#This Row],[FECHA]],2)</f>
        <v>24</v>
      </c>
      <c r="C1630" s="7">
        <v>45084</v>
      </c>
      <c r="D1630" s="3" t="s">
        <v>84</v>
      </c>
      <c r="E1630" s="3"/>
      <c r="F1630" s="3"/>
    </row>
    <row r="1631" spans="1:6" hidden="1" x14ac:dyDescent="0.3">
      <c r="A1631" s="7" t="str">
        <f>BD_ControlRegimen[[#This Row],[FECHA]]&amp;BD_ControlRegimen[[#This Row],[NOMBRE]]</f>
        <v>45085COTRINA COTRINA VICTOR EDGARDO</v>
      </c>
      <c r="B1631" s="83">
        <f>WEEKNUM(BD_ControlRegimen[[#This Row],[FECHA]],2)</f>
        <v>24</v>
      </c>
      <c r="C1631" s="7">
        <v>45085</v>
      </c>
      <c r="D1631" s="3" t="s">
        <v>84</v>
      </c>
      <c r="E1631" s="3"/>
      <c r="F1631" s="3"/>
    </row>
    <row r="1632" spans="1:6" hidden="1" x14ac:dyDescent="0.3">
      <c r="A1632" s="7" t="str">
        <f>BD_ControlRegimen[[#This Row],[FECHA]]&amp;BD_ControlRegimen[[#This Row],[NOMBRE]]</f>
        <v>45086COTRINA COTRINA VICTOR EDGARDO</v>
      </c>
      <c r="B1632" s="83">
        <f>WEEKNUM(BD_ControlRegimen[[#This Row],[FECHA]],2)</f>
        <v>24</v>
      </c>
      <c r="C1632" s="7">
        <v>45086</v>
      </c>
      <c r="D1632" s="3" t="s">
        <v>84</v>
      </c>
      <c r="E1632" s="3"/>
      <c r="F1632" s="3"/>
    </row>
    <row r="1633" spans="1:6" hidden="1" x14ac:dyDescent="0.3">
      <c r="A1633" s="7" t="str">
        <f>BD_ControlRegimen[[#This Row],[FECHA]]&amp;BD_ControlRegimen[[#This Row],[NOMBRE]]</f>
        <v>45087COTRINA COTRINA VICTOR EDGARDO</v>
      </c>
      <c r="B1633" s="83">
        <f>WEEKNUM(BD_ControlRegimen[[#This Row],[FECHA]],2)</f>
        <v>24</v>
      </c>
      <c r="C1633" s="7">
        <v>45087</v>
      </c>
      <c r="D1633" s="3" t="s">
        <v>84</v>
      </c>
      <c r="E1633" s="3"/>
      <c r="F1633" s="3"/>
    </row>
    <row r="1634" spans="1:6" hidden="1" x14ac:dyDescent="0.3">
      <c r="A1634" s="7" t="str">
        <f>BD_ControlRegimen[[#This Row],[FECHA]]&amp;BD_ControlRegimen[[#This Row],[NOMBRE]]</f>
        <v>45088COTRINA COTRINA VICTOR EDGARDO</v>
      </c>
      <c r="B1634" s="83">
        <f>WEEKNUM(BD_ControlRegimen[[#This Row],[FECHA]],2)</f>
        <v>24</v>
      </c>
      <c r="C1634" s="7">
        <v>45088</v>
      </c>
      <c r="D1634" s="3" t="s">
        <v>84</v>
      </c>
      <c r="E1634" s="3"/>
      <c r="F1634" s="3"/>
    </row>
    <row r="1635" spans="1:6" hidden="1" x14ac:dyDescent="0.3">
      <c r="A1635" s="7" t="str">
        <f>BD_ControlRegimen[[#This Row],[FECHA]]&amp;BD_ControlRegimen[[#This Row],[NOMBRE]]</f>
        <v>45089COTRINA COTRINA VICTOR EDGARDO</v>
      </c>
      <c r="B1635" s="83">
        <f>WEEKNUM(BD_ControlRegimen[[#This Row],[FECHA]],2)</f>
        <v>25</v>
      </c>
      <c r="C1635" s="7">
        <v>45089</v>
      </c>
      <c r="D1635" s="3" t="s">
        <v>84</v>
      </c>
      <c r="E1635" s="3"/>
      <c r="F1635" s="3"/>
    </row>
    <row r="1636" spans="1:6" hidden="1" x14ac:dyDescent="0.3">
      <c r="A1636" s="7" t="str">
        <f>BD_ControlRegimen[[#This Row],[FECHA]]&amp;BD_ControlRegimen[[#This Row],[NOMBRE]]</f>
        <v>45090COTRINA COTRINA VICTOR EDGARDO</v>
      </c>
      <c r="B1636" s="83">
        <f>WEEKNUM(BD_ControlRegimen[[#This Row],[FECHA]],2)</f>
        <v>25</v>
      </c>
      <c r="C1636" s="7">
        <v>45090</v>
      </c>
      <c r="D1636" s="3" t="s">
        <v>84</v>
      </c>
      <c r="E1636" s="3"/>
      <c r="F1636" s="3"/>
    </row>
    <row r="1637" spans="1:6" hidden="1" x14ac:dyDescent="0.3">
      <c r="A1637" s="7" t="str">
        <f>BD_ControlRegimen[[#This Row],[FECHA]]&amp;BD_ControlRegimen[[#This Row],[NOMBRE]]</f>
        <v>45091COTRINA COTRINA VICTOR EDGARDO</v>
      </c>
      <c r="B1637" s="83">
        <f>WEEKNUM(BD_ControlRegimen[[#This Row],[FECHA]],2)</f>
        <v>25</v>
      </c>
      <c r="C1637" s="7">
        <v>45091</v>
      </c>
      <c r="D1637" s="3" t="s">
        <v>84</v>
      </c>
      <c r="E1637" s="3"/>
      <c r="F1637" s="3"/>
    </row>
    <row r="1638" spans="1:6" hidden="1" x14ac:dyDescent="0.3">
      <c r="A1638" s="7" t="str">
        <f>BD_ControlRegimen[[#This Row],[FECHA]]&amp;BD_ControlRegimen[[#This Row],[NOMBRE]]</f>
        <v>45092COTRINA COTRINA VICTOR EDGARDO</v>
      </c>
      <c r="B1638" s="83">
        <f>WEEKNUM(BD_ControlRegimen[[#This Row],[FECHA]],2)</f>
        <v>25</v>
      </c>
      <c r="C1638" s="7">
        <v>45092</v>
      </c>
      <c r="D1638" s="3" t="s">
        <v>84</v>
      </c>
      <c r="E1638" s="3"/>
      <c r="F1638" s="3"/>
    </row>
    <row r="1639" spans="1:6" hidden="1" x14ac:dyDescent="0.3">
      <c r="A1639" s="7" t="str">
        <f>BD_ControlRegimen[[#This Row],[FECHA]]&amp;BD_ControlRegimen[[#This Row],[NOMBRE]]</f>
        <v>45093COTRINA COTRINA VICTOR EDGARDO</v>
      </c>
      <c r="B1639" s="83">
        <f>WEEKNUM(BD_ControlRegimen[[#This Row],[FECHA]],2)</f>
        <v>25</v>
      </c>
      <c r="C1639" s="7">
        <v>45093</v>
      </c>
      <c r="D1639" s="3" t="s">
        <v>84</v>
      </c>
      <c r="E1639" s="3"/>
      <c r="F1639" s="3"/>
    </row>
    <row r="1640" spans="1:6" hidden="1" x14ac:dyDescent="0.3">
      <c r="A1640" s="7" t="str">
        <f>BD_ControlRegimen[[#This Row],[FECHA]]&amp;BD_ControlRegimen[[#This Row],[NOMBRE]]</f>
        <v>45094COTRINA COTRINA VICTOR EDGARDO</v>
      </c>
      <c r="B1640" s="83">
        <f>WEEKNUM(BD_ControlRegimen[[#This Row],[FECHA]],2)</f>
        <v>25</v>
      </c>
      <c r="C1640" s="7">
        <v>45094</v>
      </c>
      <c r="D1640" s="3" t="s">
        <v>84</v>
      </c>
      <c r="E1640" s="3"/>
      <c r="F1640" s="3"/>
    </row>
    <row r="1641" spans="1:6" hidden="1" x14ac:dyDescent="0.3">
      <c r="A1641" s="7" t="str">
        <f>BD_ControlRegimen[[#This Row],[FECHA]]&amp;BD_ControlRegimen[[#This Row],[NOMBRE]]</f>
        <v>45095COTRINA COTRINA VICTOR EDGARDO</v>
      </c>
      <c r="B1641" s="83">
        <f>WEEKNUM(BD_ControlRegimen[[#This Row],[FECHA]],2)</f>
        <v>25</v>
      </c>
      <c r="C1641" s="7">
        <v>45095</v>
      </c>
      <c r="D1641" s="3" t="s">
        <v>84</v>
      </c>
      <c r="E1641" s="3"/>
      <c r="F1641" s="3"/>
    </row>
    <row r="1642" spans="1:6" hidden="1" x14ac:dyDescent="0.3">
      <c r="A1642" s="7" t="str">
        <f>BD_ControlRegimen[[#This Row],[FECHA]]&amp;BD_ControlRegimen[[#This Row],[NOMBRE]]</f>
        <v>45096COTRINA COTRINA VICTOR EDGARDO</v>
      </c>
      <c r="B1642" s="83">
        <f>WEEKNUM(BD_ControlRegimen[[#This Row],[FECHA]],2)</f>
        <v>26</v>
      </c>
      <c r="C1642" s="7">
        <v>45096</v>
      </c>
      <c r="D1642" s="3" t="s">
        <v>84</v>
      </c>
      <c r="E1642" s="3"/>
      <c r="F1642" s="3"/>
    </row>
    <row r="1643" spans="1:6" hidden="1" x14ac:dyDescent="0.3">
      <c r="A1643" s="7" t="str">
        <f>BD_ControlRegimen[[#This Row],[FECHA]]&amp;BD_ControlRegimen[[#This Row],[NOMBRE]]</f>
        <v>45097COTRINA COTRINA VICTOR EDGARDO</v>
      </c>
      <c r="B1643" s="83">
        <f>WEEKNUM(BD_ControlRegimen[[#This Row],[FECHA]],2)</f>
        <v>26</v>
      </c>
      <c r="C1643" s="7">
        <v>45097</v>
      </c>
      <c r="D1643" s="3" t="s">
        <v>84</v>
      </c>
      <c r="E1643" s="3"/>
      <c r="F1643" s="3"/>
    </row>
    <row r="1644" spans="1:6" hidden="1" x14ac:dyDescent="0.3">
      <c r="A1644" s="7" t="str">
        <f>BD_ControlRegimen[[#This Row],[FECHA]]&amp;BD_ControlRegimen[[#This Row],[NOMBRE]]</f>
        <v>45098COTRINA COTRINA VICTOR EDGARDO</v>
      </c>
      <c r="B1644" s="83">
        <f>WEEKNUM(BD_ControlRegimen[[#This Row],[FECHA]],2)</f>
        <v>26</v>
      </c>
      <c r="C1644" s="7">
        <v>45098</v>
      </c>
      <c r="D1644" s="3" t="s">
        <v>84</v>
      </c>
      <c r="E1644" s="3"/>
      <c r="F1644" s="3"/>
    </row>
    <row r="1645" spans="1:6" hidden="1" x14ac:dyDescent="0.3">
      <c r="A1645" s="7" t="str">
        <f>BD_ControlRegimen[[#This Row],[FECHA]]&amp;BD_ControlRegimen[[#This Row],[NOMBRE]]</f>
        <v>45099COTRINA COTRINA VICTOR EDGARDO</v>
      </c>
      <c r="B1645" s="83">
        <f>WEEKNUM(BD_ControlRegimen[[#This Row],[FECHA]],2)</f>
        <v>26</v>
      </c>
      <c r="C1645" s="7">
        <v>45099</v>
      </c>
      <c r="D1645" s="3" t="s">
        <v>84</v>
      </c>
      <c r="E1645" s="3"/>
      <c r="F1645" s="3"/>
    </row>
    <row r="1646" spans="1:6" hidden="1" x14ac:dyDescent="0.3">
      <c r="A1646" s="7" t="str">
        <f>BD_ControlRegimen[[#This Row],[FECHA]]&amp;BD_ControlRegimen[[#This Row],[NOMBRE]]</f>
        <v>45100COTRINA COTRINA VICTOR EDGARDO</v>
      </c>
      <c r="B1646" s="83">
        <f>WEEKNUM(BD_ControlRegimen[[#This Row],[FECHA]],2)</f>
        <v>26</v>
      </c>
      <c r="C1646" s="7">
        <v>45100</v>
      </c>
      <c r="D1646" s="3" t="s">
        <v>84</v>
      </c>
      <c r="E1646" s="3"/>
      <c r="F1646" s="3"/>
    </row>
    <row r="1647" spans="1:6" hidden="1" x14ac:dyDescent="0.3">
      <c r="A1647" s="7" t="str">
        <f>BD_ControlRegimen[[#This Row],[FECHA]]&amp;BD_ControlRegimen[[#This Row],[NOMBRE]]</f>
        <v>45101COTRINA COTRINA VICTOR EDGARDO</v>
      </c>
      <c r="B1647" s="83">
        <f>WEEKNUM(BD_ControlRegimen[[#This Row],[FECHA]],2)</f>
        <v>26</v>
      </c>
      <c r="C1647" s="7">
        <v>45101</v>
      </c>
      <c r="D1647" s="3" t="s">
        <v>84</v>
      </c>
      <c r="E1647" s="3"/>
      <c r="F1647" s="3"/>
    </row>
    <row r="1648" spans="1:6" hidden="1" x14ac:dyDescent="0.3">
      <c r="A1648" s="7" t="str">
        <f>BD_ControlRegimen[[#This Row],[FECHA]]&amp;BD_ControlRegimen[[#This Row],[NOMBRE]]</f>
        <v>45102COTRINA COTRINA VICTOR EDGARDO</v>
      </c>
      <c r="B1648" s="83">
        <f>WEEKNUM(BD_ControlRegimen[[#This Row],[FECHA]],2)</f>
        <v>26</v>
      </c>
      <c r="C1648" s="7">
        <v>45102</v>
      </c>
      <c r="D1648" s="3" t="s">
        <v>84</v>
      </c>
      <c r="E1648" s="3"/>
      <c r="F1648" s="3"/>
    </row>
    <row r="1649" spans="1:6" hidden="1" x14ac:dyDescent="0.3">
      <c r="A1649" s="7" t="str">
        <f>BD_ControlRegimen[[#This Row],[FECHA]]&amp;BD_ControlRegimen[[#This Row],[NOMBRE]]</f>
        <v>45103COTRINA COTRINA VICTOR EDGARDO</v>
      </c>
      <c r="B1649" s="83">
        <f>WEEKNUM(BD_ControlRegimen[[#This Row],[FECHA]],2)</f>
        <v>27</v>
      </c>
      <c r="C1649" s="7">
        <v>45103</v>
      </c>
      <c r="D1649" s="3" t="s">
        <v>84</v>
      </c>
      <c r="E1649" s="3"/>
      <c r="F1649" s="3"/>
    </row>
    <row r="1650" spans="1:6" hidden="1" x14ac:dyDescent="0.3">
      <c r="A1650" s="7" t="str">
        <f>BD_ControlRegimen[[#This Row],[FECHA]]&amp;BD_ControlRegimen[[#This Row],[NOMBRE]]</f>
        <v>45104COTRINA COTRINA VICTOR EDGARDO</v>
      </c>
      <c r="B1650" s="83">
        <f>WEEKNUM(BD_ControlRegimen[[#This Row],[FECHA]],2)</f>
        <v>27</v>
      </c>
      <c r="C1650" s="7">
        <v>45104</v>
      </c>
      <c r="D1650" s="3" t="s">
        <v>84</v>
      </c>
      <c r="E1650" s="3"/>
      <c r="F1650" s="3"/>
    </row>
    <row r="1651" spans="1:6" hidden="1" x14ac:dyDescent="0.3">
      <c r="A1651" s="7" t="str">
        <f>BD_ControlRegimen[[#This Row],[FECHA]]&amp;BD_ControlRegimen[[#This Row],[NOMBRE]]</f>
        <v>45105COTRINA COTRINA VICTOR EDGARDO</v>
      </c>
      <c r="B1651" s="83">
        <f>WEEKNUM(BD_ControlRegimen[[#This Row],[FECHA]],2)</f>
        <v>27</v>
      </c>
      <c r="C1651" s="7">
        <v>45105</v>
      </c>
      <c r="D1651" s="3" t="s">
        <v>84</v>
      </c>
      <c r="E1651" s="3"/>
      <c r="F1651" s="3"/>
    </row>
    <row r="1652" spans="1:6" hidden="1" x14ac:dyDescent="0.3">
      <c r="A1652" s="7" t="str">
        <f>BD_ControlRegimen[[#This Row],[FECHA]]&amp;BD_ControlRegimen[[#This Row],[NOMBRE]]</f>
        <v>45106COTRINA COTRINA VICTOR EDGARDO</v>
      </c>
      <c r="B1652" s="83">
        <f>WEEKNUM(BD_ControlRegimen[[#This Row],[FECHA]],2)</f>
        <v>27</v>
      </c>
      <c r="C1652" s="7">
        <v>45106</v>
      </c>
      <c r="D1652" s="3" t="s">
        <v>84</v>
      </c>
      <c r="E1652" s="3"/>
      <c r="F1652" s="3"/>
    </row>
    <row r="1653" spans="1:6" hidden="1" x14ac:dyDescent="0.3">
      <c r="A1653" s="7" t="str">
        <f>BD_ControlRegimen[[#This Row],[FECHA]]&amp;BD_ControlRegimen[[#This Row],[NOMBRE]]</f>
        <v>45107COTRINA COTRINA VICTOR EDGARDO</v>
      </c>
      <c r="B1653" s="83">
        <f>WEEKNUM(BD_ControlRegimen[[#This Row],[FECHA]],2)</f>
        <v>27</v>
      </c>
      <c r="C1653" s="7">
        <v>45107</v>
      </c>
      <c r="D1653" s="3" t="s">
        <v>84</v>
      </c>
      <c r="E1653" s="3"/>
      <c r="F1653" s="3"/>
    </row>
    <row r="1654" spans="1:6" hidden="1" x14ac:dyDescent="0.3">
      <c r="A1654" s="7" t="str">
        <f>BD_ControlRegimen[[#This Row],[FECHA]]&amp;BD_ControlRegimen[[#This Row],[NOMBRE]]</f>
        <v>45108COTRINA COTRINA VICTOR EDGARDO</v>
      </c>
      <c r="B1654" s="83">
        <f>WEEKNUM(BD_ControlRegimen[[#This Row],[FECHA]],2)</f>
        <v>27</v>
      </c>
      <c r="C1654" s="7">
        <v>45108</v>
      </c>
      <c r="D1654" s="3" t="s">
        <v>84</v>
      </c>
      <c r="E1654" s="3"/>
      <c r="F1654" s="3"/>
    </row>
    <row r="1655" spans="1:6" hidden="1" x14ac:dyDescent="0.3">
      <c r="A1655" s="7" t="str">
        <f>BD_ControlRegimen[[#This Row],[FECHA]]&amp;BD_ControlRegimen[[#This Row],[NOMBRE]]</f>
        <v>45109COTRINA COTRINA VICTOR EDGARDO</v>
      </c>
      <c r="B1655" s="83">
        <f>WEEKNUM(BD_ControlRegimen[[#This Row],[FECHA]],2)</f>
        <v>27</v>
      </c>
      <c r="C1655" s="7">
        <v>45109</v>
      </c>
      <c r="D1655" s="3" t="s">
        <v>84</v>
      </c>
      <c r="E1655" s="3"/>
      <c r="F1655" s="3"/>
    </row>
    <row r="1656" spans="1:6" hidden="1" x14ac:dyDescent="0.3">
      <c r="A1656" s="7" t="str">
        <f>BD_ControlRegimen[[#This Row],[FECHA]]&amp;BD_ControlRegimen[[#This Row],[NOMBRE]]</f>
        <v>45110COTRINA COTRINA VICTOR EDGARDO</v>
      </c>
      <c r="B1656" s="83">
        <f>WEEKNUM(BD_ControlRegimen[[#This Row],[FECHA]],2)</f>
        <v>28</v>
      </c>
      <c r="C1656" s="7">
        <v>45110</v>
      </c>
      <c r="D1656" s="3" t="s">
        <v>84</v>
      </c>
      <c r="E1656" s="3"/>
      <c r="F1656" s="3"/>
    </row>
    <row r="1657" spans="1:6" hidden="1" x14ac:dyDescent="0.3">
      <c r="A1657" s="7" t="str">
        <f>BD_ControlRegimen[[#This Row],[FECHA]]&amp;BD_ControlRegimen[[#This Row],[NOMBRE]]</f>
        <v>45111COTRINA COTRINA VICTOR EDGARDO</v>
      </c>
      <c r="B1657" s="83">
        <f>WEEKNUM(BD_ControlRegimen[[#This Row],[FECHA]],2)</f>
        <v>28</v>
      </c>
      <c r="C1657" s="7">
        <v>45111</v>
      </c>
      <c r="D1657" s="3" t="s">
        <v>84</v>
      </c>
      <c r="E1657" s="3"/>
      <c r="F1657" s="3"/>
    </row>
    <row r="1658" spans="1:6" hidden="1" x14ac:dyDescent="0.3">
      <c r="A1658" s="7" t="str">
        <f>BD_ControlRegimen[[#This Row],[FECHA]]&amp;BD_ControlRegimen[[#This Row],[NOMBRE]]</f>
        <v>45112COTRINA COTRINA VICTOR EDGARDO</v>
      </c>
      <c r="B1658" s="83">
        <f>WEEKNUM(BD_ControlRegimen[[#This Row],[FECHA]],2)</f>
        <v>28</v>
      </c>
      <c r="C1658" s="7">
        <v>45112</v>
      </c>
      <c r="D1658" s="3" t="s">
        <v>84</v>
      </c>
      <c r="E1658" s="3"/>
      <c r="F1658" s="3"/>
    </row>
    <row r="1659" spans="1:6" hidden="1" x14ac:dyDescent="0.3">
      <c r="A1659" s="7" t="str">
        <f>BD_ControlRegimen[[#This Row],[FECHA]]&amp;BD_ControlRegimen[[#This Row],[NOMBRE]]</f>
        <v>45113COTRINA COTRINA VICTOR EDGARDO</v>
      </c>
      <c r="B1659" s="83">
        <f>WEEKNUM(BD_ControlRegimen[[#This Row],[FECHA]],2)</f>
        <v>28</v>
      </c>
      <c r="C1659" s="7">
        <v>45113</v>
      </c>
      <c r="D1659" s="3" t="s">
        <v>84</v>
      </c>
      <c r="E1659" s="3"/>
      <c r="F1659" s="3"/>
    </row>
    <row r="1660" spans="1:6" hidden="1" x14ac:dyDescent="0.3">
      <c r="A1660" s="7" t="str">
        <f>BD_ControlRegimen[[#This Row],[FECHA]]&amp;BD_ControlRegimen[[#This Row],[NOMBRE]]</f>
        <v>45114COTRINA COTRINA VICTOR EDGARDO</v>
      </c>
      <c r="B1660" s="83">
        <f>WEEKNUM(BD_ControlRegimen[[#This Row],[FECHA]],2)</f>
        <v>28</v>
      </c>
      <c r="C1660" s="7">
        <v>45114</v>
      </c>
      <c r="D1660" s="3" t="s">
        <v>84</v>
      </c>
      <c r="E1660" s="3"/>
      <c r="F1660" s="3"/>
    </row>
    <row r="1661" spans="1:6" hidden="1" x14ac:dyDescent="0.3">
      <c r="A1661" s="7" t="str">
        <f>BD_ControlRegimen[[#This Row],[FECHA]]&amp;BD_ControlRegimen[[#This Row],[NOMBRE]]</f>
        <v>45115COTRINA COTRINA VICTOR EDGARDO</v>
      </c>
      <c r="B1661" s="83">
        <f>WEEKNUM(BD_ControlRegimen[[#This Row],[FECHA]],2)</f>
        <v>28</v>
      </c>
      <c r="C1661" s="7">
        <v>45115</v>
      </c>
      <c r="D1661" s="3" t="s">
        <v>84</v>
      </c>
      <c r="E1661" s="3"/>
      <c r="F1661" s="3"/>
    </row>
    <row r="1662" spans="1:6" hidden="1" x14ac:dyDescent="0.3">
      <c r="A1662" s="7" t="str">
        <f>BD_ControlRegimen[[#This Row],[FECHA]]&amp;BD_ControlRegimen[[#This Row],[NOMBRE]]</f>
        <v>45116COTRINA COTRINA VICTOR EDGARDO</v>
      </c>
      <c r="B1662" s="83">
        <f>WEEKNUM(BD_ControlRegimen[[#This Row],[FECHA]],2)</f>
        <v>28</v>
      </c>
      <c r="C1662" s="7">
        <v>45116</v>
      </c>
      <c r="D1662" s="3" t="s">
        <v>84</v>
      </c>
      <c r="E1662" s="3"/>
      <c r="F1662" s="3"/>
    </row>
    <row r="1663" spans="1:6" hidden="1" x14ac:dyDescent="0.3">
      <c r="A1663" s="7" t="str">
        <f>BD_ControlRegimen[[#This Row],[FECHA]]&amp;BD_ControlRegimen[[#This Row],[NOMBRE]]</f>
        <v>45117COTRINA COTRINA VICTOR EDGARDO</v>
      </c>
      <c r="B1663" s="83">
        <f>WEEKNUM(BD_ControlRegimen[[#This Row],[FECHA]],2)</f>
        <v>29</v>
      </c>
      <c r="C1663" s="7">
        <v>45117</v>
      </c>
      <c r="D1663" s="3" t="s">
        <v>84</v>
      </c>
      <c r="E1663" s="3"/>
      <c r="F1663" s="3"/>
    </row>
    <row r="1664" spans="1:6" hidden="1" x14ac:dyDescent="0.3">
      <c r="A1664" s="7" t="str">
        <f>BD_ControlRegimen[[#This Row],[FECHA]]&amp;BD_ControlRegimen[[#This Row],[NOMBRE]]</f>
        <v>45118COTRINA COTRINA VICTOR EDGARDO</v>
      </c>
      <c r="B1664" s="83">
        <f>WEEKNUM(BD_ControlRegimen[[#This Row],[FECHA]],2)</f>
        <v>29</v>
      </c>
      <c r="C1664" s="7">
        <v>45118</v>
      </c>
      <c r="D1664" s="3" t="s">
        <v>84</v>
      </c>
      <c r="E1664" s="3"/>
      <c r="F1664" s="3"/>
    </row>
    <row r="1665" spans="1:6" hidden="1" x14ac:dyDescent="0.3">
      <c r="A1665" s="7" t="str">
        <f>BD_ControlRegimen[[#This Row],[FECHA]]&amp;BD_ControlRegimen[[#This Row],[NOMBRE]]</f>
        <v>45119COTRINA COTRINA VICTOR EDGARDO</v>
      </c>
      <c r="B1665" s="83">
        <f>WEEKNUM(BD_ControlRegimen[[#This Row],[FECHA]],2)</f>
        <v>29</v>
      </c>
      <c r="C1665" s="7">
        <v>45119</v>
      </c>
      <c r="D1665" s="3" t="s">
        <v>84</v>
      </c>
      <c r="E1665" s="3"/>
      <c r="F1665" s="3"/>
    </row>
    <row r="1666" spans="1:6" hidden="1" x14ac:dyDescent="0.3">
      <c r="A1666" s="7" t="str">
        <f>BD_ControlRegimen[[#This Row],[FECHA]]&amp;BD_ControlRegimen[[#This Row],[NOMBRE]]</f>
        <v>45120COTRINA COTRINA VICTOR EDGARDO</v>
      </c>
      <c r="B1666" s="83">
        <f>WEEKNUM(BD_ControlRegimen[[#This Row],[FECHA]],2)</f>
        <v>29</v>
      </c>
      <c r="C1666" s="7">
        <v>45120</v>
      </c>
      <c r="D1666" s="3" t="s">
        <v>84</v>
      </c>
      <c r="E1666" s="3"/>
      <c r="F1666" s="3"/>
    </row>
    <row r="1667" spans="1:6" hidden="1" x14ac:dyDescent="0.3">
      <c r="A1667" s="7" t="str">
        <f>BD_ControlRegimen[[#This Row],[FECHA]]&amp;BD_ControlRegimen[[#This Row],[NOMBRE]]</f>
        <v>45121COTRINA COTRINA VICTOR EDGARDO</v>
      </c>
      <c r="B1667" s="83">
        <f>WEEKNUM(BD_ControlRegimen[[#This Row],[FECHA]],2)</f>
        <v>29</v>
      </c>
      <c r="C1667" s="7">
        <v>45121</v>
      </c>
      <c r="D1667" s="3" t="s">
        <v>84</v>
      </c>
      <c r="E1667" s="3"/>
      <c r="F1667" s="3"/>
    </row>
    <row r="1668" spans="1:6" hidden="1" x14ac:dyDescent="0.3">
      <c r="A1668" s="7" t="str">
        <f>BD_ControlRegimen[[#This Row],[FECHA]]&amp;BD_ControlRegimen[[#This Row],[NOMBRE]]</f>
        <v>45122COTRINA COTRINA VICTOR EDGARDO</v>
      </c>
      <c r="B1668" s="83">
        <f>WEEKNUM(BD_ControlRegimen[[#This Row],[FECHA]],2)</f>
        <v>29</v>
      </c>
      <c r="C1668" s="7">
        <v>45122</v>
      </c>
      <c r="D1668" s="3" t="s">
        <v>84</v>
      </c>
      <c r="E1668" s="3"/>
      <c r="F1668" s="3"/>
    </row>
    <row r="1669" spans="1:6" hidden="1" x14ac:dyDescent="0.3">
      <c r="A1669" s="7" t="str">
        <f>BD_ControlRegimen[[#This Row],[FECHA]]&amp;BD_ControlRegimen[[#This Row],[NOMBRE]]</f>
        <v>45123COTRINA COTRINA VICTOR EDGARDO</v>
      </c>
      <c r="B1669" s="83">
        <f>WEEKNUM(BD_ControlRegimen[[#This Row],[FECHA]],2)</f>
        <v>29</v>
      </c>
      <c r="C1669" s="7">
        <v>45123</v>
      </c>
      <c r="D1669" s="3" t="s">
        <v>84</v>
      </c>
      <c r="E1669" s="3"/>
      <c r="F1669" s="3"/>
    </row>
    <row r="1670" spans="1:6" hidden="1" x14ac:dyDescent="0.3">
      <c r="A1670" s="7" t="str">
        <f>BD_ControlRegimen[[#This Row],[FECHA]]&amp;BD_ControlRegimen[[#This Row],[NOMBRE]]</f>
        <v>45124COTRINA COTRINA VICTOR EDGARDO</v>
      </c>
      <c r="B1670" s="83">
        <f>WEEKNUM(BD_ControlRegimen[[#This Row],[FECHA]],2)</f>
        <v>30</v>
      </c>
      <c r="C1670" s="7">
        <v>45124</v>
      </c>
      <c r="D1670" s="3" t="s">
        <v>84</v>
      </c>
      <c r="E1670" s="3"/>
      <c r="F1670" s="3"/>
    </row>
    <row r="1671" spans="1:6" hidden="1" x14ac:dyDescent="0.3">
      <c r="A1671" s="7" t="str">
        <f>BD_ControlRegimen[[#This Row],[FECHA]]&amp;BD_ControlRegimen[[#This Row],[NOMBRE]]</f>
        <v>45125COTRINA COTRINA VICTOR EDGARDO</v>
      </c>
      <c r="B1671" s="83">
        <f>WEEKNUM(BD_ControlRegimen[[#This Row],[FECHA]],2)</f>
        <v>30</v>
      </c>
      <c r="C1671" s="7">
        <v>45125</v>
      </c>
      <c r="D1671" s="3" t="s">
        <v>84</v>
      </c>
      <c r="E1671" s="3"/>
      <c r="F1671" s="3"/>
    </row>
    <row r="1672" spans="1:6" hidden="1" x14ac:dyDescent="0.3">
      <c r="A1672" s="7" t="str">
        <f>BD_ControlRegimen[[#This Row],[FECHA]]&amp;BD_ControlRegimen[[#This Row],[NOMBRE]]</f>
        <v>45126COTRINA COTRINA VICTOR EDGARDO</v>
      </c>
      <c r="B1672" s="83">
        <f>WEEKNUM(BD_ControlRegimen[[#This Row],[FECHA]],2)</f>
        <v>30</v>
      </c>
      <c r="C1672" s="7">
        <v>45126</v>
      </c>
      <c r="D1672" s="3" t="s">
        <v>84</v>
      </c>
      <c r="E1672" s="3"/>
      <c r="F1672" s="3"/>
    </row>
    <row r="1673" spans="1:6" hidden="1" x14ac:dyDescent="0.3">
      <c r="A1673" s="7" t="str">
        <f>BD_ControlRegimen[[#This Row],[FECHA]]&amp;BD_ControlRegimen[[#This Row],[NOMBRE]]</f>
        <v>45127COTRINA COTRINA VICTOR EDGARDO</v>
      </c>
      <c r="B1673" s="83">
        <f>WEEKNUM(BD_ControlRegimen[[#This Row],[FECHA]],2)</f>
        <v>30</v>
      </c>
      <c r="C1673" s="7">
        <v>45127</v>
      </c>
      <c r="D1673" s="3" t="s">
        <v>84</v>
      </c>
      <c r="E1673" s="3"/>
      <c r="F1673" s="3"/>
    </row>
    <row r="1674" spans="1:6" hidden="1" x14ac:dyDescent="0.3">
      <c r="A1674" s="7" t="str">
        <f>BD_ControlRegimen[[#This Row],[FECHA]]&amp;BD_ControlRegimen[[#This Row],[NOMBRE]]</f>
        <v>45128COTRINA COTRINA VICTOR EDGARDO</v>
      </c>
      <c r="B1674" s="83">
        <f>WEEKNUM(BD_ControlRegimen[[#This Row],[FECHA]],2)</f>
        <v>30</v>
      </c>
      <c r="C1674" s="7">
        <v>45128</v>
      </c>
      <c r="D1674" s="3" t="s">
        <v>84</v>
      </c>
      <c r="E1674" s="3"/>
      <c r="F1674" s="3"/>
    </row>
    <row r="1675" spans="1:6" hidden="1" x14ac:dyDescent="0.3">
      <c r="A1675" s="7" t="str">
        <f>BD_ControlRegimen[[#This Row],[FECHA]]&amp;BD_ControlRegimen[[#This Row],[NOMBRE]]</f>
        <v>45129COTRINA COTRINA VICTOR EDGARDO</v>
      </c>
      <c r="B1675" s="83">
        <f>WEEKNUM(BD_ControlRegimen[[#This Row],[FECHA]],2)</f>
        <v>30</v>
      </c>
      <c r="C1675" s="7">
        <v>45129</v>
      </c>
      <c r="D1675" s="3" t="s">
        <v>84</v>
      </c>
      <c r="E1675" s="3"/>
      <c r="F1675" s="3"/>
    </row>
    <row r="1676" spans="1:6" hidden="1" x14ac:dyDescent="0.3">
      <c r="A1676" s="7" t="str">
        <f>BD_ControlRegimen[[#This Row],[FECHA]]&amp;BD_ControlRegimen[[#This Row],[NOMBRE]]</f>
        <v>45130COTRINA COTRINA VICTOR EDGARDO</v>
      </c>
      <c r="B1676" s="83">
        <f>WEEKNUM(BD_ControlRegimen[[#This Row],[FECHA]],2)</f>
        <v>30</v>
      </c>
      <c r="C1676" s="7">
        <v>45130</v>
      </c>
      <c r="D1676" s="3" t="s">
        <v>84</v>
      </c>
      <c r="E1676" s="3"/>
      <c r="F1676" s="3"/>
    </row>
    <row r="1677" spans="1:6" hidden="1" x14ac:dyDescent="0.3">
      <c r="A1677" s="7" t="str">
        <f>BD_ControlRegimen[[#This Row],[FECHA]]&amp;BD_ControlRegimen[[#This Row],[NOMBRE]]</f>
        <v>45131COTRINA COTRINA VICTOR EDGARDO</v>
      </c>
      <c r="B1677" s="83">
        <f>WEEKNUM(BD_ControlRegimen[[#This Row],[FECHA]],2)</f>
        <v>31</v>
      </c>
      <c r="C1677" s="7">
        <v>45131</v>
      </c>
      <c r="D1677" s="3" t="s">
        <v>84</v>
      </c>
      <c r="E1677" s="3"/>
      <c r="F1677" s="3"/>
    </row>
    <row r="1678" spans="1:6" hidden="1" x14ac:dyDescent="0.3">
      <c r="A1678" s="7" t="str">
        <f>BD_ControlRegimen[[#This Row],[FECHA]]&amp;BD_ControlRegimen[[#This Row],[NOMBRE]]</f>
        <v>45132COTRINA COTRINA VICTOR EDGARDO</v>
      </c>
      <c r="B1678" s="83">
        <f>WEEKNUM(BD_ControlRegimen[[#This Row],[FECHA]],2)</f>
        <v>31</v>
      </c>
      <c r="C1678" s="7">
        <v>45132</v>
      </c>
      <c r="D1678" s="3" t="s">
        <v>84</v>
      </c>
      <c r="E1678" s="3"/>
      <c r="F1678" s="3"/>
    </row>
    <row r="1679" spans="1:6" hidden="1" x14ac:dyDescent="0.3">
      <c r="A1679" s="7" t="str">
        <f>BD_ControlRegimen[[#This Row],[FECHA]]&amp;BD_ControlRegimen[[#This Row],[NOMBRE]]</f>
        <v>45133COTRINA COTRINA VICTOR EDGARDO</v>
      </c>
      <c r="B1679" s="83">
        <f>WEEKNUM(BD_ControlRegimen[[#This Row],[FECHA]],2)</f>
        <v>31</v>
      </c>
      <c r="C1679" s="7">
        <v>45133</v>
      </c>
      <c r="D1679" s="3" t="s">
        <v>84</v>
      </c>
      <c r="E1679" s="3"/>
      <c r="F1679" s="3"/>
    </row>
    <row r="1680" spans="1:6" hidden="1" x14ac:dyDescent="0.3">
      <c r="A1680" s="7" t="str">
        <f>BD_ControlRegimen[[#This Row],[FECHA]]&amp;BD_ControlRegimen[[#This Row],[NOMBRE]]</f>
        <v>45134COTRINA COTRINA VICTOR EDGARDO</v>
      </c>
      <c r="B1680" s="83">
        <f>WEEKNUM(BD_ControlRegimen[[#This Row],[FECHA]],2)</f>
        <v>31</v>
      </c>
      <c r="C1680" s="7">
        <v>45134</v>
      </c>
      <c r="D1680" s="3" t="s">
        <v>84</v>
      </c>
      <c r="E1680" s="3"/>
      <c r="F1680" s="3"/>
    </row>
    <row r="1681" spans="1:6" hidden="1" x14ac:dyDescent="0.3">
      <c r="A1681" s="7" t="str">
        <f>BD_ControlRegimen[[#This Row],[FECHA]]&amp;BD_ControlRegimen[[#This Row],[NOMBRE]]</f>
        <v>45135COTRINA COTRINA VICTOR EDGARDO</v>
      </c>
      <c r="B1681" s="83">
        <f>WEEKNUM(BD_ControlRegimen[[#This Row],[FECHA]],2)</f>
        <v>31</v>
      </c>
      <c r="C1681" s="7">
        <v>45135</v>
      </c>
      <c r="D1681" s="3" t="s">
        <v>84</v>
      </c>
      <c r="E1681" s="3"/>
      <c r="F1681" s="3"/>
    </row>
    <row r="1682" spans="1:6" hidden="1" x14ac:dyDescent="0.3">
      <c r="A1682" s="7" t="str">
        <f>BD_ControlRegimen[[#This Row],[FECHA]]&amp;BD_ControlRegimen[[#This Row],[NOMBRE]]</f>
        <v>45136COTRINA COTRINA VICTOR EDGARDO</v>
      </c>
      <c r="B1682" s="83">
        <f>WEEKNUM(BD_ControlRegimen[[#This Row],[FECHA]],2)</f>
        <v>31</v>
      </c>
      <c r="C1682" s="7">
        <v>45136</v>
      </c>
      <c r="D1682" s="3" t="s">
        <v>84</v>
      </c>
      <c r="E1682" s="3"/>
      <c r="F1682" s="3"/>
    </row>
    <row r="1683" spans="1:6" hidden="1" x14ac:dyDescent="0.3">
      <c r="A1683" s="7" t="str">
        <f>BD_ControlRegimen[[#This Row],[FECHA]]&amp;BD_ControlRegimen[[#This Row],[NOMBRE]]</f>
        <v>45137COTRINA COTRINA VICTOR EDGARDO</v>
      </c>
      <c r="B1683" s="83">
        <f>WEEKNUM(BD_ControlRegimen[[#This Row],[FECHA]],2)</f>
        <v>31</v>
      </c>
      <c r="C1683" s="7">
        <v>45137</v>
      </c>
      <c r="D1683" s="3" t="s">
        <v>84</v>
      </c>
      <c r="E1683" s="3"/>
      <c r="F1683" s="3"/>
    </row>
    <row r="1684" spans="1:6" hidden="1" x14ac:dyDescent="0.3">
      <c r="A1684" s="7" t="str">
        <f>BD_ControlRegimen[[#This Row],[FECHA]]&amp;BD_ControlRegimen[[#This Row],[NOMBRE]]</f>
        <v>45138COTRINA COTRINA VICTOR EDGARDO</v>
      </c>
      <c r="B1684" s="83">
        <f>WEEKNUM(BD_ControlRegimen[[#This Row],[FECHA]],2)</f>
        <v>32</v>
      </c>
      <c r="C1684" s="7">
        <v>45138</v>
      </c>
      <c r="D1684" s="3" t="s">
        <v>84</v>
      </c>
      <c r="E1684" s="3"/>
      <c r="F1684" s="3"/>
    </row>
    <row r="1685" spans="1:6" hidden="1" x14ac:dyDescent="0.3">
      <c r="A1685" s="7" t="str">
        <f>BD_ControlRegimen[[#This Row],[FECHA]]&amp;BD_ControlRegimen[[#This Row],[NOMBRE]]</f>
        <v>45139COTRINA COTRINA VICTOR EDGARDO</v>
      </c>
      <c r="B1685" s="83">
        <f>WEEKNUM(BD_ControlRegimen[[#This Row],[FECHA]],2)</f>
        <v>32</v>
      </c>
      <c r="C1685" s="7">
        <v>45139</v>
      </c>
      <c r="D1685" s="3" t="s">
        <v>84</v>
      </c>
      <c r="E1685" s="3"/>
      <c r="F1685" s="3"/>
    </row>
    <row r="1686" spans="1:6" hidden="1" x14ac:dyDescent="0.3">
      <c r="A1686" s="7" t="str">
        <f>BD_ControlRegimen[[#This Row],[FECHA]]&amp;BD_ControlRegimen[[#This Row],[NOMBRE]]</f>
        <v>45140COTRINA COTRINA VICTOR EDGARDO</v>
      </c>
      <c r="B1686" s="83">
        <f>WEEKNUM(BD_ControlRegimen[[#This Row],[FECHA]],2)</f>
        <v>32</v>
      </c>
      <c r="C1686" s="7">
        <v>45140</v>
      </c>
      <c r="D1686" s="3" t="s">
        <v>84</v>
      </c>
      <c r="E1686" s="3"/>
      <c r="F1686" s="3"/>
    </row>
    <row r="1687" spans="1:6" hidden="1" x14ac:dyDescent="0.3">
      <c r="A1687" s="7" t="str">
        <f>BD_ControlRegimen[[#This Row],[FECHA]]&amp;BD_ControlRegimen[[#This Row],[NOMBRE]]</f>
        <v>45141COTRINA COTRINA VICTOR EDGARDO</v>
      </c>
      <c r="B1687" s="83">
        <f>WEEKNUM(BD_ControlRegimen[[#This Row],[FECHA]],2)</f>
        <v>32</v>
      </c>
      <c r="C1687" s="7">
        <v>45141</v>
      </c>
      <c r="D1687" s="3" t="s">
        <v>84</v>
      </c>
      <c r="E1687" s="3"/>
      <c r="F1687" s="3"/>
    </row>
    <row r="1688" spans="1:6" hidden="1" x14ac:dyDescent="0.3">
      <c r="A1688" s="7" t="str">
        <f>BD_ControlRegimen[[#This Row],[FECHA]]&amp;BD_ControlRegimen[[#This Row],[NOMBRE]]</f>
        <v>45142COTRINA COTRINA VICTOR EDGARDO</v>
      </c>
      <c r="B1688" s="83">
        <f>WEEKNUM(BD_ControlRegimen[[#This Row],[FECHA]],2)</f>
        <v>32</v>
      </c>
      <c r="C1688" s="7">
        <v>45142</v>
      </c>
      <c r="D1688" s="3" t="s">
        <v>84</v>
      </c>
      <c r="E1688" s="3"/>
      <c r="F1688" s="3"/>
    </row>
    <row r="1689" spans="1:6" hidden="1" x14ac:dyDescent="0.3">
      <c r="A1689" s="7" t="str">
        <f>BD_ControlRegimen[[#This Row],[FECHA]]&amp;BD_ControlRegimen[[#This Row],[NOMBRE]]</f>
        <v>45143COTRINA COTRINA VICTOR EDGARDO</v>
      </c>
      <c r="B1689" s="83">
        <f>WEEKNUM(BD_ControlRegimen[[#This Row],[FECHA]],2)</f>
        <v>32</v>
      </c>
      <c r="C1689" s="7">
        <v>45143</v>
      </c>
      <c r="D1689" s="3" t="s">
        <v>84</v>
      </c>
      <c r="E1689" s="3"/>
      <c r="F1689" s="3"/>
    </row>
    <row r="1690" spans="1:6" hidden="1" x14ac:dyDescent="0.3">
      <c r="A1690" s="7" t="str">
        <f>BD_ControlRegimen[[#This Row],[FECHA]]&amp;BD_ControlRegimen[[#This Row],[NOMBRE]]</f>
        <v>45144COTRINA COTRINA VICTOR EDGARDO</v>
      </c>
      <c r="B1690" s="83">
        <f>WEEKNUM(BD_ControlRegimen[[#This Row],[FECHA]],2)</f>
        <v>32</v>
      </c>
      <c r="C1690" s="7">
        <v>45144</v>
      </c>
      <c r="D1690" s="3" t="s">
        <v>84</v>
      </c>
      <c r="E1690" s="3"/>
      <c r="F1690" s="3"/>
    </row>
    <row r="1691" spans="1:6" hidden="1" x14ac:dyDescent="0.3">
      <c r="A1691" s="7" t="str">
        <f>BD_ControlRegimen[[#This Row],[FECHA]]&amp;BD_ControlRegimen[[#This Row],[NOMBRE]]</f>
        <v>45145COTRINA COTRINA VICTOR EDGARDO</v>
      </c>
      <c r="B1691" s="83">
        <f>WEEKNUM(BD_ControlRegimen[[#This Row],[FECHA]],2)</f>
        <v>33</v>
      </c>
      <c r="C1691" s="7">
        <v>45145</v>
      </c>
      <c r="D1691" s="3" t="s">
        <v>84</v>
      </c>
      <c r="E1691" s="3"/>
      <c r="F1691" s="3"/>
    </row>
    <row r="1692" spans="1:6" hidden="1" x14ac:dyDescent="0.3">
      <c r="A1692" s="7" t="str">
        <f>BD_ControlRegimen[[#This Row],[FECHA]]&amp;BD_ControlRegimen[[#This Row],[NOMBRE]]</f>
        <v>45146COTRINA COTRINA VICTOR EDGARDO</v>
      </c>
      <c r="B1692" s="83">
        <f>WEEKNUM(BD_ControlRegimen[[#This Row],[FECHA]],2)</f>
        <v>33</v>
      </c>
      <c r="C1692" s="7">
        <v>45146</v>
      </c>
      <c r="D1692" s="3" t="s">
        <v>84</v>
      </c>
      <c r="E1692" s="3"/>
      <c r="F1692" s="3"/>
    </row>
    <row r="1693" spans="1:6" hidden="1" x14ac:dyDescent="0.3">
      <c r="A1693" s="7" t="str">
        <f>BD_ControlRegimen[[#This Row],[FECHA]]&amp;BD_ControlRegimen[[#This Row],[NOMBRE]]</f>
        <v>45147COTRINA COTRINA VICTOR EDGARDO</v>
      </c>
      <c r="B1693" s="83">
        <f>WEEKNUM(BD_ControlRegimen[[#This Row],[FECHA]],2)</f>
        <v>33</v>
      </c>
      <c r="C1693" s="7">
        <v>45147</v>
      </c>
      <c r="D1693" s="3" t="s">
        <v>84</v>
      </c>
      <c r="E1693" s="3"/>
      <c r="F1693" s="3"/>
    </row>
    <row r="1694" spans="1:6" hidden="1" x14ac:dyDescent="0.3">
      <c r="A1694" s="7" t="str">
        <f>BD_ControlRegimen[[#This Row],[FECHA]]&amp;BD_ControlRegimen[[#This Row],[NOMBRE]]</f>
        <v>45148COTRINA COTRINA VICTOR EDGARDO</v>
      </c>
      <c r="B1694" s="83">
        <f>WEEKNUM(BD_ControlRegimen[[#This Row],[FECHA]],2)</f>
        <v>33</v>
      </c>
      <c r="C1694" s="7">
        <v>45148</v>
      </c>
      <c r="D1694" s="3" t="s">
        <v>84</v>
      </c>
      <c r="E1694" s="3"/>
      <c r="F1694" s="3"/>
    </row>
    <row r="1695" spans="1:6" hidden="1" x14ac:dyDescent="0.3">
      <c r="A1695" s="7" t="str">
        <f>BD_ControlRegimen[[#This Row],[FECHA]]&amp;BD_ControlRegimen[[#This Row],[NOMBRE]]</f>
        <v>45149COTRINA COTRINA VICTOR EDGARDO</v>
      </c>
      <c r="B1695" s="83">
        <f>WEEKNUM(BD_ControlRegimen[[#This Row],[FECHA]],2)</f>
        <v>33</v>
      </c>
      <c r="C1695" s="7">
        <v>45149</v>
      </c>
      <c r="D1695" s="3" t="s">
        <v>84</v>
      </c>
      <c r="E1695" s="3"/>
      <c r="F1695" s="3"/>
    </row>
    <row r="1696" spans="1:6" hidden="1" x14ac:dyDescent="0.3">
      <c r="A1696" s="7" t="str">
        <f>BD_ControlRegimen[[#This Row],[FECHA]]&amp;BD_ControlRegimen[[#This Row],[NOMBRE]]</f>
        <v>45150COTRINA COTRINA VICTOR EDGARDO</v>
      </c>
      <c r="B1696" s="83">
        <f>WEEKNUM(BD_ControlRegimen[[#This Row],[FECHA]],2)</f>
        <v>33</v>
      </c>
      <c r="C1696" s="7">
        <v>45150</v>
      </c>
      <c r="D1696" s="3" t="s">
        <v>84</v>
      </c>
      <c r="E1696" s="3"/>
      <c r="F1696" s="3"/>
    </row>
    <row r="1697" spans="1:6" hidden="1" x14ac:dyDescent="0.3">
      <c r="A1697" s="7" t="str">
        <f>BD_ControlRegimen[[#This Row],[FECHA]]&amp;BD_ControlRegimen[[#This Row],[NOMBRE]]</f>
        <v>45151COTRINA COTRINA VICTOR EDGARDO</v>
      </c>
      <c r="B1697" s="83">
        <f>WEEKNUM(BD_ControlRegimen[[#This Row],[FECHA]],2)</f>
        <v>33</v>
      </c>
      <c r="C1697" s="7">
        <v>45151</v>
      </c>
      <c r="D1697" s="3" t="s">
        <v>84</v>
      </c>
      <c r="E1697" s="3"/>
      <c r="F1697" s="3"/>
    </row>
    <row r="1698" spans="1:6" hidden="1" x14ac:dyDescent="0.3">
      <c r="A1698" s="7" t="str">
        <f>BD_ControlRegimen[[#This Row],[FECHA]]&amp;BD_ControlRegimen[[#This Row],[NOMBRE]]</f>
        <v>45152COTRINA COTRINA VICTOR EDGARDO</v>
      </c>
      <c r="B1698" s="83">
        <f>WEEKNUM(BD_ControlRegimen[[#This Row],[FECHA]],2)</f>
        <v>34</v>
      </c>
      <c r="C1698" s="7">
        <v>45152</v>
      </c>
      <c r="D1698" s="3" t="s">
        <v>84</v>
      </c>
      <c r="E1698" s="3"/>
      <c r="F1698" s="3"/>
    </row>
    <row r="1699" spans="1:6" hidden="1" x14ac:dyDescent="0.3">
      <c r="A1699" s="7" t="str">
        <f>BD_ControlRegimen[[#This Row],[FECHA]]&amp;BD_ControlRegimen[[#This Row],[NOMBRE]]</f>
        <v>45153COTRINA COTRINA VICTOR EDGARDO</v>
      </c>
      <c r="B1699" s="83">
        <f>WEEKNUM(BD_ControlRegimen[[#This Row],[FECHA]],2)</f>
        <v>34</v>
      </c>
      <c r="C1699" s="7">
        <v>45153</v>
      </c>
      <c r="D1699" s="3" t="s">
        <v>84</v>
      </c>
      <c r="E1699" s="3"/>
      <c r="F1699" s="3"/>
    </row>
    <row r="1700" spans="1:6" hidden="1" x14ac:dyDescent="0.3">
      <c r="A1700" s="7" t="str">
        <f>BD_ControlRegimen[[#This Row],[FECHA]]&amp;BD_ControlRegimen[[#This Row],[NOMBRE]]</f>
        <v>45154COTRINA COTRINA VICTOR EDGARDO</v>
      </c>
      <c r="B1700" s="83">
        <f>WEEKNUM(BD_ControlRegimen[[#This Row],[FECHA]],2)</f>
        <v>34</v>
      </c>
      <c r="C1700" s="7">
        <v>45154</v>
      </c>
      <c r="D1700" s="3" t="s">
        <v>84</v>
      </c>
      <c r="E1700" s="3"/>
      <c r="F1700" s="3"/>
    </row>
    <row r="1701" spans="1:6" hidden="1" x14ac:dyDescent="0.3">
      <c r="A1701" s="7" t="str">
        <f>BD_ControlRegimen[[#This Row],[FECHA]]&amp;BD_ControlRegimen[[#This Row],[NOMBRE]]</f>
        <v>45155COTRINA COTRINA VICTOR EDGARDO</v>
      </c>
      <c r="B1701" s="83">
        <f>WEEKNUM(BD_ControlRegimen[[#This Row],[FECHA]],2)</f>
        <v>34</v>
      </c>
      <c r="C1701" s="7">
        <v>45155</v>
      </c>
      <c r="D1701" s="3" t="s">
        <v>84</v>
      </c>
      <c r="E1701" s="3"/>
      <c r="F1701" s="3"/>
    </row>
    <row r="1702" spans="1:6" hidden="1" x14ac:dyDescent="0.3">
      <c r="A1702" s="7" t="str">
        <f>BD_ControlRegimen[[#This Row],[FECHA]]&amp;BD_ControlRegimen[[#This Row],[NOMBRE]]</f>
        <v>45156COTRINA COTRINA VICTOR EDGARDO</v>
      </c>
      <c r="B1702" s="83">
        <f>WEEKNUM(BD_ControlRegimen[[#This Row],[FECHA]],2)</f>
        <v>34</v>
      </c>
      <c r="C1702" s="7">
        <v>45156</v>
      </c>
      <c r="D1702" s="3" t="s">
        <v>84</v>
      </c>
      <c r="E1702" s="3"/>
      <c r="F1702" s="3"/>
    </row>
    <row r="1703" spans="1:6" hidden="1" x14ac:dyDescent="0.3">
      <c r="A1703" s="7" t="str">
        <f>BD_ControlRegimen[[#This Row],[FECHA]]&amp;BD_ControlRegimen[[#This Row],[NOMBRE]]</f>
        <v>45157COTRINA COTRINA VICTOR EDGARDO</v>
      </c>
      <c r="B1703" s="83">
        <f>WEEKNUM(BD_ControlRegimen[[#This Row],[FECHA]],2)</f>
        <v>34</v>
      </c>
      <c r="C1703" s="7">
        <v>45157</v>
      </c>
      <c r="D1703" s="3" t="s">
        <v>84</v>
      </c>
      <c r="E1703" s="3"/>
      <c r="F1703" s="3"/>
    </row>
    <row r="1704" spans="1:6" hidden="1" x14ac:dyDescent="0.3">
      <c r="A1704" s="7" t="str">
        <f>BD_ControlRegimen[[#This Row],[FECHA]]&amp;BD_ControlRegimen[[#This Row],[NOMBRE]]</f>
        <v>45158COTRINA COTRINA VICTOR EDGARDO</v>
      </c>
      <c r="B1704" s="83">
        <f>WEEKNUM(BD_ControlRegimen[[#This Row],[FECHA]],2)</f>
        <v>34</v>
      </c>
      <c r="C1704" s="7">
        <v>45158</v>
      </c>
      <c r="D1704" s="3" t="s">
        <v>84</v>
      </c>
      <c r="E1704" s="3"/>
      <c r="F1704" s="3"/>
    </row>
    <row r="1705" spans="1:6" hidden="1" x14ac:dyDescent="0.3">
      <c r="A1705" s="7" t="str">
        <f>BD_ControlRegimen[[#This Row],[FECHA]]&amp;BD_ControlRegimen[[#This Row],[NOMBRE]]</f>
        <v>45159COTRINA COTRINA VICTOR EDGARDO</v>
      </c>
      <c r="B1705" s="83">
        <f>WEEKNUM(BD_ControlRegimen[[#This Row],[FECHA]],2)</f>
        <v>35</v>
      </c>
      <c r="C1705" s="7">
        <v>45159</v>
      </c>
      <c r="D1705" s="3" t="s">
        <v>84</v>
      </c>
      <c r="E1705" s="3"/>
      <c r="F1705" s="3"/>
    </row>
    <row r="1706" spans="1:6" hidden="1" x14ac:dyDescent="0.3">
      <c r="A1706" s="7" t="str">
        <f>BD_ControlRegimen[[#This Row],[FECHA]]&amp;BD_ControlRegimen[[#This Row],[NOMBRE]]</f>
        <v>45160COTRINA COTRINA VICTOR EDGARDO</v>
      </c>
      <c r="B1706" s="83">
        <f>WEEKNUM(BD_ControlRegimen[[#This Row],[FECHA]],2)</f>
        <v>35</v>
      </c>
      <c r="C1706" s="7">
        <v>45160</v>
      </c>
      <c r="D1706" s="3" t="s">
        <v>84</v>
      </c>
      <c r="E1706" s="3"/>
      <c r="F1706" s="3"/>
    </row>
    <row r="1707" spans="1:6" hidden="1" x14ac:dyDescent="0.3">
      <c r="A1707" s="7" t="str">
        <f>BD_ControlRegimen[[#This Row],[FECHA]]&amp;BD_ControlRegimen[[#This Row],[NOMBRE]]</f>
        <v>45161COTRINA COTRINA VICTOR EDGARDO</v>
      </c>
      <c r="B1707" s="83">
        <f>WEEKNUM(BD_ControlRegimen[[#This Row],[FECHA]],2)</f>
        <v>35</v>
      </c>
      <c r="C1707" s="7">
        <v>45161</v>
      </c>
      <c r="D1707" s="3" t="s">
        <v>84</v>
      </c>
      <c r="E1707" s="3"/>
      <c r="F1707" s="3"/>
    </row>
    <row r="1708" spans="1:6" hidden="1" x14ac:dyDescent="0.3">
      <c r="A1708" s="7" t="str">
        <f>BD_ControlRegimen[[#This Row],[FECHA]]&amp;BD_ControlRegimen[[#This Row],[NOMBRE]]</f>
        <v>45162COTRINA COTRINA VICTOR EDGARDO</v>
      </c>
      <c r="B1708" s="83">
        <f>WEEKNUM(BD_ControlRegimen[[#This Row],[FECHA]],2)</f>
        <v>35</v>
      </c>
      <c r="C1708" s="7">
        <v>45162</v>
      </c>
      <c r="D1708" s="3" t="s">
        <v>84</v>
      </c>
      <c r="E1708" s="3"/>
      <c r="F1708" s="3"/>
    </row>
    <row r="1709" spans="1:6" hidden="1" x14ac:dyDescent="0.3">
      <c r="A1709" s="7" t="str">
        <f>BD_ControlRegimen[[#This Row],[FECHA]]&amp;BD_ControlRegimen[[#This Row],[NOMBRE]]</f>
        <v>45163COTRINA COTRINA VICTOR EDGARDO</v>
      </c>
      <c r="B1709" s="83">
        <f>WEEKNUM(BD_ControlRegimen[[#This Row],[FECHA]],2)</f>
        <v>35</v>
      </c>
      <c r="C1709" s="7">
        <v>45163</v>
      </c>
      <c r="D1709" s="3" t="s">
        <v>84</v>
      </c>
      <c r="E1709" s="3"/>
      <c r="F1709" s="3"/>
    </row>
    <row r="1710" spans="1:6" hidden="1" x14ac:dyDescent="0.3">
      <c r="A1710" s="7" t="str">
        <f>BD_ControlRegimen[[#This Row],[FECHA]]&amp;BD_ControlRegimen[[#This Row],[NOMBRE]]</f>
        <v>45164COTRINA COTRINA VICTOR EDGARDO</v>
      </c>
      <c r="B1710" s="83">
        <f>WEEKNUM(BD_ControlRegimen[[#This Row],[FECHA]],2)</f>
        <v>35</v>
      </c>
      <c r="C1710" s="7">
        <v>45164</v>
      </c>
      <c r="D1710" s="3" t="s">
        <v>84</v>
      </c>
      <c r="E1710" s="3"/>
      <c r="F1710" s="3"/>
    </row>
    <row r="1711" spans="1:6" hidden="1" x14ac:dyDescent="0.3">
      <c r="A1711" s="7" t="str">
        <f>BD_ControlRegimen[[#This Row],[FECHA]]&amp;BD_ControlRegimen[[#This Row],[NOMBRE]]</f>
        <v>45165COTRINA COTRINA VICTOR EDGARDO</v>
      </c>
      <c r="B1711" s="83">
        <f>WEEKNUM(BD_ControlRegimen[[#This Row],[FECHA]],2)</f>
        <v>35</v>
      </c>
      <c r="C1711" s="7">
        <v>45165</v>
      </c>
      <c r="D1711" s="3" t="s">
        <v>84</v>
      </c>
      <c r="E1711" s="3"/>
      <c r="F1711" s="3"/>
    </row>
    <row r="1712" spans="1:6" hidden="1" x14ac:dyDescent="0.3">
      <c r="A1712" s="7" t="str">
        <f>BD_ControlRegimen[[#This Row],[FECHA]]&amp;BD_ControlRegimen[[#This Row],[NOMBRE]]</f>
        <v>45166COTRINA COTRINA VICTOR EDGARDO</v>
      </c>
      <c r="B1712" s="83">
        <f>WEEKNUM(BD_ControlRegimen[[#This Row],[FECHA]],2)</f>
        <v>36</v>
      </c>
      <c r="C1712" s="7">
        <v>45166</v>
      </c>
      <c r="D1712" s="3" t="s">
        <v>84</v>
      </c>
      <c r="E1712" s="3"/>
      <c r="F1712" s="3"/>
    </row>
    <row r="1713" spans="1:6" hidden="1" x14ac:dyDescent="0.3">
      <c r="A1713" s="7" t="str">
        <f>BD_ControlRegimen[[#This Row],[FECHA]]&amp;BD_ControlRegimen[[#This Row],[NOMBRE]]</f>
        <v>45167COTRINA COTRINA VICTOR EDGARDO</v>
      </c>
      <c r="B1713" s="83">
        <f>WEEKNUM(BD_ControlRegimen[[#This Row],[FECHA]],2)</f>
        <v>36</v>
      </c>
      <c r="C1713" s="7">
        <v>45167</v>
      </c>
      <c r="D1713" s="3" t="s">
        <v>84</v>
      </c>
      <c r="E1713" s="3"/>
      <c r="F1713" s="3"/>
    </row>
    <row r="1714" spans="1:6" hidden="1" x14ac:dyDescent="0.3">
      <c r="A1714" s="7" t="str">
        <f>BD_ControlRegimen[[#This Row],[FECHA]]&amp;BD_ControlRegimen[[#This Row],[NOMBRE]]</f>
        <v>45168COTRINA COTRINA VICTOR EDGARDO</v>
      </c>
      <c r="B1714" s="83">
        <f>WEEKNUM(BD_ControlRegimen[[#This Row],[FECHA]],2)</f>
        <v>36</v>
      </c>
      <c r="C1714" s="7">
        <v>45168</v>
      </c>
      <c r="D1714" s="3" t="s">
        <v>84</v>
      </c>
      <c r="E1714" s="3"/>
      <c r="F1714" s="3"/>
    </row>
    <row r="1715" spans="1:6" hidden="1" x14ac:dyDescent="0.3">
      <c r="A1715" s="7" t="str">
        <f>BD_ControlRegimen[[#This Row],[FECHA]]&amp;BD_ControlRegimen[[#This Row],[NOMBRE]]</f>
        <v>45169COTRINA COTRINA VICTOR EDGARDO</v>
      </c>
      <c r="B1715" s="83">
        <f>WEEKNUM(BD_ControlRegimen[[#This Row],[FECHA]],2)</f>
        <v>36</v>
      </c>
      <c r="C1715" s="7">
        <v>45169</v>
      </c>
      <c r="D1715" s="3" t="s">
        <v>84</v>
      </c>
      <c r="E1715" s="3"/>
      <c r="F1715" s="3"/>
    </row>
    <row r="1716" spans="1:6" hidden="1" x14ac:dyDescent="0.3">
      <c r="A1716" s="7" t="str">
        <f>BD_ControlRegimen[[#This Row],[FECHA]]&amp;BD_ControlRegimen[[#This Row],[NOMBRE]]</f>
        <v>45170COTRINA COTRINA VICTOR EDGARDO</v>
      </c>
      <c r="B1716" s="83">
        <f>WEEKNUM(BD_ControlRegimen[[#This Row],[FECHA]],2)</f>
        <v>36</v>
      </c>
      <c r="C1716" s="7">
        <v>45170</v>
      </c>
      <c r="D1716" s="3" t="s">
        <v>84</v>
      </c>
      <c r="E1716" s="3"/>
      <c r="F1716" s="3"/>
    </row>
    <row r="1717" spans="1:6" hidden="1" x14ac:dyDescent="0.3">
      <c r="A1717" s="7" t="str">
        <f>BD_ControlRegimen[[#This Row],[FECHA]]&amp;BD_ControlRegimen[[#This Row],[NOMBRE]]</f>
        <v>45171COTRINA COTRINA VICTOR EDGARDO</v>
      </c>
      <c r="B1717" s="83">
        <f>WEEKNUM(BD_ControlRegimen[[#This Row],[FECHA]],2)</f>
        <v>36</v>
      </c>
      <c r="C1717" s="7">
        <v>45171</v>
      </c>
      <c r="D1717" s="3" t="s">
        <v>84</v>
      </c>
      <c r="E1717" s="3"/>
      <c r="F1717" s="3"/>
    </row>
    <row r="1718" spans="1:6" hidden="1" x14ac:dyDescent="0.3">
      <c r="A1718" s="7" t="str">
        <f>BD_ControlRegimen[[#This Row],[FECHA]]&amp;BD_ControlRegimen[[#This Row],[NOMBRE]]</f>
        <v>45172COTRINA COTRINA VICTOR EDGARDO</v>
      </c>
      <c r="B1718" s="83">
        <f>WEEKNUM(BD_ControlRegimen[[#This Row],[FECHA]],2)</f>
        <v>36</v>
      </c>
      <c r="C1718" s="7">
        <v>45172</v>
      </c>
      <c r="D1718" s="3" t="s">
        <v>84</v>
      </c>
      <c r="E1718" s="3"/>
      <c r="F1718" s="3"/>
    </row>
    <row r="1719" spans="1:6" hidden="1" x14ac:dyDescent="0.3">
      <c r="A1719" s="7" t="str">
        <f>BD_ControlRegimen[[#This Row],[FECHA]]&amp;BD_ControlRegimen[[#This Row],[NOMBRE]]</f>
        <v>45173COTRINA COTRINA VICTOR EDGARDO</v>
      </c>
      <c r="B1719" s="83">
        <f>WEEKNUM(BD_ControlRegimen[[#This Row],[FECHA]],2)</f>
        <v>37</v>
      </c>
      <c r="C1719" s="7">
        <v>45173</v>
      </c>
      <c r="D1719" s="3" t="s">
        <v>84</v>
      </c>
      <c r="E1719" s="3"/>
      <c r="F1719" s="3"/>
    </row>
    <row r="1720" spans="1:6" hidden="1" x14ac:dyDescent="0.3">
      <c r="A1720" s="7" t="str">
        <f>BD_ControlRegimen[[#This Row],[FECHA]]&amp;BD_ControlRegimen[[#This Row],[NOMBRE]]</f>
        <v>45174COTRINA COTRINA VICTOR EDGARDO</v>
      </c>
      <c r="B1720" s="83">
        <f>WEEKNUM(BD_ControlRegimen[[#This Row],[FECHA]],2)</f>
        <v>37</v>
      </c>
      <c r="C1720" s="7">
        <v>45174</v>
      </c>
      <c r="D1720" s="3" t="s">
        <v>84</v>
      </c>
      <c r="E1720" s="3"/>
      <c r="F1720" s="3"/>
    </row>
    <row r="1721" spans="1:6" hidden="1" x14ac:dyDescent="0.3">
      <c r="A1721" s="7" t="str">
        <f>BD_ControlRegimen[[#This Row],[FECHA]]&amp;BD_ControlRegimen[[#This Row],[NOMBRE]]</f>
        <v>45175COTRINA COTRINA VICTOR EDGARDO</v>
      </c>
      <c r="B1721" s="83">
        <f>WEEKNUM(BD_ControlRegimen[[#This Row],[FECHA]],2)</f>
        <v>37</v>
      </c>
      <c r="C1721" s="7">
        <v>45175</v>
      </c>
      <c r="D1721" s="3" t="s">
        <v>84</v>
      </c>
      <c r="E1721" s="3"/>
      <c r="F1721" s="3"/>
    </row>
    <row r="1722" spans="1:6" hidden="1" x14ac:dyDescent="0.3">
      <c r="A1722" s="7" t="str">
        <f>BD_ControlRegimen[[#This Row],[FECHA]]&amp;BD_ControlRegimen[[#This Row],[NOMBRE]]</f>
        <v>45176COTRINA COTRINA VICTOR EDGARDO</v>
      </c>
      <c r="B1722" s="83">
        <f>WEEKNUM(BD_ControlRegimen[[#This Row],[FECHA]],2)</f>
        <v>37</v>
      </c>
      <c r="C1722" s="7">
        <v>45176</v>
      </c>
      <c r="D1722" s="3" t="s">
        <v>84</v>
      </c>
      <c r="E1722" s="3"/>
      <c r="F1722" s="3"/>
    </row>
    <row r="1723" spans="1:6" hidden="1" x14ac:dyDescent="0.3">
      <c r="A1723" s="7" t="str">
        <f>BD_ControlRegimen[[#This Row],[FECHA]]&amp;BD_ControlRegimen[[#This Row],[NOMBRE]]</f>
        <v>45177COTRINA COTRINA VICTOR EDGARDO</v>
      </c>
      <c r="B1723" s="83">
        <f>WEEKNUM(BD_ControlRegimen[[#This Row],[FECHA]],2)</f>
        <v>37</v>
      </c>
      <c r="C1723" s="7">
        <v>45177</v>
      </c>
      <c r="D1723" s="3" t="s">
        <v>84</v>
      </c>
      <c r="E1723" s="3"/>
      <c r="F1723" s="3"/>
    </row>
    <row r="1724" spans="1:6" hidden="1" x14ac:dyDescent="0.3">
      <c r="A1724" s="7" t="str">
        <f>BD_ControlRegimen[[#This Row],[FECHA]]&amp;BD_ControlRegimen[[#This Row],[NOMBRE]]</f>
        <v>45178COTRINA COTRINA VICTOR EDGARDO</v>
      </c>
      <c r="B1724" s="83">
        <f>WEEKNUM(BD_ControlRegimen[[#This Row],[FECHA]],2)</f>
        <v>37</v>
      </c>
      <c r="C1724" s="7">
        <v>45178</v>
      </c>
      <c r="D1724" s="3" t="s">
        <v>84</v>
      </c>
      <c r="E1724" s="3"/>
      <c r="F1724" s="3"/>
    </row>
    <row r="1725" spans="1:6" hidden="1" x14ac:dyDescent="0.3">
      <c r="A1725" s="7" t="str">
        <f>BD_ControlRegimen[[#This Row],[FECHA]]&amp;BD_ControlRegimen[[#This Row],[NOMBRE]]</f>
        <v>45179COTRINA COTRINA VICTOR EDGARDO</v>
      </c>
      <c r="B1725" s="83">
        <f>WEEKNUM(BD_ControlRegimen[[#This Row],[FECHA]],2)</f>
        <v>37</v>
      </c>
      <c r="C1725" s="7">
        <v>45179</v>
      </c>
      <c r="D1725" s="3" t="s">
        <v>84</v>
      </c>
      <c r="E1725" s="3"/>
      <c r="F1725" s="3"/>
    </row>
    <row r="1726" spans="1:6" hidden="1" x14ac:dyDescent="0.3">
      <c r="A1726" s="7" t="str">
        <f>BD_ControlRegimen[[#This Row],[FECHA]]&amp;BD_ControlRegimen[[#This Row],[NOMBRE]]</f>
        <v>45180COTRINA COTRINA VICTOR EDGARDO</v>
      </c>
      <c r="B1726" s="83">
        <f>WEEKNUM(BD_ControlRegimen[[#This Row],[FECHA]],2)</f>
        <v>38</v>
      </c>
      <c r="C1726" s="7">
        <v>45180</v>
      </c>
      <c r="D1726" s="3" t="s">
        <v>84</v>
      </c>
      <c r="E1726" s="3"/>
      <c r="F1726" s="3"/>
    </row>
    <row r="1727" spans="1:6" hidden="1" x14ac:dyDescent="0.3">
      <c r="A1727" s="7" t="str">
        <f>BD_ControlRegimen[[#This Row],[FECHA]]&amp;BD_ControlRegimen[[#This Row],[NOMBRE]]</f>
        <v>45181COTRINA COTRINA VICTOR EDGARDO</v>
      </c>
      <c r="B1727" s="83">
        <f>WEEKNUM(BD_ControlRegimen[[#This Row],[FECHA]],2)</f>
        <v>38</v>
      </c>
      <c r="C1727" s="7">
        <v>45181</v>
      </c>
      <c r="D1727" s="3" t="s">
        <v>84</v>
      </c>
      <c r="E1727" s="3"/>
      <c r="F1727" s="3"/>
    </row>
    <row r="1728" spans="1:6" hidden="1" x14ac:dyDescent="0.3">
      <c r="A1728" s="7" t="str">
        <f>BD_ControlRegimen[[#This Row],[FECHA]]&amp;BD_ControlRegimen[[#This Row],[NOMBRE]]</f>
        <v>45182COTRINA COTRINA VICTOR EDGARDO</v>
      </c>
      <c r="B1728" s="83">
        <f>WEEKNUM(BD_ControlRegimen[[#This Row],[FECHA]],2)</f>
        <v>38</v>
      </c>
      <c r="C1728" s="7">
        <v>45182</v>
      </c>
      <c r="D1728" s="3" t="s">
        <v>84</v>
      </c>
      <c r="E1728" s="3"/>
      <c r="F1728" s="3"/>
    </row>
    <row r="1729" spans="1:6" hidden="1" x14ac:dyDescent="0.3">
      <c r="A1729" s="7" t="str">
        <f>BD_ControlRegimen[[#This Row],[FECHA]]&amp;BD_ControlRegimen[[#This Row],[NOMBRE]]</f>
        <v>45183COTRINA COTRINA VICTOR EDGARDO</v>
      </c>
      <c r="B1729" s="83">
        <f>WEEKNUM(BD_ControlRegimen[[#This Row],[FECHA]],2)</f>
        <v>38</v>
      </c>
      <c r="C1729" s="7">
        <v>45183</v>
      </c>
      <c r="D1729" s="3" t="s">
        <v>84</v>
      </c>
      <c r="E1729" s="3"/>
      <c r="F1729" s="3"/>
    </row>
    <row r="1730" spans="1:6" hidden="1" x14ac:dyDescent="0.3">
      <c r="A1730" s="7" t="str">
        <f>BD_ControlRegimen[[#This Row],[FECHA]]&amp;BD_ControlRegimen[[#This Row],[NOMBRE]]</f>
        <v>45184COTRINA COTRINA VICTOR EDGARDO</v>
      </c>
      <c r="B1730" s="83">
        <f>WEEKNUM(BD_ControlRegimen[[#This Row],[FECHA]],2)</f>
        <v>38</v>
      </c>
      <c r="C1730" s="7">
        <v>45184</v>
      </c>
      <c r="D1730" s="3" t="s">
        <v>84</v>
      </c>
      <c r="E1730" s="3"/>
      <c r="F1730" s="3"/>
    </row>
    <row r="1731" spans="1:6" hidden="1" x14ac:dyDescent="0.3">
      <c r="A1731" s="7" t="str">
        <f>BD_ControlRegimen[[#This Row],[FECHA]]&amp;BD_ControlRegimen[[#This Row],[NOMBRE]]</f>
        <v>45185COTRINA COTRINA VICTOR EDGARDO</v>
      </c>
      <c r="B1731" s="83">
        <f>WEEKNUM(BD_ControlRegimen[[#This Row],[FECHA]],2)</f>
        <v>38</v>
      </c>
      <c r="C1731" s="7">
        <v>45185</v>
      </c>
      <c r="D1731" s="3" t="s">
        <v>84</v>
      </c>
      <c r="E1731" s="3"/>
      <c r="F1731" s="3"/>
    </row>
    <row r="1732" spans="1:6" hidden="1" x14ac:dyDescent="0.3">
      <c r="A1732" s="7" t="str">
        <f>BD_ControlRegimen[[#This Row],[FECHA]]&amp;BD_ControlRegimen[[#This Row],[NOMBRE]]</f>
        <v>45186COTRINA COTRINA VICTOR EDGARDO</v>
      </c>
      <c r="B1732" s="83">
        <f>WEEKNUM(BD_ControlRegimen[[#This Row],[FECHA]],2)</f>
        <v>38</v>
      </c>
      <c r="C1732" s="7">
        <v>45186</v>
      </c>
      <c r="D1732" s="3" t="s">
        <v>84</v>
      </c>
      <c r="E1732" s="3"/>
      <c r="F1732" s="3"/>
    </row>
    <row r="1733" spans="1:6" hidden="1" x14ac:dyDescent="0.3">
      <c r="A1733" s="7" t="str">
        <f>BD_ControlRegimen[[#This Row],[FECHA]]&amp;BD_ControlRegimen[[#This Row],[NOMBRE]]</f>
        <v>45187COTRINA COTRINA VICTOR EDGARDO</v>
      </c>
      <c r="B1733" s="83">
        <f>WEEKNUM(BD_ControlRegimen[[#This Row],[FECHA]],2)</f>
        <v>39</v>
      </c>
      <c r="C1733" s="7">
        <v>45187</v>
      </c>
      <c r="D1733" s="3" t="s">
        <v>84</v>
      </c>
      <c r="E1733" s="3"/>
      <c r="F1733" s="3"/>
    </row>
    <row r="1734" spans="1:6" hidden="1" x14ac:dyDescent="0.3">
      <c r="A1734" s="7" t="str">
        <f>BD_ControlRegimen[[#This Row],[FECHA]]&amp;BD_ControlRegimen[[#This Row],[NOMBRE]]</f>
        <v>45188COTRINA COTRINA VICTOR EDGARDO</v>
      </c>
      <c r="B1734" s="83">
        <f>WEEKNUM(BD_ControlRegimen[[#This Row],[FECHA]],2)</f>
        <v>39</v>
      </c>
      <c r="C1734" s="7">
        <v>45188</v>
      </c>
      <c r="D1734" s="3" t="s">
        <v>84</v>
      </c>
      <c r="E1734" s="3"/>
      <c r="F1734" s="3"/>
    </row>
    <row r="1735" spans="1:6" hidden="1" x14ac:dyDescent="0.3">
      <c r="A1735" s="7" t="str">
        <f>BD_ControlRegimen[[#This Row],[FECHA]]&amp;BD_ControlRegimen[[#This Row],[NOMBRE]]</f>
        <v>45189COTRINA COTRINA VICTOR EDGARDO</v>
      </c>
      <c r="B1735" s="83">
        <f>WEEKNUM(BD_ControlRegimen[[#This Row],[FECHA]],2)</f>
        <v>39</v>
      </c>
      <c r="C1735" s="7">
        <v>45189</v>
      </c>
      <c r="D1735" s="3" t="s">
        <v>84</v>
      </c>
      <c r="E1735" s="3"/>
      <c r="F1735" s="3"/>
    </row>
    <row r="1736" spans="1:6" hidden="1" x14ac:dyDescent="0.3">
      <c r="A1736" s="7" t="str">
        <f>BD_ControlRegimen[[#This Row],[FECHA]]&amp;BD_ControlRegimen[[#This Row],[NOMBRE]]</f>
        <v>45190COTRINA COTRINA VICTOR EDGARDO</v>
      </c>
      <c r="B1736" s="83">
        <f>WEEKNUM(BD_ControlRegimen[[#This Row],[FECHA]],2)</f>
        <v>39</v>
      </c>
      <c r="C1736" s="7">
        <v>45190</v>
      </c>
      <c r="D1736" s="3" t="s">
        <v>84</v>
      </c>
      <c r="E1736" s="3"/>
      <c r="F1736" s="3"/>
    </row>
    <row r="1737" spans="1:6" hidden="1" x14ac:dyDescent="0.3">
      <c r="A1737" s="7" t="str">
        <f>BD_ControlRegimen[[#This Row],[FECHA]]&amp;BD_ControlRegimen[[#This Row],[NOMBRE]]</f>
        <v>45191COTRINA COTRINA VICTOR EDGARDO</v>
      </c>
      <c r="B1737" s="83">
        <f>WEEKNUM(BD_ControlRegimen[[#This Row],[FECHA]],2)</f>
        <v>39</v>
      </c>
      <c r="C1737" s="7">
        <v>45191</v>
      </c>
      <c r="D1737" s="3" t="s">
        <v>84</v>
      </c>
      <c r="E1737" s="3"/>
      <c r="F1737" s="3"/>
    </row>
    <row r="1738" spans="1:6" hidden="1" x14ac:dyDescent="0.3">
      <c r="A1738" s="7" t="str">
        <f>BD_ControlRegimen[[#This Row],[FECHA]]&amp;BD_ControlRegimen[[#This Row],[NOMBRE]]</f>
        <v>45192COTRINA COTRINA VICTOR EDGARDO</v>
      </c>
      <c r="B1738" s="83">
        <f>WEEKNUM(BD_ControlRegimen[[#This Row],[FECHA]],2)</f>
        <v>39</v>
      </c>
      <c r="C1738" s="7">
        <v>45192</v>
      </c>
      <c r="D1738" s="3" t="s">
        <v>84</v>
      </c>
      <c r="E1738" s="3"/>
      <c r="F1738" s="3"/>
    </row>
    <row r="1739" spans="1:6" hidden="1" x14ac:dyDescent="0.3">
      <c r="A1739" s="7" t="str">
        <f>BD_ControlRegimen[[#This Row],[FECHA]]&amp;BD_ControlRegimen[[#This Row],[NOMBRE]]</f>
        <v>45193COTRINA COTRINA VICTOR EDGARDO</v>
      </c>
      <c r="B1739" s="83">
        <f>WEEKNUM(BD_ControlRegimen[[#This Row],[FECHA]],2)</f>
        <v>39</v>
      </c>
      <c r="C1739" s="7">
        <v>45193</v>
      </c>
      <c r="D1739" s="3" t="s">
        <v>84</v>
      </c>
      <c r="E1739" s="3"/>
      <c r="F1739" s="3"/>
    </row>
    <row r="1740" spans="1:6" hidden="1" x14ac:dyDescent="0.3">
      <c r="A1740" s="7" t="str">
        <f>BD_ControlRegimen[[#This Row],[FECHA]]&amp;BD_ControlRegimen[[#This Row],[NOMBRE]]</f>
        <v>45194COTRINA COTRINA VICTOR EDGARDO</v>
      </c>
      <c r="B1740" s="83">
        <f>WEEKNUM(BD_ControlRegimen[[#This Row],[FECHA]],2)</f>
        <v>40</v>
      </c>
      <c r="C1740" s="7">
        <v>45194</v>
      </c>
      <c r="D1740" s="3" t="s">
        <v>84</v>
      </c>
      <c r="E1740" s="3"/>
      <c r="F1740" s="3"/>
    </row>
    <row r="1741" spans="1:6" hidden="1" x14ac:dyDescent="0.3">
      <c r="A1741" s="7" t="str">
        <f>BD_ControlRegimen[[#This Row],[FECHA]]&amp;BD_ControlRegimen[[#This Row],[NOMBRE]]</f>
        <v>45195COTRINA COTRINA VICTOR EDGARDO</v>
      </c>
      <c r="B1741" s="83">
        <f>WEEKNUM(BD_ControlRegimen[[#This Row],[FECHA]],2)</f>
        <v>40</v>
      </c>
      <c r="C1741" s="7">
        <v>45195</v>
      </c>
      <c r="D1741" s="3" t="s">
        <v>84</v>
      </c>
      <c r="E1741" s="3"/>
      <c r="F1741" s="3"/>
    </row>
    <row r="1742" spans="1:6" hidden="1" x14ac:dyDescent="0.3">
      <c r="A1742" s="7" t="str">
        <f>BD_ControlRegimen[[#This Row],[FECHA]]&amp;BD_ControlRegimen[[#This Row],[NOMBRE]]</f>
        <v>45196COTRINA COTRINA VICTOR EDGARDO</v>
      </c>
      <c r="B1742" s="83">
        <f>WEEKNUM(BD_ControlRegimen[[#This Row],[FECHA]],2)</f>
        <v>40</v>
      </c>
      <c r="C1742" s="7">
        <v>45196</v>
      </c>
      <c r="D1742" s="3" t="s">
        <v>84</v>
      </c>
      <c r="E1742" s="3"/>
      <c r="F1742" s="3"/>
    </row>
    <row r="1743" spans="1:6" hidden="1" x14ac:dyDescent="0.3">
      <c r="A1743" s="7" t="str">
        <f>BD_ControlRegimen[[#This Row],[FECHA]]&amp;BD_ControlRegimen[[#This Row],[NOMBRE]]</f>
        <v>45197COTRINA COTRINA VICTOR EDGARDO</v>
      </c>
      <c r="B1743" s="83">
        <f>WEEKNUM(BD_ControlRegimen[[#This Row],[FECHA]],2)</f>
        <v>40</v>
      </c>
      <c r="C1743" s="7">
        <v>45197</v>
      </c>
      <c r="D1743" s="3" t="s">
        <v>84</v>
      </c>
      <c r="E1743" s="3"/>
      <c r="F1743" s="3"/>
    </row>
    <row r="1744" spans="1:6" hidden="1" x14ac:dyDescent="0.3">
      <c r="A1744" s="7" t="str">
        <f>BD_ControlRegimen[[#This Row],[FECHA]]&amp;BD_ControlRegimen[[#This Row],[NOMBRE]]</f>
        <v>45198COTRINA COTRINA VICTOR EDGARDO</v>
      </c>
      <c r="B1744" s="83">
        <f>WEEKNUM(BD_ControlRegimen[[#This Row],[FECHA]],2)</f>
        <v>40</v>
      </c>
      <c r="C1744" s="7">
        <v>45198</v>
      </c>
      <c r="D1744" s="3" t="s">
        <v>84</v>
      </c>
      <c r="E1744" s="3"/>
      <c r="F1744" s="3"/>
    </row>
    <row r="1745" spans="1:6" hidden="1" x14ac:dyDescent="0.3">
      <c r="A1745" s="7" t="str">
        <f>BD_ControlRegimen[[#This Row],[FECHA]]&amp;BD_ControlRegimen[[#This Row],[NOMBRE]]</f>
        <v>45199COTRINA COTRINA VICTOR EDGARDO</v>
      </c>
      <c r="B1745" s="83">
        <f>WEEKNUM(BD_ControlRegimen[[#This Row],[FECHA]],2)</f>
        <v>40</v>
      </c>
      <c r="C1745" s="7">
        <v>45199</v>
      </c>
      <c r="D1745" s="3" t="s">
        <v>84</v>
      </c>
      <c r="E1745" s="3"/>
      <c r="F1745" s="3"/>
    </row>
    <row r="1746" spans="1:6" hidden="1" x14ac:dyDescent="0.3">
      <c r="A1746" s="7" t="str">
        <f>BD_ControlRegimen[[#This Row],[FECHA]]&amp;BD_ControlRegimen[[#This Row],[NOMBRE]]</f>
        <v>45200COTRINA COTRINA VICTOR EDGARDO</v>
      </c>
      <c r="B1746" s="83">
        <f>WEEKNUM(BD_ControlRegimen[[#This Row],[FECHA]],2)</f>
        <v>40</v>
      </c>
      <c r="C1746" s="7">
        <v>45200</v>
      </c>
      <c r="D1746" s="3" t="s">
        <v>84</v>
      </c>
      <c r="E1746" s="3"/>
      <c r="F1746" s="3"/>
    </row>
    <row r="1747" spans="1:6" hidden="1" x14ac:dyDescent="0.3">
      <c r="A1747" s="7" t="str">
        <f>BD_ControlRegimen[[#This Row],[FECHA]]&amp;BD_ControlRegimen[[#This Row],[NOMBRE]]</f>
        <v>45201COTRINA COTRINA VICTOR EDGARDO</v>
      </c>
      <c r="B1747" s="83">
        <f>WEEKNUM(BD_ControlRegimen[[#This Row],[FECHA]],2)</f>
        <v>41</v>
      </c>
      <c r="C1747" s="7">
        <v>45201</v>
      </c>
      <c r="D1747" s="3" t="s">
        <v>84</v>
      </c>
      <c r="E1747" s="3"/>
      <c r="F1747" s="3"/>
    </row>
    <row r="1748" spans="1:6" hidden="1" x14ac:dyDescent="0.3">
      <c r="A1748" s="7" t="str">
        <f>BD_ControlRegimen[[#This Row],[FECHA]]&amp;BD_ControlRegimen[[#This Row],[NOMBRE]]</f>
        <v>45202COTRINA COTRINA VICTOR EDGARDO</v>
      </c>
      <c r="B1748" s="83">
        <f>WEEKNUM(BD_ControlRegimen[[#This Row],[FECHA]],2)</f>
        <v>41</v>
      </c>
      <c r="C1748" s="7">
        <v>45202</v>
      </c>
      <c r="D1748" s="3" t="s">
        <v>84</v>
      </c>
      <c r="E1748" s="3"/>
      <c r="F1748" s="3"/>
    </row>
    <row r="1749" spans="1:6" hidden="1" x14ac:dyDescent="0.3">
      <c r="A1749" s="7" t="str">
        <f>BD_ControlRegimen[[#This Row],[FECHA]]&amp;BD_ControlRegimen[[#This Row],[NOMBRE]]</f>
        <v>45203COTRINA COTRINA VICTOR EDGARDO</v>
      </c>
      <c r="B1749" s="83">
        <f>WEEKNUM(BD_ControlRegimen[[#This Row],[FECHA]],2)</f>
        <v>41</v>
      </c>
      <c r="C1749" s="7">
        <v>45203</v>
      </c>
      <c r="D1749" s="3" t="s">
        <v>84</v>
      </c>
      <c r="E1749" s="3"/>
      <c r="F1749" s="3"/>
    </row>
    <row r="1750" spans="1:6" hidden="1" x14ac:dyDescent="0.3">
      <c r="A1750" s="7" t="str">
        <f>BD_ControlRegimen[[#This Row],[FECHA]]&amp;BD_ControlRegimen[[#This Row],[NOMBRE]]</f>
        <v>45204COTRINA COTRINA VICTOR EDGARDO</v>
      </c>
      <c r="B1750" s="83">
        <f>WEEKNUM(BD_ControlRegimen[[#This Row],[FECHA]],2)</f>
        <v>41</v>
      </c>
      <c r="C1750" s="7">
        <v>45204</v>
      </c>
      <c r="D1750" s="3" t="s">
        <v>84</v>
      </c>
      <c r="E1750" s="3"/>
      <c r="F1750" s="3"/>
    </row>
    <row r="1751" spans="1:6" hidden="1" x14ac:dyDescent="0.3">
      <c r="A1751" s="7" t="str">
        <f>BD_ControlRegimen[[#This Row],[FECHA]]&amp;BD_ControlRegimen[[#This Row],[NOMBRE]]</f>
        <v>45205COTRINA COTRINA VICTOR EDGARDO</v>
      </c>
      <c r="B1751" s="83">
        <f>WEEKNUM(BD_ControlRegimen[[#This Row],[FECHA]],2)</f>
        <v>41</v>
      </c>
      <c r="C1751" s="7">
        <v>45205</v>
      </c>
      <c r="D1751" s="3" t="s">
        <v>84</v>
      </c>
      <c r="E1751" s="3"/>
      <c r="F1751" s="3"/>
    </row>
    <row r="1752" spans="1:6" hidden="1" x14ac:dyDescent="0.3">
      <c r="A1752" s="7" t="str">
        <f>BD_ControlRegimen[[#This Row],[FECHA]]&amp;BD_ControlRegimen[[#This Row],[NOMBRE]]</f>
        <v>45206COTRINA COTRINA VICTOR EDGARDO</v>
      </c>
      <c r="B1752" s="83">
        <f>WEEKNUM(BD_ControlRegimen[[#This Row],[FECHA]],2)</f>
        <v>41</v>
      </c>
      <c r="C1752" s="7">
        <v>45206</v>
      </c>
      <c r="D1752" s="3" t="s">
        <v>84</v>
      </c>
      <c r="E1752" s="3"/>
      <c r="F1752" s="3"/>
    </row>
    <row r="1753" spans="1:6" hidden="1" x14ac:dyDescent="0.3">
      <c r="A1753" s="7" t="str">
        <f>BD_ControlRegimen[[#This Row],[FECHA]]&amp;BD_ControlRegimen[[#This Row],[NOMBRE]]</f>
        <v>45207COTRINA COTRINA VICTOR EDGARDO</v>
      </c>
      <c r="B1753" s="83">
        <f>WEEKNUM(BD_ControlRegimen[[#This Row],[FECHA]],2)</f>
        <v>41</v>
      </c>
      <c r="C1753" s="7">
        <v>45207</v>
      </c>
      <c r="D1753" s="3" t="s">
        <v>84</v>
      </c>
      <c r="E1753" s="3"/>
      <c r="F1753" s="3"/>
    </row>
    <row r="1754" spans="1:6" hidden="1" x14ac:dyDescent="0.3">
      <c r="A1754" s="7" t="str">
        <f>BD_ControlRegimen[[#This Row],[FECHA]]&amp;BD_ControlRegimen[[#This Row],[NOMBRE]]</f>
        <v>45208COTRINA COTRINA VICTOR EDGARDO</v>
      </c>
      <c r="B1754" s="83">
        <f>WEEKNUM(BD_ControlRegimen[[#This Row],[FECHA]],2)</f>
        <v>42</v>
      </c>
      <c r="C1754" s="7">
        <v>45208</v>
      </c>
      <c r="D1754" s="3" t="s">
        <v>84</v>
      </c>
      <c r="E1754" s="3"/>
      <c r="F1754" s="3"/>
    </row>
    <row r="1755" spans="1:6" hidden="1" x14ac:dyDescent="0.3">
      <c r="A1755" s="7" t="str">
        <f>BD_ControlRegimen[[#This Row],[FECHA]]&amp;BD_ControlRegimen[[#This Row],[NOMBRE]]</f>
        <v>45209COTRINA COTRINA VICTOR EDGARDO</v>
      </c>
      <c r="B1755" s="83">
        <f>WEEKNUM(BD_ControlRegimen[[#This Row],[FECHA]],2)</f>
        <v>42</v>
      </c>
      <c r="C1755" s="7">
        <v>45209</v>
      </c>
      <c r="D1755" s="3" t="s">
        <v>84</v>
      </c>
      <c r="E1755" s="3"/>
      <c r="F1755" s="3"/>
    </row>
    <row r="1756" spans="1:6" hidden="1" x14ac:dyDescent="0.3">
      <c r="A1756" s="7" t="str">
        <f>BD_ControlRegimen[[#This Row],[FECHA]]&amp;BD_ControlRegimen[[#This Row],[NOMBRE]]</f>
        <v>45210COTRINA COTRINA VICTOR EDGARDO</v>
      </c>
      <c r="B1756" s="83">
        <f>WEEKNUM(BD_ControlRegimen[[#This Row],[FECHA]],2)</f>
        <v>42</v>
      </c>
      <c r="C1756" s="7">
        <v>45210</v>
      </c>
      <c r="D1756" s="3" t="s">
        <v>84</v>
      </c>
      <c r="E1756" s="3"/>
      <c r="F1756" s="3"/>
    </row>
    <row r="1757" spans="1:6" hidden="1" x14ac:dyDescent="0.3">
      <c r="A1757" s="7" t="str">
        <f>BD_ControlRegimen[[#This Row],[FECHA]]&amp;BD_ControlRegimen[[#This Row],[NOMBRE]]</f>
        <v>45211COTRINA COTRINA VICTOR EDGARDO</v>
      </c>
      <c r="B1757" s="83">
        <f>WEEKNUM(BD_ControlRegimen[[#This Row],[FECHA]],2)</f>
        <v>42</v>
      </c>
      <c r="C1757" s="7">
        <v>45211</v>
      </c>
      <c r="D1757" s="3" t="s">
        <v>84</v>
      </c>
      <c r="E1757" s="3"/>
      <c r="F1757" s="3"/>
    </row>
    <row r="1758" spans="1:6" hidden="1" x14ac:dyDescent="0.3">
      <c r="A1758" s="7" t="str">
        <f>BD_ControlRegimen[[#This Row],[FECHA]]&amp;BD_ControlRegimen[[#This Row],[NOMBRE]]</f>
        <v>45212COTRINA COTRINA VICTOR EDGARDO</v>
      </c>
      <c r="B1758" s="83">
        <f>WEEKNUM(BD_ControlRegimen[[#This Row],[FECHA]],2)</f>
        <v>42</v>
      </c>
      <c r="C1758" s="7">
        <v>45212</v>
      </c>
      <c r="D1758" s="3" t="s">
        <v>84</v>
      </c>
      <c r="E1758" s="3"/>
      <c r="F1758" s="3"/>
    </row>
    <row r="1759" spans="1:6" hidden="1" x14ac:dyDescent="0.3">
      <c r="A1759" s="7" t="str">
        <f>BD_ControlRegimen[[#This Row],[FECHA]]&amp;BD_ControlRegimen[[#This Row],[NOMBRE]]</f>
        <v>45213COTRINA COTRINA VICTOR EDGARDO</v>
      </c>
      <c r="B1759" s="83">
        <f>WEEKNUM(BD_ControlRegimen[[#This Row],[FECHA]],2)</f>
        <v>42</v>
      </c>
      <c r="C1759" s="7">
        <v>45213</v>
      </c>
      <c r="D1759" s="3" t="s">
        <v>84</v>
      </c>
      <c r="E1759" s="3"/>
      <c r="F1759" s="3"/>
    </row>
    <row r="1760" spans="1:6" hidden="1" x14ac:dyDescent="0.3">
      <c r="A1760" s="7" t="str">
        <f>BD_ControlRegimen[[#This Row],[FECHA]]&amp;BD_ControlRegimen[[#This Row],[NOMBRE]]</f>
        <v>45214COTRINA COTRINA VICTOR EDGARDO</v>
      </c>
      <c r="B1760" s="83">
        <f>WEEKNUM(BD_ControlRegimen[[#This Row],[FECHA]],2)</f>
        <v>42</v>
      </c>
      <c r="C1760" s="7">
        <v>45214</v>
      </c>
      <c r="D1760" s="3" t="s">
        <v>84</v>
      </c>
      <c r="E1760" s="3"/>
      <c r="F1760" s="3"/>
    </row>
    <row r="1761" spans="1:6" hidden="1" x14ac:dyDescent="0.3">
      <c r="A1761" s="7" t="str">
        <f>BD_ControlRegimen[[#This Row],[FECHA]]&amp;BD_ControlRegimen[[#This Row],[NOMBRE]]</f>
        <v>45215COTRINA COTRINA VICTOR EDGARDO</v>
      </c>
      <c r="B1761" s="83">
        <f>WEEKNUM(BD_ControlRegimen[[#This Row],[FECHA]],2)</f>
        <v>43</v>
      </c>
      <c r="C1761" s="7">
        <v>45215</v>
      </c>
      <c r="D1761" s="3" t="s">
        <v>84</v>
      </c>
      <c r="E1761" s="3"/>
      <c r="F1761" s="3"/>
    </row>
    <row r="1762" spans="1:6" hidden="1" x14ac:dyDescent="0.3">
      <c r="A1762" s="7" t="str">
        <f>BD_ControlRegimen[[#This Row],[FECHA]]&amp;BD_ControlRegimen[[#This Row],[NOMBRE]]</f>
        <v>45216COTRINA COTRINA VICTOR EDGARDO</v>
      </c>
      <c r="B1762" s="83">
        <f>WEEKNUM(BD_ControlRegimen[[#This Row],[FECHA]],2)</f>
        <v>43</v>
      </c>
      <c r="C1762" s="7">
        <v>45216</v>
      </c>
      <c r="D1762" s="3" t="s">
        <v>84</v>
      </c>
      <c r="E1762" s="3"/>
      <c r="F1762" s="3"/>
    </row>
    <row r="1763" spans="1:6" hidden="1" x14ac:dyDescent="0.3">
      <c r="A1763" s="7" t="str">
        <f>BD_ControlRegimen[[#This Row],[FECHA]]&amp;BD_ControlRegimen[[#This Row],[NOMBRE]]</f>
        <v>45217COTRINA COTRINA VICTOR EDGARDO</v>
      </c>
      <c r="B1763" s="83">
        <f>WEEKNUM(BD_ControlRegimen[[#This Row],[FECHA]],2)</f>
        <v>43</v>
      </c>
      <c r="C1763" s="7">
        <v>45217</v>
      </c>
      <c r="D1763" s="3" t="s">
        <v>84</v>
      </c>
      <c r="E1763" s="3"/>
      <c r="F1763" s="3"/>
    </row>
    <row r="1764" spans="1:6" hidden="1" x14ac:dyDescent="0.3">
      <c r="A1764" s="7" t="str">
        <f>BD_ControlRegimen[[#This Row],[FECHA]]&amp;BD_ControlRegimen[[#This Row],[NOMBRE]]</f>
        <v>45218COTRINA COTRINA VICTOR EDGARDO</v>
      </c>
      <c r="B1764" s="83">
        <f>WEEKNUM(BD_ControlRegimen[[#This Row],[FECHA]],2)</f>
        <v>43</v>
      </c>
      <c r="C1764" s="7">
        <v>45218</v>
      </c>
      <c r="D1764" s="3" t="s">
        <v>84</v>
      </c>
      <c r="E1764" s="3"/>
      <c r="F1764" s="3"/>
    </row>
    <row r="1765" spans="1:6" hidden="1" x14ac:dyDescent="0.3">
      <c r="A1765" s="7" t="str">
        <f>BD_ControlRegimen[[#This Row],[FECHA]]&amp;BD_ControlRegimen[[#This Row],[NOMBRE]]</f>
        <v>45219COTRINA COTRINA VICTOR EDGARDO</v>
      </c>
      <c r="B1765" s="83">
        <f>WEEKNUM(BD_ControlRegimen[[#This Row],[FECHA]],2)</f>
        <v>43</v>
      </c>
      <c r="C1765" s="7">
        <v>45219</v>
      </c>
      <c r="D1765" s="3" t="s">
        <v>84</v>
      </c>
      <c r="E1765" s="3"/>
      <c r="F1765" s="3"/>
    </row>
    <row r="1766" spans="1:6" hidden="1" x14ac:dyDescent="0.3">
      <c r="A1766" s="7" t="str">
        <f>BD_ControlRegimen[[#This Row],[FECHA]]&amp;BD_ControlRegimen[[#This Row],[NOMBRE]]</f>
        <v>45220COTRINA COTRINA VICTOR EDGARDO</v>
      </c>
      <c r="B1766" s="83">
        <f>WEEKNUM(BD_ControlRegimen[[#This Row],[FECHA]],2)</f>
        <v>43</v>
      </c>
      <c r="C1766" s="7">
        <v>45220</v>
      </c>
      <c r="D1766" s="3" t="s">
        <v>84</v>
      </c>
      <c r="E1766" s="3"/>
      <c r="F1766" s="3"/>
    </row>
    <row r="1767" spans="1:6" hidden="1" x14ac:dyDescent="0.3">
      <c r="A1767" s="7" t="str">
        <f>BD_ControlRegimen[[#This Row],[FECHA]]&amp;BD_ControlRegimen[[#This Row],[NOMBRE]]</f>
        <v>45221COTRINA COTRINA VICTOR EDGARDO</v>
      </c>
      <c r="B1767" s="83">
        <f>WEEKNUM(BD_ControlRegimen[[#This Row],[FECHA]],2)</f>
        <v>43</v>
      </c>
      <c r="C1767" s="7">
        <v>45221</v>
      </c>
      <c r="D1767" s="3" t="s">
        <v>84</v>
      </c>
      <c r="E1767" s="3"/>
      <c r="F1767" s="3"/>
    </row>
    <row r="1768" spans="1:6" hidden="1" x14ac:dyDescent="0.3">
      <c r="A1768" s="7" t="str">
        <f>BD_ControlRegimen[[#This Row],[FECHA]]&amp;BD_ControlRegimen[[#This Row],[NOMBRE]]</f>
        <v>45222COTRINA COTRINA VICTOR EDGARDO</v>
      </c>
      <c r="B1768" s="83">
        <f>WEEKNUM(BD_ControlRegimen[[#This Row],[FECHA]],2)</f>
        <v>44</v>
      </c>
      <c r="C1768" s="7">
        <v>45222</v>
      </c>
      <c r="D1768" s="3" t="s">
        <v>84</v>
      </c>
      <c r="E1768" s="3"/>
      <c r="F1768" s="3"/>
    </row>
    <row r="1769" spans="1:6" hidden="1" x14ac:dyDescent="0.3">
      <c r="A1769" s="7" t="str">
        <f>BD_ControlRegimen[[#This Row],[FECHA]]&amp;BD_ControlRegimen[[#This Row],[NOMBRE]]</f>
        <v>45223COTRINA COTRINA VICTOR EDGARDO</v>
      </c>
      <c r="B1769" s="83">
        <f>WEEKNUM(BD_ControlRegimen[[#This Row],[FECHA]],2)</f>
        <v>44</v>
      </c>
      <c r="C1769" s="7">
        <v>45223</v>
      </c>
      <c r="D1769" s="3" t="s">
        <v>84</v>
      </c>
      <c r="E1769" s="3"/>
      <c r="F1769" s="3"/>
    </row>
    <row r="1770" spans="1:6" hidden="1" x14ac:dyDescent="0.3">
      <c r="A1770" s="7" t="str">
        <f>BD_ControlRegimen[[#This Row],[FECHA]]&amp;BD_ControlRegimen[[#This Row],[NOMBRE]]</f>
        <v>45224COTRINA COTRINA VICTOR EDGARDO</v>
      </c>
      <c r="B1770" s="83">
        <f>WEEKNUM(BD_ControlRegimen[[#This Row],[FECHA]],2)</f>
        <v>44</v>
      </c>
      <c r="C1770" s="7">
        <v>45224</v>
      </c>
      <c r="D1770" s="3" t="s">
        <v>84</v>
      </c>
      <c r="E1770" s="3"/>
      <c r="F1770" s="3"/>
    </row>
    <row r="1771" spans="1:6" hidden="1" x14ac:dyDescent="0.3">
      <c r="A1771" s="7" t="str">
        <f>BD_ControlRegimen[[#This Row],[FECHA]]&amp;BD_ControlRegimen[[#This Row],[NOMBRE]]</f>
        <v>45225COTRINA COTRINA VICTOR EDGARDO</v>
      </c>
      <c r="B1771" s="83">
        <f>WEEKNUM(BD_ControlRegimen[[#This Row],[FECHA]],2)</f>
        <v>44</v>
      </c>
      <c r="C1771" s="7">
        <v>45225</v>
      </c>
      <c r="D1771" s="3" t="s">
        <v>84</v>
      </c>
      <c r="E1771" s="3"/>
      <c r="F1771" s="3"/>
    </row>
    <row r="1772" spans="1:6" hidden="1" x14ac:dyDescent="0.3">
      <c r="A1772" s="7" t="str">
        <f>BD_ControlRegimen[[#This Row],[FECHA]]&amp;BD_ControlRegimen[[#This Row],[NOMBRE]]</f>
        <v>45226COTRINA COTRINA VICTOR EDGARDO</v>
      </c>
      <c r="B1772" s="83">
        <f>WEEKNUM(BD_ControlRegimen[[#This Row],[FECHA]],2)</f>
        <v>44</v>
      </c>
      <c r="C1772" s="7">
        <v>45226</v>
      </c>
      <c r="D1772" s="3" t="s">
        <v>84</v>
      </c>
      <c r="E1772" s="3"/>
      <c r="F1772" s="3"/>
    </row>
    <row r="1773" spans="1:6" hidden="1" x14ac:dyDescent="0.3">
      <c r="A1773" s="7" t="str">
        <f>BD_ControlRegimen[[#This Row],[FECHA]]&amp;BD_ControlRegimen[[#This Row],[NOMBRE]]</f>
        <v>45227COTRINA COTRINA VICTOR EDGARDO</v>
      </c>
      <c r="B1773" s="83">
        <f>WEEKNUM(BD_ControlRegimen[[#This Row],[FECHA]],2)</f>
        <v>44</v>
      </c>
      <c r="C1773" s="7">
        <v>45227</v>
      </c>
      <c r="D1773" s="3" t="s">
        <v>84</v>
      </c>
      <c r="E1773" s="3"/>
      <c r="F1773" s="3"/>
    </row>
    <row r="1774" spans="1:6" hidden="1" x14ac:dyDescent="0.3">
      <c r="A1774" s="7" t="str">
        <f>BD_ControlRegimen[[#This Row],[FECHA]]&amp;BD_ControlRegimen[[#This Row],[NOMBRE]]</f>
        <v>45228COTRINA COTRINA VICTOR EDGARDO</v>
      </c>
      <c r="B1774" s="83">
        <f>WEEKNUM(BD_ControlRegimen[[#This Row],[FECHA]],2)</f>
        <v>44</v>
      </c>
      <c r="C1774" s="7">
        <v>45228</v>
      </c>
      <c r="D1774" s="3" t="s">
        <v>84</v>
      </c>
      <c r="E1774" s="3"/>
      <c r="F1774" s="3"/>
    </row>
    <row r="1775" spans="1:6" hidden="1" x14ac:dyDescent="0.3">
      <c r="A1775" s="7" t="str">
        <f>BD_ControlRegimen[[#This Row],[FECHA]]&amp;BD_ControlRegimen[[#This Row],[NOMBRE]]</f>
        <v>45229COTRINA COTRINA VICTOR EDGARDO</v>
      </c>
      <c r="B1775" s="83">
        <f>WEEKNUM(BD_ControlRegimen[[#This Row],[FECHA]],2)</f>
        <v>45</v>
      </c>
      <c r="C1775" s="7">
        <v>45229</v>
      </c>
      <c r="D1775" s="3" t="s">
        <v>84</v>
      </c>
      <c r="E1775" s="3"/>
      <c r="F1775" s="3"/>
    </row>
    <row r="1776" spans="1:6" hidden="1" x14ac:dyDescent="0.3">
      <c r="A1776" s="7" t="str">
        <f>BD_ControlRegimen[[#This Row],[FECHA]]&amp;BD_ControlRegimen[[#This Row],[NOMBRE]]</f>
        <v>45230COTRINA COTRINA VICTOR EDGARDO</v>
      </c>
      <c r="B1776" s="83">
        <f>WEEKNUM(BD_ControlRegimen[[#This Row],[FECHA]],2)</f>
        <v>45</v>
      </c>
      <c r="C1776" s="7">
        <v>45230</v>
      </c>
      <c r="D1776" s="3" t="s">
        <v>84</v>
      </c>
      <c r="E1776" s="3"/>
      <c r="F1776" s="3"/>
    </row>
    <row r="1777" spans="1:6" hidden="1" x14ac:dyDescent="0.3">
      <c r="A1777" s="7" t="str">
        <f>BD_ControlRegimen[[#This Row],[FECHA]]&amp;BD_ControlRegimen[[#This Row],[NOMBRE]]</f>
        <v>45231COTRINA COTRINA VICTOR EDGARDO</v>
      </c>
      <c r="B1777" s="83">
        <f>WEEKNUM(BD_ControlRegimen[[#This Row],[FECHA]],2)</f>
        <v>45</v>
      </c>
      <c r="C1777" s="7">
        <v>45231</v>
      </c>
      <c r="D1777" s="3" t="s">
        <v>84</v>
      </c>
      <c r="E1777" s="3"/>
      <c r="F1777" s="3"/>
    </row>
    <row r="1778" spans="1:6" hidden="1" x14ac:dyDescent="0.3">
      <c r="A1778" s="7" t="str">
        <f>BD_ControlRegimen[[#This Row],[FECHA]]&amp;BD_ControlRegimen[[#This Row],[NOMBRE]]</f>
        <v>45232COTRINA COTRINA VICTOR EDGARDO</v>
      </c>
      <c r="B1778" s="83">
        <f>WEEKNUM(BD_ControlRegimen[[#This Row],[FECHA]],2)</f>
        <v>45</v>
      </c>
      <c r="C1778" s="7">
        <v>45232</v>
      </c>
      <c r="D1778" s="3" t="s">
        <v>84</v>
      </c>
      <c r="E1778" s="3"/>
      <c r="F1778" s="3"/>
    </row>
    <row r="1779" spans="1:6" hidden="1" x14ac:dyDescent="0.3">
      <c r="A1779" s="7" t="str">
        <f>BD_ControlRegimen[[#This Row],[FECHA]]&amp;BD_ControlRegimen[[#This Row],[NOMBRE]]</f>
        <v>45233COTRINA COTRINA VICTOR EDGARDO</v>
      </c>
      <c r="B1779" s="83">
        <f>WEEKNUM(BD_ControlRegimen[[#This Row],[FECHA]],2)</f>
        <v>45</v>
      </c>
      <c r="C1779" s="7">
        <v>45233</v>
      </c>
      <c r="D1779" s="3" t="s">
        <v>84</v>
      </c>
      <c r="E1779" s="3"/>
      <c r="F1779" s="3"/>
    </row>
    <row r="1780" spans="1:6" hidden="1" x14ac:dyDescent="0.3">
      <c r="A1780" s="7" t="str">
        <f>BD_ControlRegimen[[#This Row],[FECHA]]&amp;BD_ControlRegimen[[#This Row],[NOMBRE]]</f>
        <v>45234COTRINA COTRINA VICTOR EDGARDO</v>
      </c>
      <c r="B1780" s="83">
        <f>WEEKNUM(BD_ControlRegimen[[#This Row],[FECHA]],2)</f>
        <v>45</v>
      </c>
      <c r="C1780" s="7">
        <v>45234</v>
      </c>
      <c r="D1780" s="3" t="s">
        <v>84</v>
      </c>
      <c r="E1780" s="3"/>
      <c r="F1780" s="3"/>
    </row>
    <row r="1781" spans="1:6" hidden="1" x14ac:dyDescent="0.3">
      <c r="A1781" s="7" t="str">
        <f>BD_ControlRegimen[[#This Row],[FECHA]]&amp;BD_ControlRegimen[[#This Row],[NOMBRE]]</f>
        <v>45235COTRINA COTRINA VICTOR EDGARDO</v>
      </c>
      <c r="B1781" s="83">
        <f>WEEKNUM(BD_ControlRegimen[[#This Row],[FECHA]],2)</f>
        <v>45</v>
      </c>
      <c r="C1781" s="7">
        <v>45235</v>
      </c>
      <c r="D1781" s="3" t="s">
        <v>84</v>
      </c>
      <c r="E1781" s="3"/>
      <c r="F1781" s="3"/>
    </row>
    <row r="1782" spans="1:6" hidden="1" x14ac:dyDescent="0.3">
      <c r="A1782" s="7" t="str">
        <f>BD_ControlRegimen[[#This Row],[FECHA]]&amp;BD_ControlRegimen[[#This Row],[NOMBRE]]</f>
        <v>45236COTRINA COTRINA VICTOR EDGARDO</v>
      </c>
      <c r="B1782" s="83">
        <f>WEEKNUM(BD_ControlRegimen[[#This Row],[FECHA]],2)</f>
        <v>46</v>
      </c>
      <c r="C1782" s="7">
        <v>45236</v>
      </c>
      <c r="D1782" s="3" t="s">
        <v>84</v>
      </c>
      <c r="E1782" s="3"/>
      <c r="F1782" s="3"/>
    </row>
    <row r="1783" spans="1:6" hidden="1" x14ac:dyDescent="0.3">
      <c r="A1783" s="7" t="str">
        <f>BD_ControlRegimen[[#This Row],[FECHA]]&amp;BD_ControlRegimen[[#This Row],[NOMBRE]]</f>
        <v>45237COTRINA COTRINA VICTOR EDGARDO</v>
      </c>
      <c r="B1783" s="83">
        <f>WEEKNUM(BD_ControlRegimen[[#This Row],[FECHA]],2)</f>
        <v>46</v>
      </c>
      <c r="C1783" s="7">
        <v>45237</v>
      </c>
      <c r="D1783" s="3" t="s">
        <v>84</v>
      </c>
      <c r="E1783" s="3"/>
      <c r="F1783" s="3"/>
    </row>
    <row r="1784" spans="1:6" hidden="1" x14ac:dyDescent="0.3">
      <c r="A1784" s="7" t="str">
        <f>BD_ControlRegimen[[#This Row],[FECHA]]&amp;BD_ControlRegimen[[#This Row],[NOMBRE]]</f>
        <v>45238COTRINA COTRINA VICTOR EDGARDO</v>
      </c>
      <c r="B1784" s="83">
        <f>WEEKNUM(BD_ControlRegimen[[#This Row],[FECHA]],2)</f>
        <v>46</v>
      </c>
      <c r="C1784" s="7">
        <v>45238</v>
      </c>
      <c r="D1784" s="3" t="s">
        <v>84</v>
      </c>
      <c r="E1784" s="3"/>
      <c r="F1784" s="3"/>
    </row>
    <row r="1785" spans="1:6" hidden="1" x14ac:dyDescent="0.3">
      <c r="A1785" s="7" t="str">
        <f>BD_ControlRegimen[[#This Row],[FECHA]]&amp;BD_ControlRegimen[[#This Row],[NOMBRE]]</f>
        <v>45239COTRINA COTRINA VICTOR EDGARDO</v>
      </c>
      <c r="B1785" s="83">
        <f>WEEKNUM(BD_ControlRegimen[[#This Row],[FECHA]],2)</f>
        <v>46</v>
      </c>
      <c r="C1785" s="7">
        <v>45239</v>
      </c>
      <c r="D1785" s="3" t="s">
        <v>84</v>
      </c>
      <c r="E1785" s="3"/>
      <c r="F1785" s="3"/>
    </row>
    <row r="1786" spans="1:6" hidden="1" x14ac:dyDescent="0.3">
      <c r="A1786" s="7" t="str">
        <f>BD_ControlRegimen[[#This Row],[FECHA]]&amp;BD_ControlRegimen[[#This Row],[NOMBRE]]</f>
        <v>45240COTRINA COTRINA VICTOR EDGARDO</v>
      </c>
      <c r="B1786" s="83">
        <f>WEEKNUM(BD_ControlRegimen[[#This Row],[FECHA]],2)</f>
        <v>46</v>
      </c>
      <c r="C1786" s="7">
        <v>45240</v>
      </c>
      <c r="D1786" s="3" t="s">
        <v>84</v>
      </c>
      <c r="E1786" s="3"/>
      <c r="F1786" s="3"/>
    </row>
    <row r="1787" spans="1:6" hidden="1" x14ac:dyDescent="0.3">
      <c r="A1787" s="7" t="str">
        <f>BD_ControlRegimen[[#This Row],[FECHA]]&amp;BD_ControlRegimen[[#This Row],[NOMBRE]]</f>
        <v>45241COTRINA COTRINA VICTOR EDGARDO</v>
      </c>
      <c r="B1787" s="83">
        <f>WEEKNUM(BD_ControlRegimen[[#This Row],[FECHA]],2)</f>
        <v>46</v>
      </c>
      <c r="C1787" s="7">
        <v>45241</v>
      </c>
      <c r="D1787" s="3" t="s">
        <v>84</v>
      </c>
      <c r="E1787" s="3"/>
      <c r="F1787" s="3"/>
    </row>
    <row r="1788" spans="1:6" hidden="1" x14ac:dyDescent="0.3">
      <c r="A1788" s="7" t="str">
        <f>BD_ControlRegimen[[#This Row],[FECHA]]&amp;BD_ControlRegimen[[#This Row],[NOMBRE]]</f>
        <v>45242COTRINA COTRINA VICTOR EDGARDO</v>
      </c>
      <c r="B1788" s="83">
        <f>WEEKNUM(BD_ControlRegimen[[#This Row],[FECHA]],2)</f>
        <v>46</v>
      </c>
      <c r="C1788" s="7">
        <v>45242</v>
      </c>
      <c r="D1788" s="3" t="s">
        <v>84</v>
      </c>
      <c r="E1788" s="3"/>
      <c r="F1788" s="3"/>
    </row>
    <row r="1789" spans="1:6" hidden="1" x14ac:dyDescent="0.3">
      <c r="A1789" s="7" t="str">
        <f>BD_ControlRegimen[[#This Row],[FECHA]]&amp;BD_ControlRegimen[[#This Row],[NOMBRE]]</f>
        <v>45243COTRINA COTRINA VICTOR EDGARDO</v>
      </c>
      <c r="B1789" s="83">
        <f>WEEKNUM(BD_ControlRegimen[[#This Row],[FECHA]],2)</f>
        <v>47</v>
      </c>
      <c r="C1789" s="7">
        <v>45243</v>
      </c>
      <c r="D1789" s="3" t="s">
        <v>84</v>
      </c>
      <c r="E1789" s="3"/>
      <c r="F1789" s="3"/>
    </row>
    <row r="1790" spans="1:6" hidden="1" x14ac:dyDescent="0.3">
      <c r="A1790" s="7" t="str">
        <f>BD_ControlRegimen[[#This Row],[FECHA]]&amp;BD_ControlRegimen[[#This Row],[NOMBRE]]</f>
        <v>45244COTRINA COTRINA VICTOR EDGARDO</v>
      </c>
      <c r="B1790" s="83">
        <f>WEEKNUM(BD_ControlRegimen[[#This Row],[FECHA]],2)</f>
        <v>47</v>
      </c>
      <c r="C1790" s="7">
        <v>45244</v>
      </c>
      <c r="D1790" s="3" t="s">
        <v>84</v>
      </c>
      <c r="E1790" s="3"/>
      <c r="F1790" s="3"/>
    </row>
    <row r="1791" spans="1:6" hidden="1" x14ac:dyDescent="0.3">
      <c r="A1791" s="7" t="str">
        <f>BD_ControlRegimen[[#This Row],[FECHA]]&amp;BD_ControlRegimen[[#This Row],[NOMBRE]]</f>
        <v>45245COTRINA COTRINA VICTOR EDGARDO</v>
      </c>
      <c r="B1791" s="83">
        <f>WEEKNUM(BD_ControlRegimen[[#This Row],[FECHA]],2)</f>
        <v>47</v>
      </c>
      <c r="C1791" s="7">
        <v>45245</v>
      </c>
      <c r="D1791" s="3" t="s">
        <v>84</v>
      </c>
      <c r="E1791" s="3"/>
      <c r="F1791" s="3"/>
    </row>
    <row r="1792" spans="1:6" hidden="1" x14ac:dyDescent="0.3">
      <c r="A1792" s="7" t="str">
        <f>BD_ControlRegimen[[#This Row],[FECHA]]&amp;BD_ControlRegimen[[#This Row],[NOMBRE]]</f>
        <v>45246COTRINA COTRINA VICTOR EDGARDO</v>
      </c>
      <c r="B1792" s="83">
        <f>WEEKNUM(BD_ControlRegimen[[#This Row],[FECHA]],2)</f>
        <v>47</v>
      </c>
      <c r="C1792" s="7">
        <v>45246</v>
      </c>
      <c r="D1792" s="3" t="s">
        <v>84</v>
      </c>
      <c r="E1792" s="3"/>
      <c r="F1792" s="3"/>
    </row>
    <row r="1793" spans="1:6" hidden="1" x14ac:dyDescent="0.3">
      <c r="A1793" s="7" t="str">
        <f>BD_ControlRegimen[[#This Row],[FECHA]]&amp;BD_ControlRegimen[[#This Row],[NOMBRE]]</f>
        <v>45247COTRINA COTRINA VICTOR EDGARDO</v>
      </c>
      <c r="B1793" s="83">
        <f>WEEKNUM(BD_ControlRegimen[[#This Row],[FECHA]],2)</f>
        <v>47</v>
      </c>
      <c r="C1793" s="7">
        <v>45247</v>
      </c>
      <c r="D1793" s="3" t="s">
        <v>84</v>
      </c>
      <c r="E1793" s="3"/>
      <c r="F1793" s="3"/>
    </row>
    <row r="1794" spans="1:6" hidden="1" x14ac:dyDescent="0.3">
      <c r="A1794" s="7" t="str">
        <f>BD_ControlRegimen[[#This Row],[FECHA]]&amp;BD_ControlRegimen[[#This Row],[NOMBRE]]</f>
        <v>45248COTRINA COTRINA VICTOR EDGARDO</v>
      </c>
      <c r="B1794" s="83">
        <f>WEEKNUM(BD_ControlRegimen[[#This Row],[FECHA]],2)</f>
        <v>47</v>
      </c>
      <c r="C1794" s="7">
        <v>45248</v>
      </c>
      <c r="D1794" s="3" t="s">
        <v>84</v>
      </c>
      <c r="E1794" s="3"/>
      <c r="F1794" s="3"/>
    </row>
    <row r="1795" spans="1:6" hidden="1" x14ac:dyDescent="0.3">
      <c r="A1795" s="7" t="str">
        <f>BD_ControlRegimen[[#This Row],[FECHA]]&amp;BD_ControlRegimen[[#This Row],[NOMBRE]]</f>
        <v>45249COTRINA COTRINA VICTOR EDGARDO</v>
      </c>
      <c r="B1795" s="83">
        <f>WEEKNUM(BD_ControlRegimen[[#This Row],[FECHA]],2)</f>
        <v>47</v>
      </c>
      <c r="C1795" s="7">
        <v>45249</v>
      </c>
      <c r="D1795" s="3" t="s">
        <v>84</v>
      </c>
      <c r="E1795" s="3"/>
      <c r="F1795" s="3"/>
    </row>
    <row r="1796" spans="1:6" hidden="1" x14ac:dyDescent="0.3">
      <c r="A1796" s="7" t="str">
        <f>BD_ControlRegimen[[#This Row],[FECHA]]&amp;BD_ControlRegimen[[#This Row],[NOMBRE]]</f>
        <v>45250COTRINA COTRINA VICTOR EDGARDO</v>
      </c>
      <c r="B1796" s="83">
        <f>WEEKNUM(BD_ControlRegimen[[#This Row],[FECHA]],2)</f>
        <v>48</v>
      </c>
      <c r="C1796" s="7">
        <v>45250</v>
      </c>
      <c r="D1796" s="3" t="s">
        <v>84</v>
      </c>
      <c r="E1796" s="3"/>
      <c r="F1796" s="3"/>
    </row>
    <row r="1797" spans="1:6" hidden="1" x14ac:dyDescent="0.3">
      <c r="A1797" s="7" t="str">
        <f>BD_ControlRegimen[[#This Row],[FECHA]]&amp;BD_ControlRegimen[[#This Row],[NOMBRE]]</f>
        <v>45251COTRINA COTRINA VICTOR EDGARDO</v>
      </c>
      <c r="B1797" s="83">
        <f>WEEKNUM(BD_ControlRegimen[[#This Row],[FECHA]],2)</f>
        <v>48</v>
      </c>
      <c r="C1797" s="7">
        <v>45251</v>
      </c>
      <c r="D1797" s="3" t="s">
        <v>84</v>
      </c>
      <c r="E1797" s="3"/>
      <c r="F1797" s="3"/>
    </row>
    <row r="1798" spans="1:6" hidden="1" x14ac:dyDescent="0.3">
      <c r="A1798" s="7" t="str">
        <f>BD_ControlRegimen[[#This Row],[FECHA]]&amp;BD_ControlRegimen[[#This Row],[NOMBRE]]</f>
        <v>45252COTRINA COTRINA VICTOR EDGARDO</v>
      </c>
      <c r="B1798" s="83">
        <f>WEEKNUM(BD_ControlRegimen[[#This Row],[FECHA]],2)</f>
        <v>48</v>
      </c>
      <c r="C1798" s="7">
        <v>45252</v>
      </c>
      <c r="D1798" s="3" t="s">
        <v>84</v>
      </c>
      <c r="E1798" s="3"/>
      <c r="F1798" s="3"/>
    </row>
    <row r="1799" spans="1:6" hidden="1" x14ac:dyDescent="0.3">
      <c r="A1799" s="7" t="str">
        <f>BD_ControlRegimen[[#This Row],[FECHA]]&amp;BD_ControlRegimen[[#This Row],[NOMBRE]]</f>
        <v>45253COTRINA COTRINA VICTOR EDGARDO</v>
      </c>
      <c r="B1799" s="83">
        <f>WEEKNUM(BD_ControlRegimen[[#This Row],[FECHA]],2)</f>
        <v>48</v>
      </c>
      <c r="C1799" s="7">
        <v>45253</v>
      </c>
      <c r="D1799" s="3" t="s">
        <v>84</v>
      </c>
      <c r="E1799" s="3"/>
      <c r="F1799" s="3"/>
    </row>
    <row r="1800" spans="1:6" hidden="1" x14ac:dyDescent="0.3">
      <c r="A1800" s="7" t="str">
        <f>BD_ControlRegimen[[#This Row],[FECHA]]&amp;BD_ControlRegimen[[#This Row],[NOMBRE]]</f>
        <v>45254COTRINA COTRINA VICTOR EDGARDO</v>
      </c>
      <c r="B1800" s="83">
        <f>WEEKNUM(BD_ControlRegimen[[#This Row],[FECHA]],2)</f>
        <v>48</v>
      </c>
      <c r="C1800" s="7">
        <v>45254</v>
      </c>
      <c r="D1800" s="3" t="s">
        <v>84</v>
      </c>
      <c r="E1800" s="3"/>
      <c r="F1800" s="3"/>
    </row>
    <row r="1801" spans="1:6" hidden="1" x14ac:dyDescent="0.3">
      <c r="A1801" s="7" t="str">
        <f>BD_ControlRegimen[[#This Row],[FECHA]]&amp;BD_ControlRegimen[[#This Row],[NOMBRE]]</f>
        <v>45255COTRINA COTRINA VICTOR EDGARDO</v>
      </c>
      <c r="B1801" s="83">
        <f>WEEKNUM(BD_ControlRegimen[[#This Row],[FECHA]],2)</f>
        <v>48</v>
      </c>
      <c r="C1801" s="7">
        <v>45255</v>
      </c>
      <c r="D1801" s="3" t="s">
        <v>84</v>
      </c>
      <c r="E1801" s="3"/>
      <c r="F1801" s="3"/>
    </row>
    <row r="1802" spans="1:6" hidden="1" x14ac:dyDescent="0.3">
      <c r="A1802" s="7" t="str">
        <f>BD_ControlRegimen[[#This Row],[FECHA]]&amp;BD_ControlRegimen[[#This Row],[NOMBRE]]</f>
        <v>45256COTRINA COTRINA VICTOR EDGARDO</v>
      </c>
      <c r="B1802" s="83">
        <f>WEEKNUM(BD_ControlRegimen[[#This Row],[FECHA]],2)</f>
        <v>48</v>
      </c>
      <c r="C1802" s="7">
        <v>45256</v>
      </c>
      <c r="D1802" s="3" t="s">
        <v>84</v>
      </c>
      <c r="E1802" s="3"/>
      <c r="F1802" s="3"/>
    </row>
    <row r="1803" spans="1:6" hidden="1" x14ac:dyDescent="0.3">
      <c r="A1803" s="7" t="str">
        <f>BD_ControlRegimen[[#This Row],[FECHA]]&amp;BD_ControlRegimen[[#This Row],[NOMBRE]]</f>
        <v>45257COTRINA COTRINA VICTOR EDGARDO</v>
      </c>
      <c r="B1803" s="83">
        <f>WEEKNUM(BD_ControlRegimen[[#This Row],[FECHA]],2)</f>
        <v>49</v>
      </c>
      <c r="C1803" s="7">
        <v>45257</v>
      </c>
      <c r="D1803" s="3" t="s">
        <v>84</v>
      </c>
      <c r="E1803" s="3"/>
      <c r="F1803" s="3"/>
    </row>
    <row r="1804" spans="1:6" hidden="1" x14ac:dyDescent="0.3">
      <c r="A1804" s="7" t="str">
        <f>BD_ControlRegimen[[#This Row],[FECHA]]&amp;BD_ControlRegimen[[#This Row],[NOMBRE]]</f>
        <v>45258COTRINA COTRINA VICTOR EDGARDO</v>
      </c>
      <c r="B1804" s="83">
        <f>WEEKNUM(BD_ControlRegimen[[#This Row],[FECHA]],2)</f>
        <v>49</v>
      </c>
      <c r="C1804" s="7">
        <v>45258</v>
      </c>
      <c r="D1804" s="3" t="s">
        <v>84</v>
      </c>
      <c r="E1804" s="3"/>
      <c r="F1804" s="3"/>
    </row>
    <row r="1805" spans="1:6" hidden="1" x14ac:dyDescent="0.3">
      <c r="A1805" s="7" t="str">
        <f>BD_ControlRegimen[[#This Row],[FECHA]]&amp;BD_ControlRegimen[[#This Row],[NOMBRE]]</f>
        <v>45259COTRINA COTRINA VICTOR EDGARDO</v>
      </c>
      <c r="B1805" s="83">
        <f>WEEKNUM(BD_ControlRegimen[[#This Row],[FECHA]],2)</f>
        <v>49</v>
      </c>
      <c r="C1805" s="7">
        <v>45259</v>
      </c>
      <c r="D1805" s="3" t="s">
        <v>84</v>
      </c>
      <c r="E1805" s="3"/>
      <c r="F1805" s="3"/>
    </row>
    <row r="1806" spans="1:6" hidden="1" x14ac:dyDescent="0.3">
      <c r="A1806" s="7" t="str">
        <f>BD_ControlRegimen[[#This Row],[FECHA]]&amp;BD_ControlRegimen[[#This Row],[NOMBRE]]</f>
        <v>45260COTRINA COTRINA VICTOR EDGARDO</v>
      </c>
      <c r="B1806" s="83">
        <f>WEEKNUM(BD_ControlRegimen[[#This Row],[FECHA]],2)</f>
        <v>49</v>
      </c>
      <c r="C1806" s="7">
        <v>45260</v>
      </c>
      <c r="D1806" s="3" t="s">
        <v>84</v>
      </c>
      <c r="E1806" s="3"/>
      <c r="F1806" s="3"/>
    </row>
    <row r="1807" spans="1:6" hidden="1" x14ac:dyDescent="0.3">
      <c r="A1807" s="7" t="str">
        <f>BD_ControlRegimen[[#This Row],[FECHA]]&amp;BD_ControlRegimen[[#This Row],[NOMBRE]]</f>
        <v>45261COTRINA COTRINA VICTOR EDGARDO</v>
      </c>
      <c r="B1807" s="83">
        <f>WEEKNUM(BD_ControlRegimen[[#This Row],[FECHA]],2)</f>
        <v>49</v>
      </c>
      <c r="C1807" s="7">
        <v>45261</v>
      </c>
      <c r="D1807" s="3" t="s">
        <v>84</v>
      </c>
      <c r="E1807" s="3"/>
      <c r="F1807" s="3"/>
    </row>
    <row r="1808" spans="1:6" hidden="1" x14ac:dyDescent="0.3">
      <c r="A1808" s="7" t="str">
        <f>BD_ControlRegimen[[#This Row],[FECHA]]&amp;BD_ControlRegimen[[#This Row],[NOMBRE]]</f>
        <v>45262COTRINA COTRINA VICTOR EDGARDO</v>
      </c>
      <c r="B1808" s="83">
        <f>WEEKNUM(BD_ControlRegimen[[#This Row],[FECHA]],2)</f>
        <v>49</v>
      </c>
      <c r="C1808" s="7">
        <v>45262</v>
      </c>
      <c r="D1808" s="3" t="s">
        <v>84</v>
      </c>
      <c r="E1808" s="3"/>
      <c r="F1808" s="3"/>
    </row>
    <row r="1809" spans="1:6" hidden="1" x14ac:dyDescent="0.3">
      <c r="A1809" s="7" t="str">
        <f>BD_ControlRegimen[[#This Row],[FECHA]]&amp;BD_ControlRegimen[[#This Row],[NOMBRE]]</f>
        <v>45263COTRINA COTRINA VICTOR EDGARDO</v>
      </c>
      <c r="B1809" s="83">
        <f>WEEKNUM(BD_ControlRegimen[[#This Row],[FECHA]],2)</f>
        <v>49</v>
      </c>
      <c r="C1809" s="7">
        <v>45263</v>
      </c>
      <c r="D1809" s="3" t="s">
        <v>84</v>
      </c>
      <c r="E1809" s="3"/>
      <c r="F1809" s="3"/>
    </row>
    <row r="1810" spans="1:6" hidden="1" x14ac:dyDescent="0.3">
      <c r="A1810" s="7" t="str">
        <f>BD_ControlRegimen[[#This Row],[FECHA]]&amp;BD_ControlRegimen[[#This Row],[NOMBRE]]</f>
        <v>45264COTRINA COTRINA VICTOR EDGARDO</v>
      </c>
      <c r="B1810" s="83">
        <f>WEEKNUM(BD_ControlRegimen[[#This Row],[FECHA]],2)</f>
        <v>50</v>
      </c>
      <c r="C1810" s="7">
        <v>45264</v>
      </c>
      <c r="D1810" s="3" t="s">
        <v>84</v>
      </c>
      <c r="E1810" s="3"/>
      <c r="F1810" s="3"/>
    </row>
    <row r="1811" spans="1:6" hidden="1" x14ac:dyDescent="0.3">
      <c r="A1811" s="7" t="str">
        <f>BD_ControlRegimen[[#This Row],[FECHA]]&amp;BD_ControlRegimen[[#This Row],[NOMBRE]]</f>
        <v>45265COTRINA COTRINA VICTOR EDGARDO</v>
      </c>
      <c r="B1811" s="83">
        <f>WEEKNUM(BD_ControlRegimen[[#This Row],[FECHA]],2)</f>
        <v>50</v>
      </c>
      <c r="C1811" s="7">
        <v>45265</v>
      </c>
      <c r="D1811" s="3" t="s">
        <v>84</v>
      </c>
      <c r="E1811" s="3"/>
      <c r="F1811" s="3"/>
    </row>
    <row r="1812" spans="1:6" hidden="1" x14ac:dyDescent="0.3">
      <c r="A1812" s="7" t="str">
        <f>BD_ControlRegimen[[#This Row],[FECHA]]&amp;BD_ControlRegimen[[#This Row],[NOMBRE]]</f>
        <v>45266COTRINA COTRINA VICTOR EDGARDO</v>
      </c>
      <c r="B1812" s="83">
        <f>WEEKNUM(BD_ControlRegimen[[#This Row],[FECHA]],2)</f>
        <v>50</v>
      </c>
      <c r="C1812" s="7">
        <v>45266</v>
      </c>
      <c r="D1812" s="3" t="s">
        <v>84</v>
      </c>
      <c r="E1812" s="3"/>
      <c r="F1812" s="3"/>
    </row>
    <row r="1813" spans="1:6" hidden="1" x14ac:dyDescent="0.3">
      <c r="A1813" s="7" t="str">
        <f>BD_ControlRegimen[[#This Row],[FECHA]]&amp;BD_ControlRegimen[[#This Row],[NOMBRE]]</f>
        <v>45267COTRINA COTRINA VICTOR EDGARDO</v>
      </c>
      <c r="B1813" s="83">
        <f>WEEKNUM(BD_ControlRegimen[[#This Row],[FECHA]],2)</f>
        <v>50</v>
      </c>
      <c r="C1813" s="7">
        <v>45267</v>
      </c>
      <c r="D1813" s="3" t="s">
        <v>84</v>
      </c>
      <c r="E1813" s="3"/>
      <c r="F1813" s="3"/>
    </row>
    <row r="1814" spans="1:6" hidden="1" x14ac:dyDescent="0.3">
      <c r="A1814" s="7" t="str">
        <f>BD_ControlRegimen[[#This Row],[FECHA]]&amp;BD_ControlRegimen[[#This Row],[NOMBRE]]</f>
        <v>45268COTRINA COTRINA VICTOR EDGARDO</v>
      </c>
      <c r="B1814" s="83">
        <f>WEEKNUM(BD_ControlRegimen[[#This Row],[FECHA]],2)</f>
        <v>50</v>
      </c>
      <c r="C1814" s="7">
        <v>45268</v>
      </c>
      <c r="D1814" s="3" t="s">
        <v>84</v>
      </c>
      <c r="E1814" s="3"/>
      <c r="F1814" s="3"/>
    </row>
    <row r="1815" spans="1:6" hidden="1" x14ac:dyDescent="0.3">
      <c r="A1815" s="7" t="str">
        <f>BD_ControlRegimen[[#This Row],[FECHA]]&amp;BD_ControlRegimen[[#This Row],[NOMBRE]]</f>
        <v>45269COTRINA COTRINA VICTOR EDGARDO</v>
      </c>
      <c r="B1815" s="83">
        <f>WEEKNUM(BD_ControlRegimen[[#This Row],[FECHA]],2)</f>
        <v>50</v>
      </c>
      <c r="C1815" s="7">
        <v>45269</v>
      </c>
      <c r="D1815" s="3" t="s">
        <v>84</v>
      </c>
      <c r="E1815" s="3"/>
      <c r="F1815" s="3"/>
    </row>
    <row r="1816" spans="1:6" hidden="1" x14ac:dyDescent="0.3">
      <c r="A1816" s="7" t="str">
        <f>BD_ControlRegimen[[#This Row],[FECHA]]&amp;BD_ControlRegimen[[#This Row],[NOMBRE]]</f>
        <v>45270COTRINA COTRINA VICTOR EDGARDO</v>
      </c>
      <c r="B1816" s="83">
        <f>WEEKNUM(BD_ControlRegimen[[#This Row],[FECHA]],2)</f>
        <v>50</v>
      </c>
      <c r="C1816" s="7">
        <v>45270</v>
      </c>
      <c r="D1816" s="3" t="s">
        <v>84</v>
      </c>
      <c r="E1816" s="3"/>
      <c r="F1816" s="3"/>
    </row>
    <row r="1817" spans="1:6" hidden="1" x14ac:dyDescent="0.3">
      <c r="A1817" s="7" t="str">
        <f>BD_ControlRegimen[[#This Row],[FECHA]]&amp;BD_ControlRegimen[[#This Row],[NOMBRE]]</f>
        <v>45271COTRINA COTRINA VICTOR EDGARDO</v>
      </c>
      <c r="B1817" s="83">
        <f>WEEKNUM(BD_ControlRegimen[[#This Row],[FECHA]],2)</f>
        <v>51</v>
      </c>
      <c r="C1817" s="7">
        <v>45271</v>
      </c>
      <c r="D1817" s="3" t="s">
        <v>84</v>
      </c>
      <c r="E1817" s="3"/>
      <c r="F1817" s="3"/>
    </row>
    <row r="1818" spans="1:6" hidden="1" x14ac:dyDescent="0.3">
      <c r="A1818" s="7" t="str">
        <f>BD_ControlRegimen[[#This Row],[FECHA]]&amp;BD_ControlRegimen[[#This Row],[NOMBRE]]</f>
        <v>45272COTRINA COTRINA VICTOR EDGARDO</v>
      </c>
      <c r="B1818" s="83">
        <f>WEEKNUM(BD_ControlRegimen[[#This Row],[FECHA]],2)</f>
        <v>51</v>
      </c>
      <c r="C1818" s="7">
        <v>45272</v>
      </c>
      <c r="D1818" s="3" t="s">
        <v>84</v>
      </c>
      <c r="E1818" s="3"/>
      <c r="F1818" s="3"/>
    </row>
    <row r="1819" spans="1:6" hidden="1" x14ac:dyDescent="0.3">
      <c r="A1819" s="7" t="str">
        <f>BD_ControlRegimen[[#This Row],[FECHA]]&amp;BD_ControlRegimen[[#This Row],[NOMBRE]]</f>
        <v>45273COTRINA COTRINA VICTOR EDGARDO</v>
      </c>
      <c r="B1819" s="83">
        <f>WEEKNUM(BD_ControlRegimen[[#This Row],[FECHA]],2)</f>
        <v>51</v>
      </c>
      <c r="C1819" s="7">
        <v>45273</v>
      </c>
      <c r="D1819" s="3" t="s">
        <v>84</v>
      </c>
      <c r="E1819" s="3"/>
      <c r="F1819" s="3"/>
    </row>
    <row r="1820" spans="1:6" hidden="1" x14ac:dyDescent="0.3">
      <c r="A1820" s="7" t="str">
        <f>BD_ControlRegimen[[#This Row],[FECHA]]&amp;BD_ControlRegimen[[#This Row],[NOMBRE]]</f>
        <v>45274COTRINA COTRINA VICTOR EDGARDO</v>
      </c>
      <c r="B1820" s="83">
        <f>WEEKNUM(BD_ControlRegimen[[#This Row],[FECHA]],2)</f>
        <v>51</v>
      </c>
      <c r="C1820" s="7">
        <v>45274</v>
      </c>
      <c r="D1820" s="3" t="s">
        <v>84</v>
      </c>
      <c r="E1820" s="3"/>
      <c r="F1820" s="3"/>
    </row>
    <row r="1821" spans="1:6" hidden="1" x14ac:dyDescent="0.3">
      <c r="A1821" s="7" t="str">
        <f>BD_ControlRegimen[[#This Row],[FECHA]]&amp;BD_ControlRegimen[[#This Row],[NOMBRE]]</f>
        <v>45275COTRINA COTRINA VICTOR EDGARDO</v>
      </c>
      <c r="B1821" s="83">
        <f>WEEKNUM(BD_ControlRegimen[[#This Row],[FECHA]],2)</f>
        <v>51</v>
      </c>
      <c r="C1821" s="7">
        <v>45275</v>
      </c>
      <c r="D1821" s="3" t="s">
        <v>84</v>
      </c>
      <c r="E1821" s="3"/>
      <c r="F1821" s="3"/>
    </row>
    <row r="1822" spans="1:6" hidden="1" x14ac:dyDescent="0.3">
      <c r="A1822" s="7" t="str">
        <f>BD_ControlRegimen[[#This Row],[FECHA]]&amp;BD_ControlRegimen[[#This Row],[NOMBRE]]</f>
        <v>45276COTRINA COTRINA VICTOR EDGARDO</v>
      </c>
      <c r="B1822" s="83">
        <f>WEEKNUM(BD_ControlRegimen[[#This Row],[FECHA]],2)</f>
        <v>51</v>
      </c>
      <c r="C1822" s="7">
        <v>45276</v>
      </c>
      <c r="D1822" s="3" t="s">
        <v>84</v>
      </c>
      <c r="E1822" s="3"/>
      <c r="F1822" s="3"/>
    </row>
    <row r="1823" spans="1:6" hidden="1" x14ac:dyDescent="0.3">
      <c r="A1823" s="7" t="str">
        <f>BD_ControlRegimen[[#This Row],[FECHA]]&amp;BD_ControlRegimen[[#This Row],[NOMBRE]]</f>
        <v>45277COTRINA COTRINA VICTOR EDGARDO</v>
      </c>
      <c r="B1823" s="83">
        <f>WEEKNUM(BD_ControlRegimen[[#This Row],[FECHA]],2)</f>
        <v>51</v>
      </c>
      <c r="C1823" s="7">
        <v>45277</v>
      </c>
      <c r="D1823" s="3" t="s">
        <v>84</v>
      </c>
      <c r="E1823" s="3"/>
      <c r="F1823" s="3"/>
    </row>
    <row r="1824" spans="1:6" hidden="1" x14ac:dyDescent="0.3">
      <c r="A1824" s="7" t="str">
        <f>BD_ControlRegimen[[#This Row],[FECHA]]&amp;BD_ControlRegimen[[#This Row],[NOMBRE]]</f>
        <v>45278COTRINA COTRINA VICTOR EDGARDO</v>
      </c>
      <c r="B1824" s="83">
        <f>WEEKNUM(BD_ControlRegimen[[#This Row],[FECHA]],2)</f>
        <v>52</v>
      </c>
      <c r="C1824" s="7">
        <v>45278</v>
      </c>
      <c r="D1824" s="3" t="s">
        <v>84</v>
      </c>
      <c r="E1824" s="3"/>
      <c r="F1824" s="3"/>
    </row>
    <row r="1825" spans="1:6" hidden="1" x14ac:dyDescent="0.3">
      <c r="A1825" s="7" t="str">
        <f>BD_ControlRegimen[[#This Row],[FECHA]]&amp;BD_ControlRegimen[[#This Row],[NOMBRE]]</f>
        <v>45279COTRINA COTRINA VICTOR EDGARDO</v>
      </c>
      <c r="B1825" s="83">
        <f>WEEKNUM(BD_ControlRegimen[[#This Row],[FECHA]],2)</f>
        <v>52</v>
      </c>
      <c r="C1825" s="7">
        <v>45279</v>
      </c>
      <c r="D1825" s="3" t="s">
        <v>84</v>
      </c>
      <c r="E1825" s="3"/>
      <c r="F1825" s="3"/>
    </row>
    <row r="1826" spans="1:6" hidden="1" x14ac:dyDescent="0.3">
      <c r="A1826" s="7" t="str">
        <f>BD_ControlRegimen[[#This Row],[FECHA]]&amp;BD_ControlRegimen[[#This Row],[NOMBRE]]</f>
        <v>45280COTRINA COTRINA VICTOR EDGARDO</v>
      </c>
      <c r="B1826" s="83">
        <f>WEEKNUM(BD_ControlRegimen[[#This Row],[FECHA]],2)</f>
        <v>52</v>
      </c>
      <c r="C1826" s="7">
        <v>45280</v>
      </c>
      <c r="D1826" s="3" t="s">
        <v>84</v>
      </c>
      <c r="E1826" s="3"/>
      <c r="F1826" s="3"/>
    </row>
    <row r="1827" spans="1:6" hidden="1" x14ac:dyDescent="0.3">
      <c r="A1827" s="7" t="str">
        <f>BD_ControlRegimen[[#This Row],[FECHA]]&amp;BD_ControlRegimen[[#This Row],[NOMBRE]]</f>
        <v>45281COTRINA COTRINA VICTOR EDGARDO</v>
      </c>
      <c r="B1827" s="83">
        <f>WEEKNUM(BD_ControlRegimen[[#This Row],[FECHA]],2)</f>
        <v>52</v>
      </c>
      <c r="C1827" s="7">
        <v>45281</v>
      </c>
      <c r="D1827" s="3" t="s">
        <v>84</v>
      </c>
      <c r="E1827" s="3"/>
      <c r="F1827" s="3"/>
    </row>
    <row r="1828" spans="1:6" hidden="1" x14ac:dyDescent="0.3">
      <c r="A1828" s="7" t="str">
        <f>BD_ControlRegimen[[#This Row],[FECHA]]&amp;BD_ControlRegimen[[#This Row],[NOMBRE]]</f>
        <v>45282COTRINA COTRINA VICTOR EDGARDO</v>
      </c>
      <c r="B1828" s="83">
        <f>WEEKNUM(BD_ControlRegimen[[#This Row],[FECHA]],2)</f>
        <v>52</v>
      </c>
      <c r="C1828" s="7">
        <v>45282</v>
      </c>
      <c r="D1828" s="3" t="s">
        <v>84</v>
      </c>
      <c r="E1828" s="3"/>
      <c r="F1828" s="3"/>
    </row>
    <row r="1829" spans="1:6" hidden="1" x14ac:dyDescent="0.3">
      <c r="A1829" s="7" t="str">
        <f>BD_ControlRegimen[[#This Row],[FECHA]]&amp;BD_ControlRegimen[[#This Row],[NOMBRE]]</f>
        <v>45283COTRINA COTRINA VICTOR EDGARDO</v>
      </c>
      <c r="B1829" s="83">
        <f>WEEKNUM(BD_ControlRegimen[[#This Row],[FECHA]],2)</f>
        <v>52</v>
      </c>
      <c r="C1829" s="7">
        <v>45283</v>
      </c>
      <c r="D1829" s="3" t="s">
        <v>84</v>
      </c>
      <c r="E1829" s="3"/>
      <c r="F1829" s="3"/>
    </row>
    <row r="1830" spans="1:6" hidden="1" x14ac:dyDescent="0.3">
      <c r="A1830" s="7" t="str">
        <f>BD_ControlRegimen[[#This Row],[FECHA]]&amp;BD_ControlRegimen[[#This Row],[NOMBRE]]</f>
        <v>45284COTRINA COTRINA VICTOR EDGARDO</v>
      </c>
      <c r="B1830" s="83">
        <f>WEEKNUM(BD_ControlRegimen[[#This Row],[FECHA]],2)</f>
        <v>52</v>
      </c>
      <c r="C1830" s="7">
        <v>45284</v>
      </c>
      <c r="D1830" s="3" t="s">
        <v>84</v>
      </c>
      <c r="E1830" s="3"/>
      <c r="F1830" s="3"/>
    </row>
    <row r="1831" spans="1:6" hidden="1" x14ac:dyDescent="0.3">
      <c r="A1831" s="7" t="str">
        <f>BD_ControlRegimen[[#This Row],[FECHA]]&amp;BD_ControlRegimen[[#This Row],[NOMBRE]]</f>
        <v>45285COTRINA COTRINA VICTOR EDGARDO</v>
      </c>
      <c r="B1831" s="83">
        <f>WEEKNUM(BD_ControlRegimen[[#This Row],[FECHA]],2)</f>
        <v>53</v>
      </c>
      <c r="C1831" s="7">
        <v>45285</v>
      </c>
      <c r="D1831" s="3" t="s">
        <v>84</v>
      </c>
      <c r="E1831" s="3"/>
      <c r="F1831" s="3"/>
    </row>
    <row r="1832" spans="1:6" hidden="1" x14ac:dyDescent="0.3">
      <c r="A1832" s="7" t="str">
        <f>BD_ControlRegimen[[#This Row],[FECHA]]&amp;BD_ControlRegimen[[#This Row],[NOMBRE]]</f>
        <v>45286COTRINA COTRINA VICTOR EDGARDO</v>
      </c>
      <c r="B1832" s="83">
        <f>WEEKNUM(BD_ControlRegimen[[#This Row],[FECHA]],2)</f>
        <v>53</v>
      </c>
      <c r="C1832" s="7">
        <v>45286</v>
      </c>
      <c r="D1832" s="3" t="s">
        <v>84</v>
      </c>
      <c r="E1832" s="3"/>
      <c r="F1832" s="3"/>
    </row>
    <row r="1833" spans="1:6" hidden="1" x14ac:dyDescent="0.3">
      <c r="A1833" s="7" t="str">
        <f>BD_ControlRegimen[[#This Row],[FECHA]]&amp;BD_ControlRegimen[[#This Row],[NOMBRE]]</f>
        <v>45287COTRINA COTRINA VICTOR EDGARDO</v>
      </c>
      <c r="B1833" s="83">
        <f>WEEKNUM(BD_ControlRegimen[[#This Row],[FECHA]],2)</f>
        <v>53</v>
      </c>
      <c r="C1833" s="7">
        <v>45287</v>
      </c>
      <c r="D1833" s="3" t="s">
        <v>84</v>
      </c>
      <c r="E1833" s="3"/>
      <c r="F1833" s="3"/>
    </row>
    <row r="1834" spans="1:6" hidden="1" x14ac:dyDescent="0.3">
      <c r="A1834" s="7" t="str">
        <f>BD_ControlRegimen[[#This Row],[FECHA]]&amp;BD_ControlRegimen[[#This Row],[NOMBRE]]</f>
        <v>45288COTRINA COTRINA VICTOR EDGARDO</v>
      </c>
      <c r="B1834" s="83">
        <f>WEEKNUM(BD_ControlRegimen[[#This Row],[FECHA]],2)</f>
        <v>53</v>
      </c>
      <c r="C1834" s="7">
        <v>45288</v>
      </c>
      <c r="D1834" s="3" t="s">
        <v>84</v>
      </c>
      <c r="E1834" s="3"/>
      <c r="F1834" s="3"/>
    </row>
    <row r="1835" spans="1:6" hidden="1" x14ac:dyDescent="0.3">
      <c r="A1835" s="7" t="str">
        <f>BD_ControlRegimen[[#This Row],[FECHA]]&amp;BD_ControlRegimen[[#This Row],[NOMBRE]]</f>
        <v>45289COTRINA COTRINA VICTOR EDGARDO</v>
      </c>
      <c r="B1835" s="83">
        <f>WEEKNUM(BD_ControlRegimen[[#This Row],[FECHA]],2)</f>
        <v>53</v>
      </c>
      <c r="C1835" s="7">
        <v>45289</v>
      </c>
      <c r="D1835" s="3" t="s">
        <v>84</v>
      </c>
      <c r="E1835" s="3"/>
      <c r="F1835" s="3"/>
    </row>
    <row r="1836" spans="1:6" hidden="1" x14ac:dyDescent="0.3">
      <c r="A1836" s="7" t="str">
        <f>BD_ControlRegimen[[#This Row],[FECHA]]&amp;BD_ControlRegimen[[#This Row],[NOMBRE]]</f>
        <v>45290COTRINA COTRINA VICTOR EDGARDO</v>
      </c>
      <c r="B1836" s="83">
        <f>WEEKNUM(BD_ControlRegimen[[#This Row],[FECHA]],2)</f>
        <v>53</v>
      </c>
      <c r="C1836" s="7">
        <v>45290</v>
      </c>
      <c r="D1836" s="3" t="s">
        <v>84</v>
      </c>
      <c r="E1836" s="3"/>
      <c r="F1836" s="3"/>
    </row>
    <row r="1837" spans="1:6" hidden="1" x14ac:dyDescent="0.3">
      <c r="A1837" s="7" t="str">
        <f>BD_ControlRegimen[[#This Row],[FECHA]]&amp;BD_ControlRegimen[[#This Row],[NOMBRE]]</f>
        <v>45291COTRINA COTRINA VICTOR EDGARDO</v>
      </c>
      <c r="B1837" s="83">
        <f>WEEKNUM(BD_ControlRegimen[[#This Row],[FECHA]],2)</f>
        <v>53</v>
      </c>
      <c r="C1837" s="7">
        <v>45291</v>
      </c>
      <c r="D1837" s="3" t="s">
        <v>84</v>
      </c>
      <c r="E1837" s="3"/>
      <c r="F1837" s="3"/>
    </row>
    <row r="1838" spans="1:6" hidden="1" x14ac:dyDescent="0.3">
      <c r="A1838" s="99" t="str">
        <f>BD_ControlRegimen[[#This Row],[FECHA]]&amp;BD_ControlRegimen[[#This Row],[NOMBRE]]</f>
        <v>44927GONZALES DELGADO ANGEL MARCIAL</v>
      </c>
      <c r="B1838" s="100">
        <f>WEEKNUM(BD_ControlRegimen[[#This Row],[FECHA]],2)</f>
        <v>1</v>
      </c>
      <c r="C1838" s="99">
        <v>44927</v>
      </c>
      <c r="D1838" s="3" t="s">
        <v>72</v>
      </c>
      <c r="E1838" s="101"/>
      <c r="F1838" s="101"/>
    </row>
    <row r="1839" spans="1:6" hidden="1" x14ac:dyDescent="0.3">
      <c r="A1839" s="99" t="str">
        <f>BD_ControlRegimen[[#This Row],[FECHA]]&amp;BD_ControlRegimen[[#This Row],[NOMBRE]]</f>
        <v>44928GONZALES DELGADO ANGEL MARCIAL</v>
      </c>
      <c r="B1839" s="100">
        <f>WEEKNUM(BD_ControlRegimen[[#This Row],[FECHA]],2)</f>
        <v>2</v>
      </c>
      <c r="C1839" s="99">
        <v>44928</v>
      </c>
      <c r="D1839" s="3" t="s">
        <v>72</v>
      </c>
      <c r="E1839" s="101"/>
      <c r="F1839" s="101"/>
    </row>
    <row r="1840" spans="1:6" hidden="1" x14ac:dyDescent="0.3">
      <c r="A1840" s="99" t="str">
        <f>BD_ControlRegimen[[#This Row],[FECHA]]&amp;BD_ControlRegimen[[#This Row],[NOMBRE]]</f>
        <v>44929GONZALES DELGADO ANGEL MARCIAL</v>
      </c>
      <c r="B1840" s="100">
        <f>WEEKNUM(BD_ControlRegimen[[#This Row],[FECHA]],2)</f>
        <v>2</v>
      </c>
      <c r="C1840" s="99">
        <v>44929</v>
      </c>
      <c r="D1840" s="3" t="s">
        <v>72</v>
      </c>
      <c r="E1840" s="101"/>
      <c r="F1840" s="101"/>
    </row>
    <row r="1841" spans="1:6" hidden="1" x14ac:dyDescent="0.3">
      <c r="A1841" s="99" t="str">
        <f>BD_ControlRegimen[[#This Row],[FECHA]]&amp;BD_ControlRegimen[[#This Row],[NOMBRE]]</f>
        <v>44930GONZALES DELGADO ANGEL MARCIAL</v>
      </c>
      <c r="B1841" s="100">
        <f>WEEKNUM(BD_ControlRegimen[[#This Row],[FECHA]],2)</f>
        <v>2</v>
      </c>
      <c r="C1841" s="99">
        <v>44930</v>
      </c>
      <c r="D1841" s="3" t="s">
        <v>72</v>
      </c>
      <c r="E1841" s="101"/>
      <c r="F1841" s="101"/>
    </row>
    <row r="1842" spans="1:6" hidden="1" x14ac:dyDescent="0.3">
      <c r="A1842" s="99" t="str">
        <f>BD_ControlRegimen[[#This Row],[FECHA]]&amp;BD_ControlRegimen[[#This Row],[NOMBRE]]</f>
        <v>44931GONZALES DELGADO ANGEL MARCIAL</v>
      </c>
      <c r="B1842" s="100">
        <f>WEEKNUM(BD_ControlRegimen[[#This Row],[FECHA]],2)</f>
        <v>2</v>
      </c>
      <c r="C1842" s="99">
        <v>44931</v>
      </c>
      <c r="D1842" s="3" t="s">
        <v>72</v>
      </c>
      <c r="E1842" s="101"/>
      <c r="F1842" s="101"/>
    </row>
    <row r="1843" spans="1:6" hidden="1" x14ac:dyDescent="0.3">
      <c r="A1843" s="99" t="str">
        <f>BD_ControlRegimen[[#This Row],[FECHA]]&amp;BD_ControlRegimen[[#This Row],[NOMBRE]]</f>
        <v>44932GONZALES DELGADO ANGEL MARCIAL</v>
      </c>
      <c r="B1843" s="100">
        <f>WEEKNUM(BD_ControlRegimen[[#This Row],[FECHA]],2)</f>
        <v>2</v>
      </c>
      <c r="C1843" s="99">
        <v>44932</v>
      </c>
      <c r="D1843" s="3" t="s">
        <v>72</v>
      </c>
      <c r="E1843" s="101"/>
      <c r="F1843" s="101"/>
    </row>
    <row r="1844" spans="1:6" hidden="1" x14ac:dyDescent="0.3">
      <c r="A1844" s="99" t="str">
        <f>BD_ControlRegimen[[#This Row],[FECHA]]&amp;BD_ControlRegimen[[#This Row],[NOMBRE]]</f>
        <v>44933GONZALES DELGADO ANGEL MARCIAL</v>
      </c>
      <c r="B1844" s="100">
        <f>WEEKNUM(BD_ControlRegimen[[#This Row],[FECHA]],2)</f>
        <v>2</v>
      </c>
      <c r="C1844" s="99">
        <v>44933</v>
      </c>
      <c r="D1844" s="3" t="s">
        <v>72</v>
      </c>
      <c r="E1844" s="101"/>
      <c r="F1844" s="101"/>
    </row>
    <row r="1845" spans="1:6" hidden="1" x14ac:dyDescent="0.3">
      <c r="A1845" s="99" t="str">
        <f>BD_ControlRegimen[[#This Row],[FECHA]]&amp;BD_ControlRegimen[[#This Row],[NOMBRE]]</f>
        <v>44934GONZALES DELGADO ANGEL MARCIAL</v>
      </c>
      <c r="B1845" s="100">
        <f>WEEKNUM(BD_ControlRegimen[[#This Row],[FECHA]],2)</f>
        <v>2</v>
      </c>
      <c r="C1845" s="99">
        <v>44934</v>
      </c>
      <c r="D1845" s="3" t="s">
        <v>72</v>
      </c>
      <c r="E1845" s="101"/>
      <c r="F1845" s="101"/>
    </row>
    <row r="1846" spans="1:6" hidden="1" x14ac:dyDescent="0.3">
      <c r="A1846" s="99" t="str">
        <f>BD_ControlRegimen[[#This Row],[FECHA]]&amp;BD_ControlRegimen[[#This Row],[NOMBRE]]</f>
        <v>44935GONZALES DELGADO ANGEL MARCIAL</v>
      </c>
      <c r="B1846" s="100">
        <f>WEEKNUM(BD_ControlRegimen[[#This Row],[FECHA]],2)</f>
        <v>3</v>
      </c>
      <c r="C1846" s="99">
        <v>44935</v>
      </c>
      <c r="D1846" s="3" t="s">
        <v>72</v>
      </c>
      <c r="E1846" s="101"/>
      <c r="F1846" s="101"/>
    </row>
    <row r="1847" spans="1:6" hidden="1" x14ac:dyDescent="0.3">
      <c r="A1847" s="99" t="str">
        <f>BD_ControlRegimen[[#This Row],[FECHA]]&amp;BD_ControlRegimen[[#This Row],[NOMBRE]]</f>
        <v>44936GONZALES DELGADO ANGEL MARCIAL</v>
      </c>
      <c r="B1847" s="100">
        <f>WEEKNUM(BD_ControlRegimen[[#This Row],[FECHA]],2)</f>
        <v>3</v>
      </c>
      <c r="C1847" s="99">
        <v>44936</v>
      </c>
      <c r="D1847" s="3" t="s">
        <v>72</v>
      </c>
      <c r="E1847" s="101"/>
      <c r="F1847" s="101"/>
    </row>
    <row r="1848" spans="1:6" hidden="1" x14ac:dyDescent="0.3">
      <c r="A1848" s="99" t="str">
        <f>BD_ControlRegimen[[#This Row],[FECHA]]&amp;BD_ControlRegimen[[#This Row],[NOMBRE]]</f>
        <v>44937GONZALES DELGADO ANGEL MARCIAL</v>
      </c>
      <c r="B1848" s="100">
        <f>WEEKNUM(BD_ControlRegimen[[#This Row],[FECHA]],2)</f>
        <v>3</v>
      </c>
      <c r="C1848" s="99">
        <v>44937</v>
      </c>
      <c r="D1848" s="3" t="s">
        <v>72</v>
      </c>
      <c r="E1848" s="101"/>
      <c r="F1848" s="101"/>
    </row>
    <row r="1849" spans="1:6" hidden="1" x14ac:dyDescent="0.3">
      <c r="A1849" s="99" t="str">
        <f>BD_ControlRegimen[[#This Row],[FECHA]]&amp;BD_ControlRegimen[[#This Row],[NOMBRE]]</f>
        <v>44938GONZALES DELGADO ANGEL MARCIAL</v>
      </c>
      <c r="B1849" s="100">
        <f>WEEKNUM(BD_ControlRegimen[[#This Row],[FECHA]],2)</f>
        <v>3</v>
      </c>
      <c r="C1849" s="99">
        <v>44938</v>
      </c>
      <c r="D1849" s="3" t="s">
        <v>72</v>
      </c>
      <c r="E1849" s="101"/>
      <c r="F1849" s="101"/>
    </row>
    <row r="1850" spans="1:6" hidden="1" x14ac:dyDescent="0.3">
      <c r="A1850" s="99" t="str">
        <f>BD_ControlRegimen[[#This Row],[FECHA]]&amp;BD_ControlRegimen[[#This Row],[NOMBRE]]</f>
        <v>44939GONZALES DELGADO ANGEL MARCIAL</v>
      </c>
      <c r="B1850" s="100">
        <f>WEEKNUM(BD_ControlRegimen[[#This Row],[FECHA]],2)</f>
        <v>3</v>
      </c>
      <c r="C1850" s="99">
        <v>44939</v>
      </c>
      <c r="D1850" s="3" t="s">
        <v>72</v>
      </c>
      <c r="E1850" s="101"/>
      <c r="F1850" s="101"/>
    </row>
    <row r="1851" spans="1:6" hidden="1" x14ac:dyDescent="0.3">
      <c r="A1851" s="99" t="str">
        <f>BD_ControlRegimen[[#This Row],[FECHA]]&amp;BD_ControlRegimen[[#This Row],[NOMBRE]]</f>
        <v>44940GONZALES DELGADO ANGEL MARCIAL</v>
      </c>
      <c r="B1851" s="100">
        <f>WEEKNUM(BD_ControlRegimen[[#This Row],[FECHA]],2)</f>
        <v>3</v>
      </c>
      <c r="C1851" s="99">
        <v>44940</v>
      </c>
      <c r="D1851" s="3" t="s">
        <v>72</v>
      </c>
      <c r="E1851" s="101"/>
      <c r="F1851" s="101"/>
    </row>
    <row r="1852" spans="1:6" hidden="1" x14ac:dyDescent="0.3">
      <c r="A1852" s="99" t="str">
        <f>BD_ControlRegimen[[#This Row],[FECHA]]&amp;BD_ControlRegimen[[#This Row],[NOMBRE]]</f>
        <v>44941GONZALES DELGADO ANGEL MARCIAL</v>
      </c>
      <c r="B1852" s="100">
        <f>WEEKNUM(BD_ControlRegimen[[#This Row],[FECHA]],2)</f>
        <v>3</v>
      </c>
      <c r="C1852" s="99">
        <v>44941</v>
      </c>
      <c r="D1852" s="3" t="s">
        <v>72</v>
      </c>
      <c r="E1852" s="101"/>
      <c r="F1852" s="101"/>
    </row>
    <row r="1853" spans="1:6" hidden="1" x14ac:dyDescent="0.3">
      <c r="A1853" s="99" t="str">
        <f>BD_ControlRegimen[[#This Row],[FECHA]]&amp;BD_ControlRegimen[[#This Row],[NOMBRE]]</f>
        <v>44942GONZALES DELGADO ANGEL MARCIAL</v>
      </c>
      <c r="B1853" s="100">
        <f>WEEKNUM(BD_ControlRegimen[[#This Row],[FECHA]],2)</f>
        <v>4</v>
      </c>
      <c r="C1853" s="99">
        <v>44942</v>
      </c>
      <c r="D1853" s="3" t="s">
        <v>72</v>
      </c>
      <c r="E1853" s="101"/>
      <c r="F1853" s="101"/>
    </row>
    <row r="1854" spans="1:6" hidden="1" x14ac:dyDescent="0.3">
      <c r="A1854" s="99" t="str">
        <f>BD_ControlRegimen[[#This Row],[FECHA]]&amp;BD_ControlRegimen[[#This Row],[NOMBRE]]</f>
        <v>44943GONZALES DELGADO ANGEL MARCIAL</v>
      </c>
      <c r="B1854" s="100">
        <f>WEEKNUM(BD_ControlRegimen[[#This Row],[FECHA]],2)</f>
        <v>4</v>
      </c>
      <c r="C1854" s="99">
        <v>44943</v>
      </c>
      <c r="D1854" s="3" t="s">
        <v>72</v>
      </c>
      <c r="E1854" s="101"/>
      <c r="F1854" s="101"/>
    </row>
    <row r="1855" spans="1:6" hidden="1" x14ac:dyDescent="0.3">
      <c r="A1855" s="99" t="str">
        <f>BD_ControlRegimen[[#This Row],[FECHA]]&amp;BD_ControlRegimen[[#This Row],[NOMBRE]]</f>
        <v>44944GONZALES DELGADO ANGEL MARCIAL</v>
      </c>
      <c r="B1855" s="100">
        <f>WEEKNUM(BD_ControlRegimen[[#This Row],[FECHA]],2)</f>
        <v>4</v>
      </c>
      <c r="C1855" s="99">
        <v>44944</v>
      </c>
      <c r="D1855" s="3" t="s">
        <v>72</v>
      </c>
      <c r="E1855" s="101"/>
      <c r="F1855" s="101"/>
    </row>
    <row r="1856" spans="1:6" hidden="1" x14ac:dyDescent="0.3">
      <c r="A1856" s="99" t="str">
        <f>BD_ControlRegimen[[#This Row],[FECHA]]&amp;BD_ControlRegimen[[#This Row],[NOMBRE]]</f>
        <v>44945GONZALES DELGADO ANGEL MARCIAL</v>
      </c>
      <c r="B1856" s="100">
        <f>WEEKNUM(BD_ControlRegimen[[#This Row],[FECHA]],2)</f>
        <v>4</v>
      </c>
      <c r="C1856" s="99">
        <v>44945</v>
      </c>
      <c r="D1856" s="3" t="s">
        <v>72</v>
      </c>
      <c r="E1856" s="101"/>
      <c r="F1856" s="101"/>
    </row>
    <row r="1857" spans="1:6" hidden="1" x14ac:dyDescent="0.3">
      <c r="A1857" s="99" t="str">
        <f>BD_ControlRegimen[[#This Row],[FECHA]]&amp;BD_ControlRegimen[[#This Row],[NOMBRE]]</f>
        <v>44946GONZALES DELGADO ANGEL MARCIAL</v>
      </c>
      <c r="B1857" s="100">
        <f>WEEKNUM(BD_ControlRegimen[[#This Row],[FECHA]],2)</f>
        <v>4</v>
      </c>
      <c r="C1857" s="99">
        <v>44946</v>
      </c>
      <c r="D1857" s="3" t="s">
        <v>72</v>
      </c>
      <c r="E1857" s="101"/>
      <c r="F1857" s="101"/>
    </row>
    <row r="1858" spans="1:6" hidden="1" x14ac:dyDescent="0.3">
      <c r="A1858" s="99" t="str">
        <f>BD_ControlRegimen[[#This Row],[FECHA]]&amp;BD_ControlRegimen[[#This Row],[NOMBRE]]</f>
        <v>44947GONZALES DELGADO ANGEL MARCIAL</v>
      </c>
      <c r="B1858" s="100">
        <f>WEEKNUM(BD_ControlRegimen[[#This Row],[FECHA]],2)</f>
        <v>4</v>
      </c>
      <c r="C1858" s="99">
        <v>44947</v>
      </c>
      <c r="D1858" s="3" t="s">
        <v>72</v>
      </c>
      <c r="E1858" s="101"/>
      <c r="F1858" s="101"/>
    </row>
    <row r="1859" spans="1:6" hidden="1" x14ac:dyDescent="0.3">
      <c r="A1859" s="99" t="str">
        <f>BD_ControlRegimen[[#This Row],[FECHA]]&amp;BD_ControlRegimen[[#This Row],[NOMBRE]]</f>
        <v>44948GONZALES DELGADO ANGEL MARCIAL</v>
      </c>
      <c r="B1859" s="100">
        <f>WEEKNUM(BD_ControlRegimen[[#This Row],[FECHA]],2)</f>
        <v>4</v>
      </c>
      <c r="C1859" s="99">
        <v>44948</v>
      </c>
      <c r="D1859" s="3" t="s">
        <v>72</v>
      </c>
      <c r="E1859" s="101"/>
      <c r="F1859" s="101"/>
    </row>
    <row r="1860" spans="1:6" hidden="1" x14ac:dyDescent="0.3">
      <c r="A1860" s="99" t="str">
        <f>BD_ControlRegimen[[#This Row],[FECHA]]&amp;BD_ControlRegimen[[#This Row],[NOMBRE]]</f>
        <v>44949GONZALES DELGADO ANGEL MARCIAL</v>
      </c>
      <c r="B1860" s="100">
        <f>WEEKNUM(BD_ControlRegimen[[#This Row],[FECHA]],2)</f>
        <v>5</v>
      </c>
      <c r="C1860" s="99">
        <v>44949</v>
      </c>
      <c r="D1860" s="3" t="s">
        <v>72</v>
      </c>
      <c r="E1860" s="101"/>
      <c r="F1860" s="101"/>
    </row>
    <row r="1861" spans="1:6" hidden="1" x14ac:dyDescent="0.3">
      <c r="A1861" s="99" t="str">
        <f>BD_ControlRegimen[[#This Row],[FECHA]]&amp;BD_ControlRegimen[[#This Row],[NOMBRE]]</f>
        <v>44950GONZALES DELGADO ANGEL MARCIAL</v>
      </c>
      <c r="B1861" s="100">
        <f>WEEKNUM(BD_ControlRegimen[[#This Row],[FECHA]],2)</f>
        <v>5</v>
      </c>
      <c r="C1861" s="99">
        <v>44950</v>
      </c>
      <c r="D1861" s="3" t="s">
        <v>72</v>
      </c>
      <c r="E1861" s="101"/>
      <c r="F1861" s="101"/>
    </row>
    <row r="1862" spans="1:6" hidden="1" x14ac:dyDescent="0.3">
      <c r="A1862" s="99" t="str">
        <f>BD_ControlRegimen[[#This Row],[FECHA]]&amp;BD_ControlRegimen[[#This Row],[NOMBRE]]</f>
        <v>44951GONZALES DELGADO ANGEL MARCIAL</v>
      </c>
      <c r="B1862" s="100">
        <f>WEEKNUM(BD_ControlRegimen[[#This Row],[FECHA]],2)</f>
        <v>5</v>
      </c>
      <c r="C1862" s="99">
        <v>44951</v>
      </c>
      <c r="D1862" s="3" t="s">
        <v>72</v>
      </c>
      <c r="E1862" s="101"/>
      <c r="F1862" s="101"/>
    </row>
    <row r="1863" spans="1:6" hidden="1" x14ac:dyDescent="0.3">
      <c r="A1863" s="99" t="str">
        <f>BD_ControlRegimen[[#This Row],[FECHA]]&amp;BD_ControlRegimen[[#This Row],[NOMBRE]]</f>
        <v>44952GONZALES DELGADO ANGEL MARCIAL</v>
      </c>
      <c r="B1863" s="100">
        <f>WEEKNUM(BD_ControlRegimen[[#This Row],[FECHA]],2)</f>
        <v>5</v>
      </c>
      <c r="C1863" s="99">
        <v>44952</v>
      </c>
      <c r="D1863" s="3" t="s">
        <v>72</v>
      </c>
      <c r="E1863" s="101"/>
      <c r="F1863" s="101"/>
    </row>
    <row r="1864" spans="1:6" hidden="1" x14ac:dyDescent="0.3">
      <c r="A1864" s="99" t="str">
        <f>BD_ControlRegimen[[#This Row],[FECHA]]&amp;BD_ControlRegimen[[#This Row],[NOMBRE]]</f>
        <v>44953GONZALES DELGADO ANGEL MARCIAL</v>
      </c>
      <c r="B1864" s="100">
        <f>WEEKNUM(BD_ControlRegimen[[#This Row],[FECHA]],2)</f>
        <v>5</v>
      </c>
      <c r="C1864" s="99">
        <v>44953</v>
      </c>
      <c r="D1864" s="3" t="s">
        <v>72</v>
      </c>
      <c r="E1864" s="101"/>
      <c r="F1864" s="101"/>
    </row>
    <row r="1865" spans="1:6" hidden="1" x14ac:dyDescent="0.3">
      <c r="A1865" s="99" t="str">
        <f>BD_ControlRegimen[[#This Row],[FECHA]]&amp;BD_ControlRegimen[[#This Row],[NOMBRE]]</f>
        <v>44954GONZALES DELGADO ANGEL MARCIAL</v>
      </c>
      <c r="B1865" s="100">
        <f>WEEKNUM(BD_ControlRegimen[[#This Row],[FECHA]],2)</f>
        <v>5</v>
      </c>
      <c r="C1865" s="99">
        <v>44954</v>
      </c>
      <c r="D1865" s="3" t="s">
        <v>72</v>
      </c>
      <c r="E1865" s="101"/>
      <c r="F1865" s="101"/>
    </row>
    <row r="1866" spans="1:6" hidden="1" x14ac:dyDescent="0.3">
      <c r="A1866" s="99" t="str">
        <f>BD_ControlRegimen[[#This Row],[FECHA]]&amp;BD_ControlRegimen[[#This Row],[NOMBRE]]</f>
        <v>44955GONZALES DELGADO ANGEL MARCIAL</v>
      </c>
      <c r="B1866" s="100">
        <f>WEEKNUM(BD_ControlRegimen[[#This Row],[FECHA]],2)</f>
        <v>5</v>
      </c>
      <c r="C1866" s="99">
        <v>44955</v>
      </c>
      <c r="D1866" s="3" t="s">
        <v>72</v>
      </c>
      <c r="E1866" s="101"/>
      <c r="F1866" s="101"/>
    </row>
    <row r="1867" spans="1:6" hidden="1" x14ac:dyDescent="0.3">
      <c r="A1867" s="99" t="str">
        <f>BD_ControlRegimen[[#This Row],[FECHA]]&amp;BD_ControlRegimen[[#This Row],[NOMBRE]]</f>
        <v>44956GONZALES DELGADO ANGEL MARCIAL</v>
      </c>
      <c r="B1867" s="100">
        <f>WEEKNUM(BD_ControlRegimen[[#This Row],[FECHA]],2)</f>
        <v>6</v>
      </c>
      <c r="C1867" s="99">
        <v>44956</v>
      </c>
      <c r="D1867" s="3" t="s">
        <v>72</v>
      </c>
      <c r="E1867" s="101"/>
      <c r="F1867" s="101"/>
    </row>
    <row r="1868" spans="1:6" hidden="1" x14ac:dyDescent="0.3">
      <c r="A1868" s="99" t="str">
        <f>BD_ControlRegimen[[#This Row],[FECHA]]&amp;BD_ControlRegimen[[#This Row],[NOMBRE]]</f>
        <v>44957GONZALES DELGADO ANGEL MARCIAL</v>
      </c>
      <c r="B1868" s="100">
        <f>WEEKNUM(BD_ControlRegimen[[#This Row],[FECHA]],2)</f>
        <v>6</v>
      </c>
      <c r="C1868" s="99">
        <v>44957</v>
      </c>
      <c r="D1868" s="3" t="s">
        <v>72</v>
      </c>
      <c r="E1868" s="101"/>
      <c r="F1868" s="101"/>
    </row>
    <row r="1869" spans="1:6" hidden="1" x14ac:dyDescent="0.3">
      <c r="A1869" s="99" t="str">
        <f>BD_ControlRegimen[[#This Row],[FECHA]]&amp;BD_ControlRegimen[[#This Row],[NOMBRE]]</f>
        <v>44958GONZALES DELGADO ANGEL MARCIAL</v>
      </c>
      <c r="B1869" s="100">
        <f>WEEKNUM(BD_ControlRegimen[[#This Row],[FECHA]],2)</f>
        <v>6</v>
      </c>
      <c r="C1869" s="99">
        <v>44958</v>
      </c>
      <c r="D1869" s="3" t="s">
        <v>72</v>
      </c>
      <c r="E1869" s="101"/>
      <c r="F1869" s="101"/>
    </row>
    <row r="1870" spans="1:6" hidden="1" x14ac:dyDescent="0.3">
      <c r="A1870" s="99" t="str">
        <f>BD_ControlRegimen[[#This Row],[FECHA]]&amp;BD_ControlRegimen[[#This Row],[NOMBRE]]</f>
        <v>44959GONZALES DELGADO ANGEL MARCIAL</v>
      </c>
      <c r="B1870" s="100">
        <f>WEEKNUM(BD_ControlRegimen[[#This Row],[FECHA]],2)</f>
        <v>6</v>
      </c>
      <c r="C1870" s="99">
        <v>44959</v>
      </c>
      <c r="D1870" s="3" t="s">
        <v>72</v>
      </c>
      <c r="E1870" s="101"/>
      <c r="F1870" s="101"/>
    </row>
    <row r="1871" spans="1:6" hidden="1" x14ac:dyDescent="0.3">
      <c r="A1871" s="99" t="str">
        <f>BD_ControlRegimen[[#This Row],[FECHA]]&amp;BD_ControlRegimen[[#This Row],[NOMBRE]]</f>
        <v>44960GONZALES DELGADO ANGEL MARCIAL</v>
      </c>
      <c r="B1871" s="100">
        <f>WEEKNUM(BD_ControlRegimen[[#This Row],[FECHA]],2)</f>
        <v>6</v>
      </c>
      <c r="C1871" s="99">
        <v>44960</v>
      </c>
      <c r="D1871" s="3" t="s">
        <v>72</v>
      </c>
      <c r="E1871" s="101"/>
      <c r="F1871" s="101"/>
    </row>
    <row r="1872" spans="1:6" hidden="1" x14ac:dyDescent="0.3">
      <c r="A1872" s="99" t="str">
        <f>BD_ControlRegimen[[#This Row],[FECHA]]&amp;BD_ControlRegimen[[#This Row],[NOMBRE]]</f>
        <v>44961GONZALES DELGADO ANGEL MARCIAL</v>
      </c>
      <c r="B1872" s="100">
        <f>WEEKNUM(BD_ControlRegimen[[#This Row],[FECHA]],2)</f>
        <v>6</v>
      </c>
      <c r="C1872" s="99">
        <v>44961</v>
      </c>
      <c r="D1872" s="3" t="s">
        <v>72</v>
      </c>
      <c r="E1872" s="101"/>
      <c r="F1872" s="101"/>
    </row>
    <row r="1873" spans="1:6" hidden="1" x14ac:dyDescent="0.3">
      <c r="A1873" s="99" t="str">
        <f>BD_ControlRegimen[[#This Row],[FECHA]]&amp;BD_ControlRegimen[[#This Row],[NOMBRE]]</f>
        <v>44962GONZALES DELGADO ANGEL MARCIAL</v>
      </c>
      <c r="B1873" s="100">
        <f>WEEKNUM(BD_ControlRegimen[[#This Row],[FECHA]],2)</f>
        <v>6</v>
      </c>
      <c r="C1873" s="99">
        <v>44962</v>
      </c>
      <c r="D1873" s="3" t="s">
        <v>72</v>
      </c>
      <c r="E1873" s="101"/>
      <c r="F1873" s="101"/>
    </row>
    <row r="1874" spans="1:6" hidden="1" x14ac:dyDescent="0.3">
      <c r="A1874" s="99" t="str">
        <f>BD_ControlRegimen[[#This Row],[FECHA]]&amp;BD_ControlRegimen[[#This Row],[NOMBRE]]</f>
        <v>44963GONZALES DELGADO ANGEL MARCIAL</v>
      </c>
      <c r="B1874" s="100">
        <f>WEEKNUM(BD_ControlRegimen[[#This Row],[FECHA]],2)</f>
        <v>7</v>
      </c>
      <c r="C1874" s="99">
        <v>44963</v>
      </c>
      <c r="D1874" s="3" t="s">
        <v>72</v>
      </c>
      <c r="E1874" s="101"/>
      <c r="F1874" s="101"/>
    </row>
    <row r="1875" spans="1:6" hidden="1" x14ac:dyDescent="0.3">
      <c r="A1875" s="99" t="str">
        <f>BD_ControlRegimen[[#This Row],[FECHA]]&amp;BD_ControlRegimen[[#This Row],[NOMBRE]]</f>
        <v>44964GONZALES DELGADO ANGEL MARCIAL</v>
      </c>
      <c r="B1875" s="100">
        <f>WEEKNUM(BD_ControlRegimen[[#This Row],[FECHA]],2)</f>
        <v>7</v>
      </c>
      <c r="C1875" s="99">
        <v>44964</v>
      </c>
      <c r="D1875" s="3" t="s">
        <v>72</v>
      </c>
      <c r="E1875" s="101"/>
      <c r="F1875" s="101"/>
    </row>
    <row r="1876" spans="1:6" hidden="1" x14ac:dyDescent="0.3">
      <c r="A1876" s="99" t="str">
        <f>BD_ControlRegimen[[#This Row],[FECHA]]&amp;BD_ControlRegimen[[#This Row],[NOMBRE]]</f>
        <v>44965GONZALES DELGADO ANGEL MARCIAL</v>
      </c>
      <c r="B1876" s="100">
        <f>WEEKNUM(BD_ControlRegimen[[#This Row],[FECHA]],2)</f>
        <v>7</v>
      </c>
      <c r="C1876" s="99">
        <v>44965</v>
      </c>
      <c r="D1876" s="3" t="s">
        <v>72</v>
      </c>
      <c r="E1876" s="101"/>
      <c r="F1876" s="101"/>
    </row>
    <row r="1877" spans="1:6" hidden="1" x14ac:dyDescent="0.3">
      <c r="A1877" s="99" t="str">
        <f>BD_ControlRegimen[[#This Row],[FECHA]]&amp;BD_ControlRegimen[[#This Row],[NOMBRE]]</f>
        <v>44966GONZALES DELGADO ANGEL MARCIAL</v>
      </c>
      <c r="B1877" s="100">
        <f>WEEKNUM(BD_ControlRegimen[[#This Row],[FECHA]],2)</f>
        <v>7</v>
      </c>
      <c r="C1877" s="99">
        <v>44966</v>
      </c>
      <c r="D1877" s="3" t="s">
        <v>72</v>
      </c>
      <c r="E1877" s="101"/>
      <c r="F1877" s="101"/>
    </row>
    <row r="1878" spans="1:6" hidden="1" x14ac:dyDescent="0.3">
      <c r="A1878" s="99" t="str">
        <f>BD_ControlRegimen[[#This Row],[FECHA]]&amp;BD_ControlRegimen[[#This Row],[NOMBRE]]</f>
        <v>44967GONZALES DELGADO ANGEL MARCIAL</v>
      </c>
      <c r="B1878" s="100">
        <f>WEEKNUM(BD_ControlRegimen[[#This Row],[FECHA]],2)</f>
        <v>7</v>
      </c>
      <c r="C1878" s="99">
        <v>44967</v>
      </c>
      <c r="D1878" s="3" t="s">
        <v>72</v>
      </c>
      <c r="E1878" s="101"/>
      <c r="F1878" s="101"/>
    </row>
    <row r="1879" spans="1:6" hidden="1" x14ac:dyDescent="0.3">
      <c r="A1879" s="99" t="str">
        <f>BD_ControlRegimen[[#This Row],[FECHA]]&amp;BD_ControlRegimen[[#This Row],[NOMBRE]]</f>
        <v>44968GONZALES DELGADO ANGEL MARCIAL</v>
      </c>
      <c r="B1879" s="100">
        <f>WEEKNUM(BD_ControlRegimen[[#This Row],[FECHA]],2)</f>
        <v>7</v>
      </c>
      <c r="C1879" s="99">
        <v>44968</v>
      </c>
      <c r="D1879" s="3" t="s">
        <v>72</v>
      </c>
      <c r="E1879" s="101"/>
      <c r="F1879" s="101"/>
    </row>
    <row r="1880" spans="1:6" hidden="1" x14ac:dyDescent="0.3">
      <c r="A1880" s="99" t="str">
        <f>BD_ControlRegimen[[#This Row],[FECHA]]&amp;BD_ControlRegimen[[#This Row],[NOMBRE]]</f>
        <v>44969GONZALES DELGADO ANGEL MARCIAL</v>
      </c>
      <c r="B1880" s="100">
        <f>WEEKNUM(BD_ControlRegimen[[#This Row],[FECHA]],2)</f>
        <v>7</v>
      </c>
      <c r="C1880" s="99">
        <v>44969</v>
      </c>
      <c r="D1880" s="3" t="s">
        <v>72</v>
      </c>
      <c r="E1880" s="101"/>
      <c r="F1880" s="101"/>
    </row>
    <row r="1881" spans="1:6" hidden="1" x14ac:dyDescent="0.3">
      <c r="A1881" s="99" t="str">
        <f>BD_ControlRegimen[[#This Row],[FECHA]]&amp;BD_ControlRegimen[[#This Row],[NOMBRE]]</f>
        <v>44970GONZALES DELGADO ANGEL MARCIAL</v>
      </c>
      <c r="B1881" s="100">
        <f>WEEKNUM(BD_ControlRegimen[[#This Row],[FECHA]],2)</f>
        <v>8</v>
      </c>
      <c r="C1881" s="99">
        <v>44970</v>
      </c>
      <c r="D1881" s="3" t="s">
        <v>72</v>
      </c>
      <c r="E1881" s="101"/>
      <c r="F1881" s="101"/>
    </row>
    <row r="1882" spans="1:6" hidden="1" x14ac:dyDescent="0.3">
      <c r="A1882" s="99" t="str">
        <f>BD_ControlRegimen[[#This Row],[FECHA]]&amp;BD_ControlRegimen[[#This Row],[NOMBRE]]</f>
        <v>44971GONZALES DELGADO ANGEL MARCIAL</v>
      </c>
      <c r="B1882" s="100">
        <f>WEEKNUM(BD_ControlRegimen[[#This Row],[FECHA]],2)</f>
        <v>8</v>
      </c>
      <c r="C1882" s="99">
        <v>44971</v>
      </c>
      <c r="D1882" s="3" t="s">
        <v>72</v>
      </c>
      <c r="E1882" s="101"/>
      <c r="F1882" s="101"/>
    </row>
    <row r="1883" spans="1:6" hidden="1" x14ac:dyDescent="0.3">
      <c r="A1883" s="99" t="str">
        <f>BD_ControlRegimen[[#This Row],[FECHA]]&amp;BD_ControlRegimen[[#This Row],[NOMBRE]]</f>
        <v>44972GONZALES DELGADO ANGEL MARCIAL</v>
      </c>
      <c r="B1883" s="100">
        <f>WEEKNUM(BD_ControlRegimen[[#This Row],[FECHA]],2)</f>
        <v>8</v>
      </c>
      <c r="C1883" s="99">
        <v>44972</v>
      </c>
      <c r="D1883" s="3" t="s">
        <v>72</v>
      </c>
      <c r="E1883" s="101"/>
      <c r="F1883" s="101"/>
    </row>
    <row r="1884" spans="1:6" hidden="1" x14ac:dyDescent="0.3">
      <c r="A1884" s="99" t="str">
        <f>BD_ControlRegimen[[#This Row],[FECHA]]&amp;BD_ControlRegimen[[#This Row],[NOMBRE]]</f>
        <v>44973GONZALES DELGADO ANGEL MARCIAL</v>
      </c>
      <c r="B1884" s="100">
        <f>WEEKNUM(BD_ControlRegimen[[#This Row],[FECHA]],2)</f>
        <v>8</v>
      </c>
      <c r="C1884" s="99">
        <v>44973</v>
      </c>
      <c r="D1884" s="3" t="s">
        <v>72</v>
      </c>
      <c r="E1884" s="101"/>
      <c r="F1884" s="101"/>
    </row>
    <row r="1885" spans="1:6" hidden="1" x14ac:dyDescent="0.3">
      <c r="A1885" s="99" t="str">
        <f>BD_ControlRegimen[[#This Row],[FECHA]]&amp;BD_ControlRegimen[[#This Row],[NOMBRE]]</f>
        <v>44974GONZALES DELGADO ANGEL MARCIAL</v>
      </c>
      <c r="B1885" s="100">
        <f>WEEKNUM(BD_ControlRegimen[[#This Row],[FECHA]],2)</f>
        <v>8</v>
      </c>
      <c r="C1885" s="99">
        <v>44974</v>
      </c>
      <c r="D1885" s="3" t="s">
        <v>72</v>
      </c>
      <c r="E1885" s="101"/>
      <c r="F1885" s="101"/>
    </row>
    <row r="1886" spans="1:6" hidden="1" x14ac:dyDescent="0.3">
      <c r="A1886" s="99" t="str">
        <f>BD_ControlRegimen[[#This Row],[FECHA]]&amp;BD_ControlRegimen[[#This Row],[NOMBRE]]</f>
        <v>44975GONZALES DELGADO ANGEL MARCIAL</v>
      </c>
      <c r="B1886" s="100">
        <f>WEEKNUM(BD_ControlRegimen[[#This Row],[FECHA]],2)</f>
        <v>8</v>
      </c>
      <c r="C1886" s="99">
        <v>44975</v>
      </c>
      <c r="D1886" s="3" t="s">
        <v>72</v>
      </c>
      <c r="E1886" s="101"/>
      <c r="F1886" s="101"/>
    </row>
    <row r="1887" spans="1:6" hidden="1" x14ac:dyDescent="0.3">
      <c r="A1887" s="99" t="str">
        <f>BD_ControlRegimen[[#This Row],[FECHA]]&amp;BD_ControlRegimen[[#This Row],[NOMBRE]]</f>
        <v>44976GONZALES DELGADO ANGEL MARCIAL</v>
      </c>
      <c r="B1887" s="100">
        <f>WEEKNUM(BD_ControlRegimen[[#This Row],[FECHA]],2)</f>
        <v>8</v>
      </c>
      <c r="C1887" s="99">
        <v>44976</v>
      </c>
      <c r="D1887" s="3" t="s">
        <v>72</v>
      </c>
      <c r="E1887" s="101"/>
      <c r="F1887" s="101"/>
    </row>
    <row r="1888" spans="1:6" x14ac:dyDescent="0.3">
      <c r="A1888" s="99" t="str">
        <f>BD_ControlRegimen[[#This Row],[FECHA]]&amp;BD_ControlRegimen[[#This Row],[NOMBRE]]</f>
        <v>44977GONZALES DELGADO ANGEL MARCIAL</v>
      </c>
      <c r="B1888" s="100">
        <f>WEEKNUM(BD_ControlRegimen[[#This Row],[FECHA]],2)</f>
        <v>9</v>
      </c>
      <c r="C1888" s="99">
        <v>44977</v>
      </c>
      <c r="D1888" s="3" t="s">
        <v>72</v>
      </c>
      <c r="E1888" s="101" t="s">
        <v>155</v>
      </c>
      <c r="F1888" s="101"/>
    </row>
    <row r="1889" spans="1:6" x14ac:dyDescent="0.3">
      <c r="A1889" s="99" t="str">
        <f>BD_ControlRegimen[[#This Row],[FECHA]]&amp;BD_ControlRegimen[[#This Row],[NOMBRE]]</f>
        <v>44978GONZALES DELGADO ANGEL MARCIAL</v>
      </c>
      <c r="B1889" s="100">
        <f>WEEKNUM(BD_ControlRegimen[[#This Row],[FECHA]],2)</f>
        <v>9</v>
      </c>
      <c r="C1889" s="99">
        <v>44978</v>
      </c>
      <c r="D1889" s="3" t="s">
        <v>72</v>
      </c>
      <c r="E1889" s="101" t="s">
        <v>155</v>
      </c>
      <c r="F1889" s="101"/>
    </row>
    <row r="1890" spans="1:6" x14ac:dyDescent="0.3">
      <c r="A1890" s="99" t="str">
        <f>BD_ControlRegimen[[#This Row],[FECHA]]&amp;BD_ControlRegimen[[#This Row],[NOMBRE]]</f>
        <v>44979GONZALES DELGADO ANGEL MARCIAL</v>
      </c>
      <c r="B1890" s="100">
        <f>WEEKNUM(BD_ControlRegimen[[#This Row],[FECHA]],2)</f>
        <v>9</v>
      </c>
      <c r="C1890" s="99">
        <v>44979</v>
      </c>
      <c r="D1890" s="3" t="s">
        <v>72</v>
      </c>
      <c r="E1890" s="101" t="s">
        <v>155</v>
      </c>
      <c r="F1890" s="101"/>
    </row>
    <row r="1891" spans="1:6" x14ac:dyDescent="0.3">
      <c r="A1891" s="99" t="str">
        <f>BD_ControlRegimen[[#This Row],[FECHA]]&amp;BD_ControlRegimen[[#This Row],[NOMBRE]]</f>
        <v>44980GONZALES DELGADO ANGEL MARCIAL</v>
      </c>
      <c r="B1891" s="100">
        <f>WEEKNUM(BD_ControlRegimen[[#This Row],[FECHA]],2)</f>
        <v>9</v>
      </c>
      <c r="C1891" s="99">
        <v>44980</v>
      </c>
      <c r="D1891" s="3" t="s">
        <v>72</v>
      </c>
      <c r="E1891" s="101" t="s">
        <v>155</v>
      </c>
      <c r="F1891" s="101"/>
    </row>
    <row r="1892" spans="1:6" x14ac:dyDescent="0.3">
      <c r="A1892" s="99" t="str">
        <f>BD_ControlRegimen[[#This Row],[FECHA]]&amp;BD_ControlRegimen[[#This Row],[NOMBRE]]</f>
        <v>44981GONZALES DELGADO ANGEL MARCIAL</v>
      </c>
      <c r="B1892" s="100">
        <f>WEEKNUM(BD_ControlRegimen[[#This Row],[FECHA]],2)</f>
        <v>9</v>
      </c>
      <c r="C1892" s="99">
        <v>44981</v>
      </c>
      <c r="D1892" s="3" t="s">
        <v>72</v>
      </c>
      <c r="E1892" s="101" t="s">
        <v>155</v>
      </c>
      <c r="F1892" s="101"/>
    </row>
    <row r="1893" spans="1:6" x14ac:dyDescent="0.3">
      <c r="A1893" s="99" t="str">
        <f>BD_ControlRegimen[[#This Row],[FECHA]]&amp;BD_ControlRegimen[[#This Row],[NOMBRE]]</f>
        <v>44982GONZALES DELGADO ANGEL MARCIAL</v>
      </c>
      <c r="B1893" s="100">
        <f>WEEKNUM(BD_ControlRegimen[[#This Row],[FECHA]],2)</f>
        <v>9</v>
      </c>
      <c r="C1893" s="99">
        <v>44982</v>
      </c>
      <c r="D1893" s="3" t="s">
        <v>72</v>
      </c>
      <c r="E1893" s="101" t="s">
        <v>155</v>
      </c>
      <c r="F1893" s="101"/>
    </row>
    <row r="1894" spans="1:6" x14ac:dyDescent="0.3">
      <c r="A1894" s="99" t="str">
        <f>BD_ControlRegimen[[#This Row],[FECHA]]&amp;BD_ControlRegimen[[#This Row],[NOMBRE]]</f>
        <v>44983GONZALES DELGADO ANGEL MARCIAL</v>
      </c>
      <c r="B1894" s="100">
        <f>WEEKNUM(BD_ControlRegimen[[#This Row],[FECHA]],2)</f>
        <v>9</v>
      </c>
      <c r="C1894" s="99">
        <v>44983</v>
      </c>
      <c r="D1894" s="3" t="s">
        <v>72</v>
      </c>
      <c r="E1894" s="101" t="s">
        <v>155</v>
      </c>
      <c r="F1894" s="101"/>
    </row>
    <row r="1895" spans="1:6" x14ac:dyDescent="0.3">
      <c r="A1895" s="99" t="str">
        <f>BD_ControlRegimen[[#This Row],[FECHA]]&amp;BD_ControlRegimen[[#This Row],[NOMBRE]]</f>
        <v>44984GONZALES DELGADO ANGEL MARCIAL</v>
      </c>
      <c r="B1895" s="100">
        <f>WEEKNUM(BD_ControlRegimen[[#This Row],[FECHA]],2)</f>
        <v>10</v>
      </c>
      <c r="C1895" s="99">
        <v>44984</v>
      </c>
      <c r="D1895" s="3" t="s">
        <v>72</v>
      </c>
      <c r="E1895" s="101" t="s">
        <v>155</v>
      </c>
      <c r="F1895" s="101"/>
    </row>
    <row r="1896" spans="1:6" x14ac:dyDescent="0.3">
      <c r="A1896" s="99" t="str">
        <f>BD_ControlRegimen[[#This Row],[FECHA]]&amp;BD_ControlRegimen[[#This Row],[NOMBRE]]</f>
        <v>44985GONZALES DELGADO ANGEL MARCIAL</v>
      </c>
      <c r="B1896" s="100">
        <f>WEEKNUM(BD_ControlRegimen[[#This Row],[FECHA]],2)</f>
        <v>10</v>
      </c>
      <c r="C1896" s="99">
        <v>44985</v>
      </c>
      <c r="D1896" s="3" t="s">
        <v>72</v>
      </c>
      <c r="E1896" s="101" t="s">
        <v>155</v>
      </c>
      <c r="F1896" s="101"/>
    </row>
    <row r="1897" spans="1:6" x14ac:dyDescent="0.3">
      <c r="A1897" s="99" t="str">
        <f>BD_ControlRegimen[[#This Row],[FECHA]]&amp;BD_ControlRegimen[[#This Row],[NOMBRE]]</f>
        <v>44986GONZALES DELGADO ANGEL MARCIAL</v>
      </c>
      <c r="B1897" s="100">
        <f>WEEKNUM(BD_ControlRegimen[[#This Row],[FECHA]],2)</f>
        <v>10</v>
      </c>
      <c r="C1897" s="99">
        <v>44986</v>
      </c>
      <c r="D1897" s="3" t="s">
        <v>72</v>
      </c>
      <c r="E1897" s="101" t="s">
        <v>155</v>
      </c>
      <c r="F1897" s="101"/>
    </row>
    <row r="1898" spans="1:6" x14ac:dyDescent="0.3">
      <c r="A1898" s="99" t="str">
        <f>BD_ControlRegimen[[#This Row],[FECHA]]&amp;BD_ControlRegimen[[#This Row],[NOMBRE]]</f>
        <v>44987GONZALES DELGADO ANGEL MARCIAL</v>
      </c>
      <c r="B1898" s="100">
        <f>WEEKNUM(BD_ControlRegimen[[#This Row],[FECHA]],2)</f>
        <v>10</v>
      </c>
      <c r="C1898" s="99">
        <v>44987</v>
      </c>
      <c r="D1898" s="3" t="s">
        <v>72</v>
      </c>
      <c r="E1898" s="101" t="s">
        <v>155</v>
      </c>
      <c r="F1898" s="101"/>
    </row>
    <row r="1899" spans="1:6" x14ac:dyDescent="0.3">
      <c r="A1899" s="99" t="str">
        <f>BD_ControlRegimen[[#This Row],[FECHA]]&amp;BD_ControlRegimen[[#This Row],[NOMBRE]]</f>
        <v>44988GONZALES DELGADO ANGEL MARCIAL</v>
      </c>
      <c r="B1899" s="100">
        <f>WEEKNUM(BD_ControlRegimen[[#This Row],[FECHA]],2)</f>
        <v>10</v>
      </c>
      <c r="C1899" s="99">
        <v>44988</v>
      </c>
      <c r="D1899" s="3" t="s">
        <v>72</v>
      </c>
      <c r="E1899" s="101" t="s">
        <v>155</v>
      </c>
      <c r="F1899" s="101"/>
    </row>
    <row r="1900" spans="1:6" x14ac:dyDescent="0.3">
      <c r="A1900" s="99" t="str">
        <f>BD_ControlRegimen[[#This Row],[FECHA]]&amp;BD_ControlRegimen[[#This Row],[NOMBRE]]</f>
        <v>44989GONZALES DELGADO ANGEL MARCIAL</v>
      </c>
      <c r="B1900" s="100">
        <f>WEEKNUM(BD_ControlRegimen[[#This Row],[FECHA]],2)</f>
        <v>10</v>
      </c>
      <c r="C1900" s="99">
        <v>44989</v>
      </c>
      <c r="D1900" s="3" t="s">
        <v>72</v>
      </c>
      <c r="E1900" s="101" t="s">
        <v>155</v>
      </c>
      <c r="F1900" s="101"/>
    </row>
    <row r="1901" spans="1:6" x14ac:dyDescent="0.3">
      <c r="A1901" s="99" t="str">
        <f>BD_ControlRegimen[[#This Row],[FECHA]]&amp;BD_ControlRegimen[[#This Row],[NOMBRE]]</f>
        <v>44990GONZALES DELGADO ANGEL MARCIAL</v>
      </c>
      <c r="B1901" s="100">
        <f>WEEKNUM(BD_ControlRegimen[[#This Row],[FECHA]],2)</f>
        <v>10</v>
      </c>
      <c r="C1901" s="99">
        <v>44990</v>
      </c>
      <c r="D1901" s="3" t="s">
        <v>72</v>
      </c>
      <c r="E1901" s="101" t="s">
        <v>155</v>
      </c>
      <c r="F1901" s="101"/>
    </row>
    <row r="1902" spans="1:6" x14ac:dyDescent="0.3">
      <c r="A1902" s="99" t="str">
        <f>BD_ControlRegimen[[#This Row],[FECHA]]&amp;BD_ControlRegimen[[#This Row],[NOMBRE]]</f>
        <v>44991GONZALES DELGADO ANGEL MARCIAL</v>
      </c>
      <c r="B1902" s="100">
        <f>WEEKNUM(BD_ControlRegimen[[#This Row],[FECHA]],2)</f>
        <v>11</v>
      </c>
      <c r="C1902" s="99">
        <v>44991</v>
      </c>
      <c r="D1902" s="3" t="s">
        <v>72</v>
      </c>
      <c r="E1902" s="3" t="s">
        <v>154</v>
      </c>
      <c r="F1902" s="101"/>
    </row>
    <row r="1903" spans="1:6" x14ac:dyDescent="0.3">
      <c r="A1903" s="99" t="str">
        <f>BD_ControlRegimen[[#This Row],[FECHA]]&amp;BD_ControlRegimen[[#This Row],[NOMBRE]]</f>
        <v>44992GONZALES DELGADO ANGEL MARCIAL</v>
      </c>
      <c r="B1903" s="100">
        <f>WEEKNUM(BD_ControlRegimen[[#This Row],[FECHA]],2)</f>
        <v>11</v>
      </c>
      <c r="C1903" s="99">
        <v>44992</v>
      </c>
      <c r="D1903" s="3" t="s">
        <v>72</v>
      </c>
      <c r="E1903" s="3" t="s">
        <v>154</v>
      </c>
      <c r="F1903" s="101"/>
    </row>
    <row r="1904" spans="1:6" x14ac:dyDescent="0.3">
      <c r="A1904" s="99" t="str">
        <f>BD_ControlRegimen[[#This Row],[FECHA]]&amp;BD_ControlRegimen[[#This Row],[NOMBRE]]</f>
        <v>44993GONZALES DELGADO ANGEL MARCIAL</v>
      </c>
      <c r="B1904" s="100">
        <f>WEEKNUM(BD_ControlRegimen[[#This Row],[FECHA]],2)</f>
        <v>11</v>
      </c>
      <c r="C1904" s="99">
        <v>44993</v>
      </c>
      <c r="D1904" s="3" t="s">
        <v>72</v>
      </c>
      <c r="E1904" s="3" t="s">
        <v>154</v>
      </c>
      <c r="F1904" s="101"/>
    </row>
    <row r="1905" spans="1:6" x14ac:dyDescent="0.3">
      <c r="A1905" s="99" t="str">
        <f>BD_ControlRegimen[[#This Row],[FECHA]]&amp;BD_ControlRegimen[[#This Row],[NOMBRE]]</f>
        <v>44994GONZALES DELGADO ANGEL MARCIAL</v>
      </c>
      <c r="B1905" s="100">
        <f>WEEKNUM(BD_ControlRegimen[[#This Row],[FECHA]],2)</f>
        <v>11</v>
      </c>
      <c r="C1905" s="99">
        <v>44994</v>
      </c>
      <c r="D1905" s="3" t="s">
        <v>72</v>
      </c>
      <c r="E1905" s="3" t="s">
        <v>154</v>
      </c>
      <c r="F1905" s="101"/>
    </row>
    <row r="1906" spans="1:6" x14ac:dyDescent="0.3">
      <c r="A1906" s="99" t="str">
        <f>BD_ControlRegimen[[#This Row],[FECHA]]&amp;BD_ControlRegimen[[#This Row],[NOMBRE]]</f>
        <v>44995GONZALES DELGADO ANGEL MARCIAL</v>
      </c>
      <c r="B1906" s="100">
        <f>WEEKNUM(BD_ControlRegimen[[#This Row],[FECHA]],2)</f>
        <v>11</v>
      </c>
      <c r="C1906" s="99">
        <v>44995</v>
      </c>
      <c r="D1906" s="3" t="s">
        <v>72</v>
      </c>
      <c r="E1906" s="3" t="s">
        <v>154</v>
      </c>
      <c r="F1906" s="101"/>
    </row>
    <row r="1907" spans="1:6" x14ac:dyDescent="0.3">
      <c r="A1907" s="99" t="str">
        <f>BD_ControlRegimen[[#This Row],[FECHA]]&amp;BD_ControlRegimen[[#This Row],[NOMBRE]]</f>
        <v>44996GONZALES DELGADO ANGEL MARCIAL</v>
      </c>
      <c r="B1907" s="100">
        <f>WEEKNUM(BD_ControlRegimen[[#This Row],[FECHA]],2)</f>
        <v>11</v>
      </c>
      <c r="C1907" s="99">
        <v>44996</v>
      </c>
      <c r="D1907" s="3" t="s">
        <v>72</v>
      </c>
      <c r="E1907" s="3" t="s">
        <v>154</v>
      </c>
      <c r="F1907" s="101"/>
    </row>
    <row r="1908" spans="1:6" x14ac:dyDescent="0.3">
      <c r="A1908" s="99" t="str">
        <f>BD_ControlRegimen[[#This Row],[FECHA]]&amp;BD_ControlRegimen[[#This Row],[NOMBRE]]</f>
        <v>44997GONZALES DELGADO ANGEL MARCIAL</v>
      </c>
      <c r="B1908" s="100">
        <f>WEEKNUM(BD_ControlRegimen[[#This Row],[FECHA]],2)</f>
        <v>11</v>
      </c>
      <c r="C1908" s="99">
        <v>44997</v>
      </c>
      <c r="D1908" s="3" t="s">
        <v>72</v>
      </c>
      <c r="E1908" s="3" t="s">
        <v>154</v>
      </c>
      <c r="F1908" s="101"/>
    </row>
    <row r="1909" spans="1:6" x14ac:dyDescent="0.3">
      <c r="A1909" s="99" t="str">
        <f>BD_ControlRegimen[[#This Row],[FECHA]]&amp;BD_ControlRegimen[[#This Row],[NOMBRE]]</f>
        <v>44998GONZALES DELGADO ANGEL MARCIAL</v>
      </c>
      <c r="B1909" s="100">
        <f>WEEKNUM(BD_ControlRegimen[[#This Row],[FECHA]],2)</f>
        <v>12</v>
      </c>
      <c r="C1909" s="99">
        <v>44998</v>
      </c>
      <c r="D1909" s="3" t="s">
        <v>72</v>
      </c>
      <c r="E1909" s="3" t="s">
        <v>154</v>
      </c>
      <c r="F1909" s="101"/>
    </row>
    <row r="1910" spans="1:6" x14ac:dyDescent="0.3">
      <c r="A1910" s="99" t="str">
        <f>BD_ControlRegimen[[#This Row],[FECHA]]&amp;BD_ControlRegimen[[#This Row],[NOMBRE]]</f>
        <v>44999GONZALES DELGADO ANGEL MARCIAL</v>
      </c>
      <c r="B1910" s="100">
        <f>WEEKNUM(BD_ControlRegimen[[#This Row],[FECHA]],2)</f>
        <v>12</v>
      </c>
      <c r="C1910" s="99">
        <v>44999</v>
      </c>
      <c r="D1910" s="3" t="s">
        <v>72</v>
      </c>
      <c r="E1910" s="3" t="s">
        <v>154</v>
      </c>
      <c r="F1910" s="101"/>
    </row>
    <row r="1911" spans="1:6" x14ac:dyDescent="0.3">
      <c r="A1911" s="99" t="str">
        <f>BD_ControlRegimen[[#This Row],[FECHA]]&amp;BD_ControlRegimen[[#This Row],[NOMBRE]]</f>
        <v>45000GONZALES DELGADO ANGEL MARCIAL</v>
      </c>
      <c r="B1911" s="100">
        <f>WEEKNUM(BD_ControlRegimen[[#This Row],[FECHA]],2)</f>
        <v>12</v>
      </c>
      <c r="C1911" s="99">
        <v>45000</v>
      </c>
      <c r="D1911" s="3" t="s">
        <v>72</v>
      </c>
      <c r="E1911" s="3" t="s">
        <v>154</v>
      </c>
      <c r="F1911" s="101"/>
    </row>
    <row r="1912" spans="1:6" x14ac:dyDescent="0.3">
      <c r="A1912" s="99" t="str">
        <f>BD_ControlRegimen[[#This Row],[FECHA]]&amp;BD_ControlRegimen[[#This Row],[NOMBRE]]</f>
        <v>45001GONZALES DELGADO ANGEL MARCIAL</v>
      </c>
      <c r="B1912" s="100">
        <f>WEEKNUM(BD_ControlRegimen[[#This Row],[FECHA]],2)</f>
        <v>12</v>
      </c>
      <c r="C1912" s="99">
        <v>45001</v>
      </c>
      <c r="D1912" s="3" t="s">
        <v>72</v>
      </c>
      <c r="E1912" s="3" t="s">
        <v>154</v>
      </c>
      <c r="F1912" s="101"/>
    </row>
    <row r="1913" spans="1:6" x14ac:dyDescent="0.3">
      <c r="A1913" s="99" t="str">
        <f>BD_ControlRegimen[[#This Row],[FECHA]]&amp;BD_ControlRegimen[[#This Row],[NOMBRE]]</f>
        <v>45002GONZALES DELGADO ANGEL MARCIAL</v>
      </c>
      <c r="B1913" s="100">
        <f>WEEKNUM(BD_ControlRegimen[[#This Row],[FECHA]],2)</f>
        <v>12</v>
      </c>
      <c r="C1913" s="99">
        <v>45002</v>
      </c>
      <c r="D1913" s="3" t="s">
        <v>72</v>
      </c>
      <c r="E1913" s="3" t="s">
        <v>154</v>
      </c>
      <c r="F1913" s="101"/>
    </row>
    <row r="1914" spans="1:6" x14ac:dyDescent="0.3">
      <c r="A1914" s="99" t="str">
        <f>BD_ControlRegimen[[#This Row],[FECHA]]&amp;BD_ControlRegimen[[#This Row],[NOMBRE]]</f>
        <v>45003GONZALES DELGADO ANGEL MARCIAL</v>
      </c>
      <c r="B1914" s="100">
        <f>WEEKNUM(BD_ControlRegimen[[#This Row],[FECHA]],2)</f>
        <v>12</v>
      </c>
      <c r="C1914" s="99">
        <v>45003</v>
      </c>
      <c r="D1914" s="3" t="s">
        <v>72</v>
      </c>
      <c r="E1914" s="3" t="s">
        <v>154</v>
      </c>
      <c r="F1914" s="101"/>
    </row>
    <row r="1915" spans="1:6" x14ac:dyDescent="0.3">
      <c r="A1915" s="99" t="str">
        <f>BD_ControlRegimen[[#This Row],[FECHA]]&amp;BD_ControlRegimen[[#This Row],[NOMBRE]]</f>
        <v>45004GONZALES DELGADO ANGEL MARCIAL</v>
      </c>
      <c r="B1915" s="100">
        <f>WEEKNUM(BD_ControlRegimen[[#This Row],[FECHA]],2)</f>
        <v>12</v>
      </c>
      <c r="C1915" s="99">
        <v>45004</v>
      </c>
      <c r="D1915" s="3" t="s">
        <v>72</v>
      </c>
      <c r="E1915" s="3" t="s">
        <v>154</v>
      </c>
      <c r="F1915" s="101"/>
    </row>
    <row r="1916" spans="1:6" x14ac:dyDescent="0.3">
      <c r="A1916" s="99" t="str">
        <f>BD_ControlRegimen[[#This Row],[FECHA]]&amp;BD_ControlRegimen[[#This Row],[NOMBRE]]</f>
        <v>45005GONZALES DELGADO ANGEL MARCIAL</v>
      </c>
      <c r="B1916" s="100">
        <f>WEEKNUM(BD_ControlRegimen[[#This Row],[FECHA]],2)</f>
        <v>13</v>
      </c>
      <c r="C1916" s="99">
        <v>45005</v>
      </c>
      <c r="D1916" s="3" t="s">
        <v>72</v>
      </c>
      <c r="E1916" s="3" t="s">
        <v>154</v>
      </c>
      <c r="F1916" s="101"/>
    </row>
    <row r="1917" spans="1:6" x14ac:dyDescent="0.3">
      <c r="A1917" s="99" t="str">
        <f>BD_ControlRegimen[[#This Row],[FECHA]]&amp;BD_ControlRegimen[[#This Row],[NOMBRE]]</f>
        <v>45006GONZALES DELGADO ANGEL MARCIAL</v>
      </c>
      <c r="B1917" s="100">
        <f>WEEKNUM(BD_ControlRegimen[[#This Row],[FECHA]],2)</f>
        <v>13</v>
      </c>
      <c r="C1917" s="99">
        <v>45006</v>
      </c>
      <c r="D1917" s="3" t="s">
        <v>72</v>
      </c>
      <c r="E1917" s="3" t="s">
        <v>154</v>
      </c>
      <c r="F1917" s="101"/>
    </row>
    <row r="1918" spans="1:6" x14ac:dyDescent="0.3">
      <c r="A1918" s="99" t="str">
        <f>BD_ControlRegimen[[#This Row],[FECHA]]&amp;BD_ControlRegimen[[#This Row],[NOMBRE]]</f>
        <v>45007GONZALES DELGADO ANGEL MARCIAL</v>
      </c>
      <c r="B1918" s="100">
        <f>WEEKNUM(BD_ControlRegimen[[#This Row],[FECHA]],2)</f>
        <v>13</v>
      </c>
      <c r="C1918" s="99">
        <v>45007</v>
      </c>
      <c r="D1918" s="3" t="s">
        <v>72</v>
      </c>
      <c r="E1918" s="3" t="s">
        <v>154</v>
      </c>
      <c r="F1918" s="101"/>
    </row>
    <row r="1919" spans="1:6" x14ac:dyDescent="0.3">
      <c r="A1919" s="99" t="str">
        <f>BD_ControlRegimen[[#This Row],[FECHA]]&amp;BD_ControlRegimen[[#This Row],[NOMBRE]]</f>
        <v>45008GONZALES DELGADO ANGEL MARCIAL</v>
      </c>
      <c r="B1919" s="100">
        <f>WEEKNUM(BD_ControlRegimen[[#This Row],[FECHA]],2)</f>
        <v>13</v>
      </c>
      <c r="C1919" s="99">
        <v>45008</v>
      </c>
      <c r="D1919" s="3" t="s">
        <v>72</v>
      </c>
      <c r="E1919" s="3" t="s">
        <v>154</v>
      </c>
      <c r="F1919" s="101"/>
    </row>
    <row r="1920" spans="1:6" x14ac:dyDescent="0.3">
      <c r="A1920" s="99" t="str">
        <f>BD_ControlRegimen[[#This Row],[FECHA]]&amp;BD_ControlRegimen[[#This Row],[NOMBRE]]</f>
        <v>45009GONZALES DELGADO ANGEL MARCIAL</v>
      </c>
      <c r="B1920" s="100">
        <f>WEEKNUM(BD_ControlRegimen[[#This Row],[FECHA]],2)</f>
        <v>13</v>
      </c>
      <c r="C1920" s="99">
        <v>45009</v>
      </c>
      <c r="D1920" s="3" t="s">
        <v>72</v>
      </c>
      <c r="E1920" s="3" t="s">
        <v>154</v>
      </c>
      <c r="F1920" s="101"/>
    </row>
    <row r="1921" spans="1:6" x14ac:dyDescent="0.3">
      <c r="A1921" s="99" t="str">
        <f>BD_ControlRegimen[[#This Row],[FECHA]]&amp;BD_ControlRegimen[[#This Row],[NOMBRE]]</f>
        <v>45010GONZALES DELGADO ANGEL MARCIAL</v>
      </c>
      <c r="B1921" s="100">
        <f>WEEKNUM(BD_ControlRegimen[[#This Row],[FECHA]],2)</f>
        <v>13</v>
      </c>
      <c r="C1921" s="99">
        <v>45010</v>
      </c>
      <c r="D1921" s="3" t="s">
        <v>72</v>
      </c>
      <c r="E1921" s="3" t="s">
        <v>154</v>
      </c>
      <c r="F1921" s="101"/>
    </row>
    <row r="1922" spans="1:6" x14ac:dyDescent="0.3">
      <c r="A1922" s="99" t="str">
        <f>BD_ControlRegimen[[#This Row],[FECHA]]&amp;BD_ControlRegimen[[#This Row],[NOMBRE]]</f>
        <v>45011GONZALES DELGADO ANGEL MARCIAL</v>
      </c>
      <c r="B1922" s="100">
        <f>WEEKNUM(BD_ControlRegimen[[#This Row],[FECHA]],2)</f>
        <v>13</v>
      </c>
      <c r="C1922" s="99">
        <v>45011</v>
      </c>
      <c r="D1922" s="3" t="s">
        <v>72</v>
      </c>
      <c r="E1922" s="3" t="s">
        <v>154</v>
      </c>
      <c r="F1922" s="101"/>
    </row>
    <row r="1923" spans="1:6" x14ac:dyDescent="0.3">
      <c r="A1923" s="7" t="str">
        <f>BD_ControlRegimen[[#This Row],[FECHA]]&amp;BD_ControlRegimen[[#This Row],[NOMBRE]]</f>
        <v>45012GONZALES DELGADO ANGEL MARCIAL</v>
      </c>
      <c r="B1923" s="83">
        <f>WEEKNUM(BD_ControlRegimen[[#This Row],[FECHA]],2)</f>
        <v>14</v>
      </c>
      <c r="C1923" s="7">
        <v>45012</v>
      </c>
      <c r="D1923" s="3" t="s">
        <v>72</v>
      </c>
      <c r="E1923" s="3" t="s">
        <v>154</v>
      </c>
      <c r="F1923" s="3"/>
    </row>
    <row r="1924" spans="1:6" x14ac:dyDescent="0.3">
      <c r="A1924" s="7" t="str">
        <f>BD_ControlRegimen[[#This Row],[FECHA]]&amp;BD_ControlRegimen[[#This Row],[NOMBRE]]</f>
        <v>45013GONZALES DELGADO ANGEL MARCIAL</v>
      </c>
      <c r="B1924" s="83">
        <f>WEEKNUM(BD_ControlRegimen[[#This Row],[FECHA]],2)</f>
        <v>14</v>
      </c>
      <c r="C1924" s="7">
        <v>45013</v>
      </c>
      <c r="D1924" s="3" t="s">
        <v>72</v>
      </c>
      <c r="E1924" s="3" t="s">
        <v>154</v>
      </c>
      <c r="F1924" s="3"/>
    </row>
    <row r="1925" spans="1:6" x14ac:dyDescent="0.3">
      <c r="A1925" s="7" t="str">
        <f>BD_ControlRegimen[[#This Row],[FECHA]]&amp;BD_ControlRegimen[[#This Row],[NOMBRE]]</f>
        <v>45014GONZALES DELGADO ANGEL MARCIAL</v>
      </c>
      <c r="B1925" s="83">
        <f>WEEKNUM(BD_ControlRegimen[[#This Row],[FECHA]],2)</f>
        <v>14</v>
      </c>
      <c r="C1925" s="7">
        <v>45014</v>
      </c>
      <c r="D1925" s="3" t="s">
        <v>72</v>
      </c>
      <c r="E1925" s="3" t="s">
        <v>154</v>
      </c>
      <c r="F1925" s="3"/>
    </row>
    <row r="1926" spans="1:6" x14ac:dyDescent="0.3">
      <c r="A1926" s="7" t="str">
        <f>BD_ControlRegimen[[#This Row],[FECHA]]&amp;BD_ControlRegimen[[#This Row],[NOMBRE]]</f>
        <v>45015GONZALES DELGADO ANGEL MARCIAL</v>
      </c>
      <c r="B1926" s="83">
        <f>WEEKNUM(BD_ControlRegimen[[#This Row],[FECHA]],2)</f>
        <v>14</v>
      </c>
      <c r="C1926" s="7">
        <v>45015</v>
      </c>
      <c r="D1926" s="3" t="s">
        <v>72</v>
      </c>
      <c r="E1926" s="3" t="s">
        <v>154</v>
      </c>
      <c r="F1926" s="3"/>
    </row>
    <row r="1927" spans="1:6" x14ac:dyDescent="0.3">
      <c r="A1927" s="7" t="str">
        <f>BD_ControlRegimen[[#This Row],[FECHA]]&amp;BD_ControlRegimen[[#This Row],[NOMBRE]]</f>
        <v>45016GONZALES DELGADO ANGEL MARCIAL</v>
      </c>
      <c r="B1927" s="83">
        <f>WEEKNUM(BD_ControlRegimen[[#This Row],[FECHA]],2)</f>
        <v>14</v>
      </c>
      <c r="C1927" s="7">
        <v>45016</v>
      </c>
      <c r="D1927" s="3" t="s">
        <v>72</v>
      </c>
      <c r="E1927" s="3" t="s">
        <v>154</v>
      </c>
      <c r="F1927" s="3"/>
    </row>
    <row r="1928" spans="1:6" x14ac:dyDescent="0.3">
      <c r="A1928" s="7" t="str">
        <f>BD_ControlRegimen[[#This Row],[FECHA]]&amp;BD_ControlRegimen[[#This Row],[NOMBRE]]</f>
        <v>45017GONZALES DELGADO ANGEL MARCIAL</v>
      </c>
      <c r="B1928" s="83">
        <f>WEEKNUM(BD_ControlRegimen[[#This Row],[FECHA]],2)</f>
        <v>14</v>
      </c>
      <c r="C1928" s="7">
        <v>45017</v>
      </c>
      <c r="D1928" s="3" t="s">
        <v>72</v>
      </c>
      <c r="E1928" s="3" t="s">
        <v>154</v>
      </c>
      <c r="F1928" s="3"/>
    </row>
    <row r="1929" spans="1:6" x14ac:dyDescent="0.3">
      <c r="A1929" s="7" t="str">
        <f>BD_ControlRegimen[[#This Row],[FECHA]]&amp;BD_ControlRegimen[[#This Row],[NOMBRE]]</f>
        <v>45018GONZALES DELGADO ANGEL MARCIAL</v>
      </c>
      <c r="B1929" s="83">
        <f>WEEKNUM(BD_ControlRegimen[[#This Row],[FECHA]],2)</f>
        <v>14</v>
      </c>
      <c r="C1929" s="7">
        <v>45018</v>
      </c>
      <c r="D1929" s="3" t="s">
        <v>72</v>
      </c>
      <c r="E1929" s="3" t="s">
        <v>154</v>
      </c>
      <c r="F1929" s="3"/>
    </row>
    <row r="1930" spans="1:6" x14ac:dyDescent="0.3">
      <c r="A1930" s="7" t="str">
        <f>BD_ControlRegimen[[#This Row],[FECHA]]&amp;BD_ControlRegimen[[#This Row],[NOMBRE]]</f>
        <v>45019GONZALES DELGADO ANGEL MARCIAL</v>
      </c>
      <c r="B1930" s="83">
        <f>WEEKNUM(BD_ControlRegimen[[#This Row],[FECHA]],2)</f>
        <v>15</v>
      </c>
      <c r="C1930" s="7">
        <v>45019</v>
      </c>
      <c r="D1930" s="3" t="s">
        <v>72</v>
      </c>
      <c r="E1930" s="3" t="s">
        <v>154</v>
      </c>
      <c r="F1930" s="3"/>
    </row>
    <row r="1931" spans="1:6" x14ac:dyDescent="0.3">
      <c r="A1931" s="7" t="str">
        <f>BD_ControlRegimen[[#This Row],[FECHA]]&amp;BD_ControlRegimen[[#This Row],[NOMBRE]]</f>
        <v>45020GONZALES DELGADO ANGEL MARCIAL</v>
      </c>
      <c r="B1931" s="83">
        <f>WEEKNUM(BD_ControlRegimen[[#This Row],[FECHA]],2)</f>
        <v>15</v>
      </c>
      <c r="C1931" s="7">
        <v>45020</v>
      </c>
      <c r="D1931" s="3" t="s">
        <v>72</v>
      </c>
      <c r="E1931" s="3" t="s">
        <v>154</v>
      </c>
      <c r="F1931" s="3"/>
    </row>
    <row r="1932" spans="1:6" x14ac:dyDescent="0.3">
      <c r="A1932" s="7" t="str">
        <f>BD_ControlRegimen[[#This Row],[FECHA]]&amp;BD_ControlRegimen[[#This Row],[NOMBRE]]</f>
        <v>45021GONZALES DELGADO ANGEL MARCIAL</v>
      </c>
      <c r="B1932" s="83">
        <f>WEEKNUM(BD_ControlRegimen[[#This Row],[FECHA]],2)</f>
        <v>15</v>
      </c>
      <c r="C1932" s="7">
        <v>45021</v>
      </c>
      <c r="D1932" s="3" t="s">
        <v>72</v>
      </c>
      <c r="E1932" s="3" t="s">
        <v>154</v>
      </c>
      <c r="F1932" s="3"/>
    </row>
    <row r="1933" spans="1:6" x14ac:dyDescent="0.3">
      <c r="A1933" s="7" t="str">
        <f>BD_ControlRegimen[[#This Row],[FECHA]]&amp;BD_ControlRegimen[[#This Row],[NOMBRE]]</f>
        <v>45022GONZALES DELGADO ANGEL MARCIAL</v>
      </c>
      <c r="B1933" s="83">
        <f>WEEKNUM(BD_ControlRegimen[[#This Row],[FECHA]],2)</f>
        <v>15</v>
      </c>
      <c r="C1933" s="7">
        <v>45022</v>
      </c>
      <c r="D1933" s="3" t="s">
        <v>72</v>
      </c>
      <c r="E1933" s="3" t="s">
        <v>154</v>
      </c>
      <c r="F1933" s="3"/>
    </row>
    <row r="1934" spans="1:6" x14ac:dyDescent="0.3">
      <c r="A1934" s="7" t="str">
        <f>BD_ControlRegimen[[#This Row],[FECHA]]&amp;BD_ControlRegimen[[#This Row],[NOMBRE]]</f>
        <v>45023GONZALES DELGADO ANGEL MARCIAL</v>
      </c>
      <c r="B1934" s="83">
        <f>WEEKNUM(BD_ControlRegimen[[#This Row],[FECHA]],2)</f>
        <v>15</v>
      </c>
      <c r="C1934" s="7">
        <v>45023</v>
      </c>
      <c r="D1934" s="3" t="s">
        <v>72</v>
      </c>
      <c r="E1934" s="3" t="s">
        <v>154</v>
      </c>
      <c r="F1934" s="3"/>
    </row>
    <row r="1935" spans="1:6" x14ac:dyDescent="0.3">
      <c r="A1935" s="7" t="str">
        <f>BD_ControlRegimen[[#This Row],[FECHA]]&amp;BD_ControlRegimen[[#This Row],[NOMBRE]]</f>
        <v>45024GONZALES DELGADO ANGEL MARCIAL</v>
      </c>
      <c r="B1935" s="83">
        <f>WEEKNUM(BD_ControlRegimen[[#This Row],[FECHA]],2)</f>
        <v>15</v>
      </c>
      <c r="C1935" s="7">
        <v>45024</v>
      </c>
      <c r="D1935" s="3" t="s">
        <v>72</v>
      </c>
      <c r="E1935" s="3" t="s">
        <v>154</v>
      </c>
      <c r="F1935" s="3"/>
    </row>
    <row r="1936" spans="1:6" x14ac:dyDescent="0.3">
      <c r="A1936" s="7" t="str">
        <f>BD_ControlRegimen[[#This Row],[FECHA]]&amp;BD_ControlRegimen[[#This Row],[NOMBRE]]</f>
        <v>45025GONZALES DELGADO ANGEL MARCIAL</v>
      </c>
      <c r="B1936" s="83">
        <f>WEEKNUM(BD_ControlRegimen[[#This Row],[FECHA]],2)</f>
        <v>15</v>
      </c>
      <c r="C1936" s="7">
        <v>45025</v>
      </c>
      <c r="D1936" s="3" t="s">
        <v>72</v>
      </c>
      <c r="E1936" s="3" t="s">
        <v>154</v>
      </c>
      <c r="F1936" s="3"/>
    </row>
    <row r="1937" spans="1:6" x14ac:dyDescent="0.3">
      <c r="A1937" s="7" t="str">
        <f>BD_ControlRegimen[[#This Row],[FECHA]]&amp;BD_ControlRegimen[[#This Row],[NOMBRE]]</f>
        <v>45026GONZALES DELGADO ANGEL MARCIAL</v>
      </c>
      <c r="B1937" s="83">
        <f>WEEKNUM(BD_ControlRegimen[[#This Row],[FECHA]],2)</f>
        <v>16</v>
      </c>
      <c r="C1937" s="7">
        <v>45026</v>
      </c>
      <c r="D1937" s="3" t="s">
        <v>72</v>
      </c>
      <c r="E1937" s="3" t="s">
        <v>154</v>
      </c>
      <c r="F1937" s="3"/>
    </row>
    <row r="1938" spans="1:6" x14ac:dyDescent="0.3">
      <c r="A1938" s="7" t="str">
        <f>BD_ControlRegimen[[#This Row],[FECHA]]&amp;BD_ControlRegimen[[#This Row],[NOMBRE]]</f>
        <v>45027GONZALES DELGADO ANGEL MARCIAL</v>
      </c>
      <c r="B1938" s="83">
        <f>WEEKNUM(BD_ControlRegimen[[#This Row],[FECHA]],2)</f>
        <v>16</v>
      </c>
      <c r="C1938" s="7">
        <v>45027</v>
      </c>
      <c r="D1938" s="3" t="s">
        <v>72</v>
      </c>
      <c r="E1938" s="3" t="s">
        <v>154</v>
      </c>
      <c r="F1938" s="3"/>
    </row>
    <row r="1939" spans="1:6" x14ac:dyDescent="0.3">
      <c r="A1939" s="7" t="str">
        <f>BD_ControlRegimen[[#This Row],[FECHA]]&amp;BD_ControlRegimen[[#This Row],[NOMBRE]]</f>
        <v>45028GONZALES DELGADO ANGEL MARCIAL</v>
      </c>
      <c r="B1939" s="83">
        <f>WEEKNUM(BD_ControlRegimen[[#This Row],[FECHA]],2)</f>
        <v>16</v>
      </c>
      <c r="C1939" s="7">
        <v>45028</v>
      </c>
      <c r="D1939" s="3" t="s">
        <v>72</v>
      </c>
      <c r="E1939" s="3" t="s">
        <v>154</v>
      </c>
      <c r="F1939" s="3"/>
    </row>
    <row r="1940" spans="1:6" x14ac:dyDescent="0.3">
      <c r="A1940" s="7" t="str">
        <f>BD_ControlRegimen[[#This Row],[FECHA]]&amp;BD_ControlRegimen[[#This Row],[NOMBRE]]</f>
        <v>45029GONZALES DELGADO ANGEL MARCIAL</v>
      </c>
      <c r="B1940" s="83">
        <f>WEEKNUM(BD_ControlRegimen[[#This Row],[FECHA]],2)</f>
        <v>16</v>
      </c>
      <c r="C1940" s="7">
        <v>45029</v>
      </c>
      <c r="D1940" s="3" t="s">
        <v>72</v>
      </c>
      <c r="E1940" s="3" t="s">
        <v>154</v>
      </c>
      <c r="F1940" s="3"/>
    </row>
    <row r="1941" spans="1:6" x14ac:dyDescent="0.3">
      <c r="A1941" s="7" t="str">
        <f>BD_ControlRegimen[[#This Row],[FECHA]]&amp;BD_ControlRegimen[[#This Row],[NOMBRE]]</f>
        <v>45030GONZALES DELGADO ANGEL MARCIAL</v>
      </c>
      <c r="B1941" s="83">
        <f>WEEKNUM(BD_ControlRegimen[[#This Row],[FECHA]],2)</f>
        <v>16</v>
      </c>
      <c r="C1941" s="7">
        <v>45030</v>
      </c>
      <c r="D1941" s="3" t="s">
        <v>72</v>
      </c>
      <c r="E1941" s="3" t="s">
        <v>154</v>
      </c>
      <c r="F1941" s="3"/>
    </row>
    <row r="1942" spans="1:6" x14ac:dyDescent="0.3">
      <c r="A1942" s="7" t="str">
        <f>BD_ControlRegimen[[#This Row],[FECHA]]&amp;BD_ControlRegimen[[#This Row],[NOMBRE]]</f>
        <v>45031GONZALES DELGADO ANGEL MARCIAL</v>
      </c>
      <c r="B1942" s="83">
        <f>WEEKNUM(BD_ControlRegimen[[#This Row],[FECHA]],2)</f>
        <v>16</v>
      </c>
      <c r="C1942" s="7">
        <v>45031</v>
      </c>
      <c r="D1942" s="3" t="s">
        <v>72</v>
      </c>
      <c r="E1942" s="3" t="s">
        <v>154</v>
      </c>
      <c r="F1942" s="3"/>
    </row>
    <row r="1943" spans="1:6" x14ac:dyDescent="0.3">
      <c r="A1943" s="7" t="str">
        <f>BD_ControlRegimen[[#This Row],[FECHA]]&amp;BD_ControlRegimen[[#This Row],[NOMBRE]]</f>
        <v>45032GONZALES DELGADO ANGEL MARCIAL</v>
      </c>
      <c r="B1943" s="83">
        <f>WEEKNUM(BD_ControlRegimen[[#This Row],[FECHA]],2)</f>
        <v>16</v>
      </c>
      <c r="C1943" s="7">
        <v>45032</v>
      </c>
      <c r="D1943" s="3" t="s">
        <v>72</v>
      </c>
      <c r="E1943" s="3" t="s">
        <v>154</v>
      </c>
      <c r="F1943" s="3"/>
    </row>
    <row r="1944" spans="1:6" x14ac:dyDescent="0.3">
      <c r="A1944" s="7" t="str">
        <f>BD_ControlRegimen[[#This Row],[FECHA]]&amp;BD_ControlRegimen[[#This Row],[NOMBRE]]</f>
        <v>45033GONZALES DELGADO ANGEL MARCIAL</v>
      </c>
      <c r="B1944" s="83">
        <f>WEEKNUM(BD_ControlRegimen[[#This Row],[FECHA]],2)</f>
        <v>17</v>
      </c>
      <c r="C1944" s="7">
        <v>45033</v>
      </c>
      <c r="D1944" s="3" t="s">
        <v>72</v>
      </c>
      <c r="E1944" s="3" t="s">
        <v>155</v>
      </c>
      <c r="F1944" s="3"/>
    </row>
    <row r="1945" spans="1:6" x14ac:dyDescent="0.3">
      <c r="A1945" s="7" t="str">
        <f>BD_ControlRegimen[[#This Row],[FECHA]]&amp;BD_ControlRegimen[[#This Row],[NOMBRE]]</f>
        <v>45034GONZALES DELGADO ANGEL MARCIAL</v>
      </c>
      <c r="B1945" s="83">
        <f>WEEKNUM(BD_ControlRegimen[[#This Row],[FECHA]],2)</f>
        <v>17</v>
      </c>
      <c r="C1945" s="7">
        <v>45034</v>
      </c>
      <c r="D1945" s="3" t="s">
        <v>72</v>
      </c>
      <c r="E1945" s="3" t="s">
        <v>155</v>
      </c>
      <c r="F1945" s="3"/>
    </row>
    <row r="1946" spans="1:6" x14ac:dyDescent="0.3">
      <c r="A1946" s="7" t="str">
        <f>BD_ControlRegimen[[#This Row],[FECHA]]&amp;BD_ControlRegimen[[#This Row],[NOMBRE]]</f>
        <v>45035GONZALES DELGADO ANGEL MARCIAL</v>
      </c>
      <c r="B1946" s="83">
        <f>WEEKNUM(BD_ControlRegimen[[#This Row],[FECHA]],2)</f>
        <v>17</v>
      </c>
      <c r="C1946" s="7">
        <v>45035</v>
      </c>
      <c r="D1946" s="3" t="s">
        <v>72</v>
      </c>
      <c r="E1946" s="3" t="s">
        <v>155</v>
      </c>
      <c r="F1946" s="3"/>
    </row>
    <row r="1947" spans="1:6" x14ac:dyDescent="0.3">
      <c r="A1947" s="7" t="str">
        <f>BD_ControlRegimen[[#This Row],[FECHA]]&amp;BD_ControlRegimen[[#This Row],[NOMBRE]]</f>
        <v>45036GONZALES DELGADO ANGEL MARCIAL</v>
      </c>
      <c r="B1947" s="83">
        <f>WEEKNUM(BD_ControlRegimen[[#This Row],[FECHA]],2)</f>
        <v>17</v>
      </c>
      <c r="C1947" s="7">
        <v>45036</v>
      </c>
      <c r="D1947" s="3" t="s">
        <v>72</v>
      </c>
      <c r="E1947" s="3" t="s">
        <v>155</v>
      </c>
      <c r="F1947" s="3"/>
    </row>
    <row r="1948" spans="1:6" x14ac:dyDescent="0.3">
      <c r="A1948" s="7" t="str">
        <f>BD_ControlRegimen[[#This Row],[FECHA]]&amp;BD_ControlRegimen[[#This Row],[NOMBRE]]</f>
        <v>45037GONZALES DELGADO ANGEL MARCIAL</v>
      </c>
      <c r="B1948" s="83">
        <f>WEEKNUM(BD_ControlRegimen[[#This Row],[FECHA]],2)</f>
        <v>17</v>
      </c>
      <c r="C1948" s="7">
        <v>45037</v>
      </c>
      <c r="D1948" s="3" t="s">
        <v>72</v>
      </c>
      <c r="E1948" s="3" t="s">
        <v>155</v>
      </c>
      <c r="F1948" s="3"/>
    </row>
    <row r="1949" spans="1:6" x14ac:dyDescent="0.3">
      <c r="A1949" s="7" t="str">
        <f>BD_ControlRegimen[[#This Row],[FECHA]]&amp;BD_ControlRegimen[[#This Row],[NOMBRE]]</f>
        <v>45038GONZALES DELGADO ANGEL MARCIAL</v>
      </c>
      <c r="B1949" s="83">
        <f>WEEKNUM(BD_ControlRegimen[[#This Row],[FECHA]],2)</f>
        <v>17</v>
      </c>
      <c r="C1949" s="7">
        <v>45038</v>
      </c>
      <c r="D1949" s="3" t="s">
        <v>72</v>
      </c>
      <c r="E1949" s="3" t="s">
        <v>155</v>
      </c>
      <c r="F1949" s="3"/>
    </row>
    <row r="1950" spans="1:6" x14ac:dyDescent="0.3">
      <c r="A1950" s="7" t="str">
        <f>BD_ControlRegimen[[#This Row],[FECHA]]&amp;BD_ControlRegimen[[#This Row],[NOMBRE]]</f>
        <v>45039GONZALES DELGADO ANGEL MARCIAL</v>
      </c>
      <c r="B1950" s="83">
        <f>WEEKNUM(BD_ControlRegimen[[#This Row],[FECHA]],2)</f>
        <v>17</v>
      </c>
      <c r="C1950" s="7">
        <v>45039</v>
      </c>
      <c r="D1950" s="3" t="s">
        <v>72</v>
      </c>
      <c r="E1950" s="3" t="s">
        <v>155</v>
      </c>
      <c r="F1950" s="3"/>
    </row>
    <row r="1951" spans="1:6" x14ac:dyDescent="0.3">
      <c r="A1951" s="7" t="str">
        <f>BD_ControlRegimen[[#This Row],[FECHA]]&amp;BD_ControlRegimen[[#This Row],[NOMBRE]]</f>
        <v>45040GONZALES DELGADO ANGEL MARCIAL</v>
      </c>
      <c r="B1951" s="83">
        <f>WEEKNUM(BD_ControlRegimen[[#This Row],[FECHA]],2)</f>
        <v>18</v>
      </c>
      <c r="C1951" s="7">
        <v>45040</v>
      </c>
      <c r="D1951" s="3" t="s">
        <v>72</v>
      </c>
      <c r="E1951" s="3" t="s">
        <v>154</v>
      </c>
      <c r="F1951" s="3"/>
    </row>
    <row r="1952" spans="1:6" x14ac:dyDescent="0.3">
      <c r="A1952" s="7" t="str">
        <f>BD_ControlRegimen[[#This Row],[FECHA]]&amp;BD_ControlRegimen[[#This Row],[NOMBRE]]</f>
        <v>45041GONZALES DELGADO ANGEL MARCIAL</v>
      </c>
      <c r="B1952" s="83">
        <f>WEEKNUM(BD_ControlRegimen[[#This Row],[FECHA]],2)</f>
        <v>18</v>
      </c>
      <c r="C1952" s="7">
        <v>45041</v>
      </c>
      <c r="D1952" s="3" t="s">
        <v>72</v>
      </c>
      <c r="E1952" s="3" t="s">
        <v>154</v>
      </c>
      <c r="F1952" s="3"/>
    </row>
    <row r="1953" spans="1:6" x14ac:dyDescent="0.3">
      <c r="A1953" s="7" t="str">
        <f>BD_ControlRegimen[[#This Row],[FECHA]]&amp;BD_ControlRegimen[[#This Row],[NOMBRE]]</f>
        <v>45042GONZALES DELGADO ANGEL MARCIAL</v>
      </c>
      <c r="B1953" s="83">
        <f>WEEKNUM(BD_ControlRegimen[[#This Row],[FECHA]],2)</f>
        <v>18</v>
      </c>
      <c r="C1953" s="7">
        <v>45042</v>
      </c>
      <c r="D1953" s="3" t="s">
        <v>72</v>
      </c>
      <c r="E1953" s="3" t="s">
        <v>154</v>
      </c>
      <c r="F1953" s="3"/>
    </row>
    <row r="1954" spans="1:6" x14ac:dyDescent="0.3">
      <c r="A1954" s="7" t="str">
        <f>BD_ControlRegimen[[#This Row],[FECHA]]&amp;BD_ControlRegimen[[#This Row],[NOMBRE]]</f>
        <v>45043GONZALES DELGADO ANGEL MARCIAL</v>
      </c>
      <c r="B1954" s="83">
        <f>WEEKNUM(BD_ControlRegimen[[#This Row],[FECHA]],2)</f>
        <v>18</v>
      </c>
      <c r="C1954" s="7">
        <v>45043</v>
      </c>
      <c r="D1954" s="3" t="s">
        <v>72</v>
      </c>
      <c r="E1954" s="3" t="s">
        <v>154</v>
      </c>
      <c r="F1954" s="3"/>
    </row>
    <row r="1955" spans="1:6" x14ac:dyDescent="0.3">
      <c r="A1955" s="7" t="str">
        <f>BD_ControlRegimen[[#This Row],[FECHA]]&amp;BD_ControlRegimen[[#This Row],[NOMBRE]]</f>
        <v>45044GONZALES DELGADO ANGEL MARCIAL</v>
      </c>
      <c r="B1955" s="83">
        <f>WEEKNUM(BD_ControlRegimen[[#This Row],[FECHA]],2)</f>
        <v>18</v>
      </c>
      <c r="C1955" s="7">
        <v>45044</v>
      </c>
      <c r="D1955" s="3" t="s">
        <v>72</v>
      </c>
      <c r="E1955" s="3" t="s">
        <v>154</v>
      </c>
      <c r="F1955" s="3"/>
    </row>
    <row r="1956" spans="1:6" x14ac:dyDescent="0.3">
      <c r="A1956" s="7" t="str">
        <f>BD_ControlRegimen[[#This Row],[FECHA]]&amp;BD_ControlRegimen[[#This Row],[NOMBRE]]</f>
        <v>45045GONZALES DELGADO ANGEL MARCIAL</v>
      </c>
      <c r="B1956" s="83">
        <f>WEEKNUM(BD_ControlRegimen[[#This Row],[FECHA]],2)</f>
        <v>18</v>
      </c>
      <c r="C1956" s="7">
        <v>45045</v>
      </c>
      <c r="D1956" s="3" t="s">
        <v>72</v>
      </c>
      <c r="E1956" s="3" t="s">
        <v>154</v>
      </c>
      <c r="F1956" s="3"/>
    </row>
    <row r="1957" spans="1:6" x14ac:dyDescent="0.3">
      <c r="A1957" s="7" t="str">
        <f>BD_ControlRegimen[[#This Row],[FECHA]]&amp;BD_ControlRegimen[[#This Row],[NOMBRE]]</f>
        <v>45046GONZALES DELGADO ANGEL MARCIAL</v>
      </c>
      <c r="B1957" s="83">
        <f>WEEKNUM(BD_ControlRegimen[[#This Row],[FECHA]],2)</f>
        <v>18</v>
      </c>
      <c r="C1957" s="7">
        <v>45046</v>
      </c>
      <c r="D1957" s="3" t="s">
        <v>72</v>
      </c>
      <c r="E1957" s="3" t="s">
        <v>154</v>
      </c>
      <c r="F1957" s="3"/>
    </row>
    <row r="1958" spans="1:6" x14ac:dyDescent="0.3">
      <c r="A1958" s="7" t="str">
        <f>BD_ControlRegimen[[#This Row],[FECHA]]&amp;BD_ControlRegimen[[#This Row],[NOMBRE]]</f>
        <v>45047GONZALES DELGADO ANGEL MARCIAL</v>
      </c>
      <c r="B1958" s="83">
        <f>WEEKNUM(BD_ControlRegimen[[#This Row],[FECHA]],2)</f>
        <v>19</v>
      </c>
      <c r="C1958" s="7">
        <v>45047</v>
      </c>
      <c r="D1958" s="3" t="s">
        <v>72</v>
      </c>
      <c r="E1958" s="3" t="s">
        <v>154</v>
      </c>
      <c r="F1958" s="3"/>
    </row>
    <row r="1959" spans="1:6" x14ac:dyDescent="0.3">
      <c r="A1959" s="7" t="str">
        <f>BD_ControlRegimen[[#This Row],[FECHA]]&amp;BD_ControlRegimen[[#This Row],[NOMBRE]]</f>
        <v>45048GONZALES DELGADO ANGEL MARCIAL</v>
      </c>
      <c r="B1959" s="83">
        <f>WEEKNUM(BD_ControlRegimen[[#This Row],[FECHA]],2)</f>
        <v>19</v>
      </c>
      <c r="C1959" s="7">
        <v>45048</v>
      </c>
      <c r="D1959" s="3" t="s">
        <v>72</v>
      </c>
      <c r="E1959" s="3" t="s">
        <v>154</v>
      </c>
      <c r="F1959" s="3"/>
    </row>
    <row r="1960" spans="1:6" x14ac:dyDescent="0.3">
      <c r="A1960" s="7" t="str">
        <f>BD_ControlRegimen[[#This Row],[FECHA]]&amp;BD_ControlRegimen[[#This Row],[NOMBRE]]</f>
        <v>45049GONZALES DELGADO ANGEL MARCIAL</v>
      </c>
      <c r="B1960" s="83">
        <f>WEEKNUM(BD_ControlRegimen[[#This Row],[FECHA]],2)</f>
        <v>19</v>
      </c>
      <c r="C1960" s="7">
        <v>45049</v>
      </c>
      <c r="D1960" s="3" t="s">
        <v>72</v>
      </c>
      <c r="E1960" s="3" t="s">
        <v>154</v>
      </c>
      <c r="F1960" s="3"/>
    </row>
    <row r="1961" spans="1:6" x14ac:dyDescent="0.3">
      <c r="A1961" s="7" t="str">
        <f>BD_ControlRegimen[[#This Row],[FECHA]]&amp;BD_ControlRegimen[[#This Row],[NOMBRE]]</f>
        <v>45050GONZALES DELGADO ANGEL MARCIAL</v>
      </c>
      <c r="B1961" s="83">
        <f>WEEKNUM(BD_ControlRegimen[[#This Row],[FECHA]],2)</f>
        <v>19</v>
      </c>
      <c r="C1961" s="7">
        <v>45050</v>
      </c>
      <c r="D1961" s="3" t="s">
        <v>72</v>
      </c>
      <c r="E1961" s="3" t="s">
        <v>154</v>
      </c>
      <c r="F1961" s="3"/>
    </row>
    <row r="1962" spans="1:6" x14ac:dyDescent="0.3">
      <c r="A1962" s="7" t="str">
        <f>BD_ControlRegimen[[#This Row],[FECHA]]&amp;BD_ControlRegimen[[#This Row],[NOMBRE]]</f>
        <v>45051GONZALES DELGADO ANGEL MARCIAL</v>
      </c>
      <c r="B1962" s="83">
        <f>WEEKNUM(BD_ControlRegimen[[#This Row],[FECHA]],2)</f>
        <v>19</v>
      </c>
      <c r="C1962" s="7">
        <v>45051</v>
      </c>
      <c r="D1962" s="3" t="s">
        <v>72</v>
      </c>
      <c r="E1962" s="3" t="s">
        <v>154</v>
      </c>
      <c r="F1962" s="3"/>
    </row>
    <row r="1963" spans="1:6" x14ac:dyDescent="0.3">
      <c r="A1963" s="7" t="str">
        <f>BD_ControlRegimen[[#This Row],[FECHA]]&amp;BD_ControlRegimen[[#This Row],[NOMBRE]]</f>
        <v>45052GONZALES DELGADO ANGEL MARCIAL</v>
      </c>
      <c r="B1963" s="83">
        <f>WEEKNUM(BD_ControlRegimen[[#This Row],[FECHA]],2)</f>
        <v>19</v>
      </c>
      <c r="C1963" s="7">
        <v>45052</v>
      </c>
      <c r="D1963" s="3" t="s">
        <v>72</v>
      </c>
      <c r="E1963" s="3" t="s">
        <v>154</v>
      </c>
      <c r="F1963" s="3"/>
    </row>
    <row r="1964" spans="1:6" x14ac:dyDescent="0.3">
      <c r="A1964" s="7" t="str">
        <f>BD_ControlRegimen[[#This Row],[FECHA]]&amp;BD_ControlRegimen[[#This Row],[NOMBRE]]</f>
        <v>45053GONZALES DELGADO ANGEL MARCIAL</v>
      </c>
      <c r="B1964" s="83">
        <f>WEEKNUM(BD_ControlRegimen[[#This Row],[FECHA]],2)</f>
        <v>19</v>
      </c>
      <c r="C1964" s="7">
        <v>45053</v>
      </c>
      <c r="D1964" s="3" t="s">
        <v>72</v>
      </c>
      <c r="E1964" s="3" t="s">
        <v>154</v>
      </c>
      <c r="F1964" s="3"/>
    </row>
    <row r="1965" spans="1:6" x14ac:dyDescent="0.3">
      <c r="A1965" s="7" t="str">
        <f>BD_ControlRegimen[[#This Row],[FECHA]]&amp;BD_ControlRegimen[[#This Row],[NOMBRE]]</f>
        <v>45054GONZALES DELGADO ANGEL MARCIAL</v>
      </c>
      <c r="B1965" s="83">
        <f>WEEKNUM(BD_ControlRegimen[[#This Row],[FECHA]],2)</f>
        <v>20</v>
      </c>
      <c r="C1965" s="7">
        <v>45054</v>
      </c>
      <c r="D1965" s="3" t="s">
        <v>72</v>
      </c>
      <c r="E1965" s="3" t="s">
        <v>154</v>
      </c>
      <c r="F1965" s="3"/>
    </row>
    <row r="1966" spans="1:6" x14ac:dyDescent="0.3">
      <c r="A1966" s="7" t="str">
        <f>BD_ControlRegimen[[#This Row],[FECHA]]&amp;BD_ControlRegimen[[#This Row],[NOMBRE]]</f>
        <v>45055GONZALES DELGADO ANGEL MARCIAL</v>
      </c>
      <c r="B1966" s="83">
        <f>WEEKNUM(BD_ControlRegimen[[#This Row],[FECHA]],2)</f>
        <v>20</v>
      </c>
      <c r="C1966" s="7">
        <v>45055</v>
      </c>
      <c r="D1966" s="3" t="s">
        <v>72</v>
      </c>
      <c r="E1966" s="3" t="s">
        <v>154</v>
      </c>
      <c r="F1966" s="3"/>
    </row>
    <row r="1967" spans="1:6" x14ac:dyDescent="0.3">
      <c r="A1967" s="7" t="str">
        <f>BD_ControlRegimen[[#This Row],[FECHA]]&amp;BD_ControlRegimen[[#This Row],[NOMBRE]]</f>
        <v>45056GONZALES DELGADO ANGEL MARCIAL</v>
      </c>
      <c r="B1967" s="83">
        <f>WEEKNUM(BD_ControlRegimen[[#This Row],[FECHA]],2)</f>
        <v>20</v>
      </c>
      <c r="C1967" s="7">
        <v>45056</v>
      </c>
      <c r="D1967" s="3" t="s">
        <v>72</v>
      </c>
      <c r="E1967" s="3" t="s">
        <v>154</v>
      </c>
      <c r="F1967" s="3"/>
    </row>
    <row r="1968" spans="1:6" x14ac:dyDescent="0.3">
      <c r="A1968" s="7" t="str">
        <f>BD_ControlRegimen[[#This Row],[FECHA]]&amp;BD_ControlRegimen[[#This Row],[NOMBRE]]</f>
        <v>45057GONZALES DELGADO ANGEL MARCIAL</v>
      </c>
      <c r="B1968" s="83">
        <f>WEEKNUM(BD_ControlRegimen[[#This Row],[FECHA]],2)</f>
        <v>20</v>
      </c>
      <c r="C1968" s="7">
        <v>45057</v>
      </c>
      <c r="D1968" s="3" t="s">
        <v>72</v>
      </c>
      <c r="E1968" s="3" t="s">
        <v>154</v>
      </c>
      <c r="F1968" s="3"/>
    </row>
    <row r="1969" spans="1:6" x14ac:dyDescent="0.3">
      <c r="A1969" s="7" t="str">
        <f>BD_ControlRegimen[[#This Row],[FECHA]]&amp;BD_ControlRegimen[[#This Row],[NOMBRE]]</f>
        <v>45058GONZALES DELGADO ANGEL MARCIAL</v>
      </c>
      <c r="B1969" s="83">
        <f>WEEKNUM(BD_ControlRegimen[[#This Row],[FECHA]],2)</f>
        <v>20</v>
      </c>
      <c r="C1969" s="7">
        <v>45058</v>
      </c>
      <c r="D1969" s="3" t="s">
        <v>72</v>
      </c>
      <c r="E1969" s="3" t="s">
        <v>154</v>
      </c>
      <c r="F1969" s="3"/>
    </row>
    <row r="1970" spans="1:6" x14ac:dyDescent="0.3">
      <c r="A1970" s="7" t="str">
        <f>BD_ControlRegimen[[#This Row],[FECHA]]&amp;BD_ControlRegimen[[#This Row],[NOMBRE]]</f>
        <v>45059GONZALES DELGADO ANGEL MARCIAL</v>
      </c>
      <c r="B1970" s="83">
        <f>WEEKNUM(BD_ControlRegimen[[#This Row],[FECHA]],2)</f>
        <v>20</v>
      </c>
      <c r="C1970" s="7">
        <v>45059</v>
      </c>
      <c r="D1970" s="3" t="s">
        <v>72</v>
      </c>
      <c r="E1970" s="3" t="s">
        <v>154</v>
      </c>
      <c r="F1970" s="3"/>
    </row>
    <row r="1971" spans="1:6" x14ac:dyDescent="0.3">
      <c r="A1971" s="7" t="str">
        <f>BD_ControlRegimen[[#This Row],[FECHA]]&amp;BD_ControlRegimen[[#This Row],[NOMBRE]]</f>
        <v>45060GONZALES DELGADO ANGEL MARCIAL</v>
      </c>
      <c r="B1971" s="83">
        <f>WEEKNUM(BD_ControlRegimen[[#This Row],[FECHA]],2)</f>
        <v>20</v>
      </c>
      <c r="C1971" s="7">
        <v>45060</v>
      </c>
      <c r="D1971" s="3" t="s">
        <v>72</v>
      </c>
      <c r="E1971" s="3" t="s">
        <v>154</v>
      </c>
      <c r="F1971" s="3"/>
    </row>
    <row r="1972" spans="1:6" x14ac:dyDescent="0.3">
      <c r="A1972" s="7" t="str">
        <f>BD_ControlRegimen[[#This Row],[FECHA]]&amp;BD_ControlRegimen[[#This Row],[NOMBRE]]</f>
        <v>45061GONZALES DELGADO ANGEL MARCIAL</v>
      </c>
      <c r="B1972" s="83">
        <f>WEEKNUM(BD_ControlRegimen[[#This Row],[FECHA]],2)</f>
        <v>21</v>
      </c>
      <c r="C1972" s="7">
        <v>45061</v>
      </c>
      <c r="D1972" s="3" t="s">
        <v>72</v>
      </c>
      <c r="E1972" s="3" t="s">
        <v>155</v>
      </c>
      <c r="F1972" s="3"/>
    </row>
    <row r="1973" spans="1:6" x14ac:dyDescent="0.3">
      <c r="A1973" s="7" t="str">
        <f>BD_ControlRegimen[[#This Row],[FECHA]]&amp;BD_ControlRegimen[[#This Row],[NOMBRE]]</f>
        <v>45062GONZALES DELGADO ANGEL MARCIAL</v>
      </c>
      <c r="B1973" s="83">
        <f>WEEKNUM(BD_ControlRegimen[[#This Row],[FECHA]],2)</f>
        <v>21</v>
      </c>
      <c r="C1973" s="7">
        <v>45062</v>
      </c>
      <c r="D1973" s="3" t="s">
        <v>72</v>
      </c>
      <c r="E1973" s="3" t="s">
        <v>155</v>
      </c>
      <c r="F1973" s="3"/>
    </row>
    <row r="1974" spans="1:6" x14ac:dyDescent="0.3">
      <c r="A1974" s="7" t="str">
        <f>BD_ControlRegimen[[#This Row],[FECHA]]&amp;BD_ControlRegimen[[#This Row],[NOMBRE]]</f>
        <v>45063GONZALES DELGADO ANGEL MARCIAL</v>
      </c>
      <c r="B1974" s="83">
        <f>WEEKNUM(BD_ControlRegimen[[#This Row],[FECHA]],2)</f>
        <v>21</v>
      </c>
      <c r="C1974" s="7">
        <v>45063</v>
      </c>
      <c r="D1974" s="3" t="s">
        <v>72</v>
      </c>
      <c r="E1974" s="3" t="s">
        <v>155</v>
      </c>
      <c r="F1974" s="3"/>
    </row>
    <row r="1975" spans="1:6" x14ac:dyDescent="0.3">
      <c r="A1975" s="7" t="str">
        <f>BD_ControlRegimen[[#This Row],[FECHA]]&amp;BD_ControlRegimen[[#This Row],[NOMBRE]]</f>
        <v>45064GONZALES DELGADO ANGEL MARCIAL</v>
      </c>
      <c r="B1975" s="83">
        <f>WEEKNUM(BD_ControlRegimen[[#This Row],[FECHA]],2)</f>
        <v>21</v>
      </c>
      <c r="C1975" s="7">
        <v>45064</v>
      </c>
      <c r="D1975" s="3" t="s">
        <v>72</v>
      </c>
      <c r="E1975" s="3" t="s">
        <v>155</v>
      </c>
      <c r="F1975" s="3"/>
    </row>
    <row r="1976" spans="1:6" x14ac:dyDescent="0.3">
      <c r="A1976" s="7" t="str">
        <f>BD_ControlRegimen[[#This Row],[FECHA]]&amp;BD_ControlRegimen[[#This Row],[NOMBRE]]</f>
        <v>45065GONZALES DELGADO ANGEL MARCIAL</v>
      </c>
      <c r="B1976" s="83">
        <f>WEEKNUM(BD_ControlRegimen[[#This Row],[FECHA]],2)</f>
        <v>21</v>
      </c>
      <c r="C1976" s="7">
        <v>45065</v>
      </c>
      <c r="D1976" s="3" t="s">
        <v>72</v>
      </c>
      <c r="E1976" s="3" t="s">
        <v>155</v>
      </c>
      <c r="F1976" s="3"/>
    </row>
    <row r="1977" spans="1:6" x14ac:dyDescent="0.3">
      <c r="A1977" s="7" t="str">
        <f>BD_ControlRegimen[[#This Row],[FECHA]]&amp;BD_ControlRegimen[[#This Row],[NOMBRE]]</f>
        <v>45066GONZALES DELGADO ANGEL MARCIAL</v>
      </c>
      <c r="B1977" s="83">
        <f>WEEKNUM(BD_ControlRegimen[[#This Row],[FECHA]],2)</f>
        <v>21</v>
      </c>
      <c r="C1977" s="7">
        <v>45066</v>
      </c>
      <c r="D1977" s="3" t="s">
        <v>72</v>
      </c>
      <c r="E1977" s="3" t="s">
        <v>155</v>
      </c>
      <c r="F1977" s="3"/>
    </row>
    <row r="1978" spans="1:6" x14ac:dyDescent="0.3">
      <c r="A1978" s="7" t="str">
        <f>BD_ControlRegimen[[#This Row],[FECHA]]&amp;BD_ControlRegimen[[#This Row],[NOMBRE]]</f>
        <v>45067GONZALES DELGADO ANGEL MARCIAL</v>
      </c>
      <c r="B1978" s="83">
        <f>WEEKNUM(BD_ControlRegimen[[#This Row],[FECHA]],2)</f>
        <v>21</v>
      </c>
      <c r="C1978" s="7">
        <v>45067</v>
      </c>
      <c r="D1978" s="3" t="s">
        <v>72</v>
      </c>
      <c r="E1978" s="3" t="s">
        <v>155</v>
      </c>
      <c r="F1978" s="3"/>
    </row>
    <row r="1979" spans="1:6" hidden="1" x14ac:dyDescent="0.3">
      <c r="A1979" s="7" t="str">
        <f>BD_ControlRegimen[[#This Row],[FECHA]]&amp;BD_ControlRegimen[[#This Row],[NOMBRE]]</f>
        <v>45068GONZALES DELGADO ANGEL MARCIAL</v>
      </c>
      <c r="B1979" s="83">
        <f>WEEKNUM(BD_ControlRegimen[[#This Row],[FECHA]],2)</f>
        <v>22</v>
      </c>
      <c r="C1979" s="7">
        <v>45068</v>
      </c>
      <c r="D1979" s="3" t="s">
        <v>72</v>
      </c>
      <c r="E1979" s="3"/>
      <c r="F1979" s="3"/>
    </row>
    <row r="1980" spans="1:6" hidden="1" x14ac:dyDescent="0.3">
      <c r="A1980" s="7" t="str">
        <f>BD_ControlRegimen[[#This Row],[FECHA]]&amp;BD_ControlRegimen[[#This Row],[NOMBRE]]</f>
        <v>45069GONZALES DELGADO ANGEL MARCIAL</v>
      </c>
      <c r="B1980" s="83">
        <f>WEEKNUM(BD_ControlRegimen[[#This Row],[FECHA]],2)</f>
        <v>22</v>
      </c>
      <c r="C1980" s="7">
        <v>45069</v>
      </c>
      <c r="D1980" s="3" t="s">
        <v>72</v>
      </c>
      <c r="E1980" s="3"/>
      <c r="F1980" s="3"/>
    </row>
    <row r="1981" spans="1:6" hidden="1" x14ac:dyDescent="0.3">
      <c r="A1981" s="7" t="str">
        <f>BD_ControlRegimen[[#This Row],[FECHA]]&amp;BD_ControlRegimen[[#This Row],[NOMBRE]]</f>
        <v>45070GONZALES DELGADO ANGEL MARCIAL</v>
      </c>
      <c r="B1981" s="83">
        <f>WEEKNUM(BD_ControlRegimen[[#This Row],[FECHA]],2)</f>
        <v>22</v>
      </c>
      <c r="C1981" s="7">
        <v>45070</v>
      </c>
      <c r="D1981" s="3" t="s">
        <v>72</v>
      </c>
      <c r="E1981" s="3"/>
      <c r="F1981" s="3"/>
    </row>
    <row r="1982" spans="1:6" hidden="1" x14ac:dyDescent="0.3">
      <c r="A1982" s="7" t="str">
        <f>BD_ControlRegimen[[#This Row],[FECHA]]&amp;BD_ControlRegimen[[#This Row],[NOMBRE]]</f>
        <v>45071GONZALES DELGADO ANGEL MARCIAL</v>
      </c>
      <c r="B1982" s="83">
        <f>WEEKNUM(BD_ControlRegimen[[#This Row],[FECHA]],2)</f>
        <v>22</v>
      </c>
      <c r="C1982" s="7">
        <v>45071</v>
      </c>
      <c r="D1982" s="3" t="s">
        <v>72</v>
      </c>
      <c r="E1982" s="3"/>
      <c r="F1982" s="3"/>
    </row>
    <row r="1983" spans="1:6" hidden="1" x14ac:dyDescent="0.3">
      <c r="A1983" s="7" t="str">
        <f>BD_ControlRegimen[[#This Row],[FECHA]]&amp;BD_ControlRegimen[[#This Row],[NOMBRE]]</f>
        <v>45072GONZALES DELGADO ANGEL MARCIAL</v>
      </c>
      <c r="B1983" s="83">
        <f>WEEKNUM(BD_ControlRegimen[[#This Row],[FECHA]],2)</f>
        <v>22</v>
      </c>
      <c r="C1983" s="7">
        <v>45072</v>
      </c>
      <c r="D1983" s="3" t="s">
        <v>72</v>
      </c>
      <c r="E1983" s="3"/>
      <c r="F1983" s="3"/>
    </row>
    <row r="1984" spans="1:6" hidden="1" x14ac:dyDescent="0.3">
      <c r="A1984" s="7" t="str">
        <f>BD_ControlRegimen[[#This Row],[FECHA]]&amp;BD_ControlRegimen[[#This Row],[NOMBRE]]</f>
        <v>45073GONZALES DELGADO ANGEL MARCIAL</v>
      </c>
      <c r="B1984" s="83">
        <f>WEEKNUM(BD_ControlRegimen[[#This Row],[FECHA]],2)</f>
        <v>22</v>
      </c>
      <c r="C1984" s="7">
        <v>45073</v>
      </c>
      <c r="D1984" s="3" t="s">
        <v>72</v>
      </c>
      <c r="E1984" s="3"/>
      <c r="F1984" s="3"/>
    </row>
    <row r="1985" spans="1:6" hidden="1" x14ac:dyDescent="0.3">
      <c r="A1985" s="7" t="str">
        <f>BD_ControlRegimen[[#This Row],[FECHA]]&amp;BD_ControlRegimen[[#This Row],[NOMBRE]]</f>
        <v>45074GONZALES DELGADO ANGEL MARCIAL</v>
      </c>
      <c r="B1985" s="83">
        <f>WEEKNUM(BD_ControlRegimen[[#This Row],[FECHA]],2)</f>
        <v>22</v>
      </c>
      <c r="C1985" s="7">
        <v>45074</v>
      </c>
      <c r="D1985" s="3" t="s">
        <v>72</v>
      </c>
      <c r="E1985" s="3"/>
      <c r="F1985" s="3"/>
    </row>
    <row r="1986" spans="1:6" hidden="1" x14ac:dyDescent="0.3">
      <c r="A1986" s="7" t="str">
        <f>BD_ControlRegimen[[#This Row],[FECHA]]&amp;BD_ControlRegimen[[#This Row],[NOMBRE]]</f>
        <v>45075GONZALES DELGADO ANGEL MARCIAL</v>
      </c>
      <c r="B1986" s="83">
        <f>WEEKNUM(BD_ControlRegimen[[#This Row],[FECHA]],2)</f>
        <v>23</v>
      </c>
      <c r="C1986" s="7">
        <v>45075</v>
      </c>
      <c r="D1986" s="3" t="s">
        <v>72</v>
      </c>
      <c r="E1986" s="3"/>
      <c r="F1986" s="3"/>
    </row>
    <row r="1987" spans="1:6" hidden="1" x14ac:dyDescent="0.3">
      <c r="A1987" s="7" t="str">
        <f>BD_ControlRegimen[[#This Row],[FECHA]]&amp;BD_ControlRegimen[[#This Row],[NOMBRE]]</f>
        <v>45076GONZALES DELGADO ANGEL MARCIAL</v>
      </c>
      <c r="B1987" s="83">
        <f>WEEKNUM(BD_ControlRegimen[[#This Row],[FECHA]],2)</f>
        <v>23</v>
      </c>
      <c r="C1987" s="7">
        <v>45076</v>
      </c>
      <c r="D1987" s="3" t="s">
        <v>72</v>
      </c>
      <c r="E1987" s="3"/>
      <c r="F1987" s="3"/>
    </row>
    <row r="1988" spans="1:6" hidden="1" x14ac:dyDescent="0.3">
      <c r="A1988" s="7" t="str">
        <f>BD_ControlRegimen[[#This Row],[FECHA]]&amp;BD_ControlRegimen[[#This Row],[NOMBRE]]</f>
        <v>45077GONZALES DELGADO ANGEL MARCIAL</v>
      </c>
      <c r="B1988" s="83">
        <f>WEEKNUM(BD_ControlRegimen[[#This Row],[FECHA]],2)</f>
        <v>23</v>
      </c>
      <c r="C1988" s="7">
        <v>45077</v>
      </c>
      <c r="D1988" s="3" t="s">
        <v>72</v>
      </c>
      <c r="E1988" s="3"/>
      <c r="F1988" s="3"/>
    </row>
    <row r="1989" spans="1:6" hidden="1" x14ac:dyDescent="0.3">
      <c r="A1989" s="7" t="str">
        <f>BD_ControlRegimen[[#This Row],[FECHA]]&amp;BD_ControlRegimen[[#This Row],[NOMBRE]]</f>
        <v>45078GONZALES DELGADO ANGEL MARCIAL</v>
      </c>
      <c r="B1989" s="83">
        <f>WEEKNUM(BD_ControlRegimen[[#This Row],[FECHA]],2)</f>
        <v>23</v>
      </c>
      <c r="C1989" s="7">
        <v>45078</v>
      </c>
      <c r="D1989" s="3" t="s">
        <v>72</v>
      </c>
      <c r="E1989" s="3"/>
      <c r="F1989" s="3"/>
    </row>
    <row r="1990" spans="1:6" hidden="1" x14ac:dyDescent="0.3">
      <c r="A1990" s="7" t="str">
        <f>BD_ControlRegimen[[#This Row],[FECHA]]&amp;BD_ControlRegimen[[#This Row],[NOMBRE]]</f>
        <v>45079GONZALES DELGADO ANGEL MARCIAL</v>
      </c>
      <c r="B1990" s="83">
        <f>WEEKNUM(BD_ControlRegimen[[#This Row],[FECHA]],2)</f>
        <v>23</v>
      </c>
      <c r="C1990" s="7">
        <v>45079</v>
      </c>
      <c r="D1990" s="3" t="s">
        <v>72</v>
      </c>
      <c r="E1990" s="3"/>
      <c r="F1990" s="3"/>
    </row>
    <row r="1991" spans="1:6" hidden="1" x14ac:dyDescent="0.3">
      <c r="A1991" s="7" t="str">
        <f>BD_ControlRegimen[[#This Row],[FECHA]]&amp;BD_ControlRegimen[[#This Row],[NOMBRE]]</f>
        <v>45080GONZALES DELGADO ANGEL MARCIAL</v>
      </c>
      <c r="B1991" s="83">
        <f>WEEKNUM(BD_ControlRegimen[[#This Row],[FECHA]],2)</f>
        <v>23</v>
      </c>
      <c r="C1991" s="7">
        <v>45080</v>
      </c>
      <c r="D1991" s="3" t="s">
        <v>72</v>
      </c>
      <c r="E1991" s="3"/>
      <c r="F1991" s="3"/>
    </row>
    <row r="1992" spans="1:6" hidden="1" x14ac:dyDescent="0.3">
      <c r="A1992" s="7" t="str">
        <f>BD_ControlRegimen[[#This Row],[FECHA]]&amp;BD_ControlRegimen[[#This Row],[NOMBRE]]</f>
        <v>45081GONZALES DELGADO ANGEL MARCIAL</v>
      </c>
      <c r="B1992" s="83">
        <f>WEEKNUM(BD_ControlRegimen[[#This Row],[FECHA]],2)</f>
        <v>23</v>
      </c>
      <c r="C1992" s="7">
        <v>45081</v>
      </c>
      <c r="D1992" s="3" t="s">
        <v>72</v>
      </c>
      <c r="E1992" s="3"/>
      <c r="F1992" s="3"/>
    </row>
    <row r="1993" spans="1:6" hidden="1" x14ac:dyDescent="0.3">
      <c r="A1993" s="7" t="str">
        <f>BD_ControlRegimen[[#This Row],[FECHA]]&amp;BD_ControlRegimen[[#This Row],[NOMBRE]]</f>
        <v>45082GONZALES DELGADO ANGEL MARCIAL</v>
      </c>
      <c r="B1993" s="83">
        <f>WEEKNUM(BD_ControlRegimen[[#This Row],[FECHA]],2)</f>
        <v>24</v>
      </c>
      <c r="C1993" s="7">
        <v>45082</v>
      </c>
      <c r="D1993" s="3" t="s">
        <v>72</v>
      </c>
      <c r="E1993" s="3"/>
      <c r="F1993" s="3"/>
    </row>
    <row r="1994" spans="1:6" hidden="1" x14ac:dyDescent="0.3">
      <c r="A1994" s="7" t="str">
        <f>BD_ControlRegimen[[#This Row],[FECHA]]&amp;BD_ControlRegimen[[#This Row],[NOMBRE]]</f>
        <v>45083GONZALES DELGADO ANGEL MARCIAL</v>
      </c>
      <c r="B1994" s="83">
        <f>WEEKNUM(BD_ControlRegimen[[#This Row],[FECHA]],2)</f>
        <v>24</v>
      </c>
      <c r="C1994" s="7">
        <v>45083</v>
      </c>
      <c r="D1994" s="3" t="s">
        <v>72</v>
      </c>
      <c r="E1994" s="3"/>
      <c r="F1994" s="3"/>
    </row>
    <row r="1995" spans="1:6" hidden="1" x14ac:dyDescent="0.3">
      <c r="A1995" s="7" t="str">
        <f>BD_ControlRegimen[[#This Row],[FECHA]]&amp;BD_ControlRegimen[[#This Row],[NOMBRE]]</f>
        <v>45084GONZALES DELGADO ANGEL MARCIAL</v>
      </c>
      <c r="B1995" s="83">
        <f>WEEKNUM(BD_ControlRegimen[[#This Row],[FECHA]],2)</f>
        <v>24</v>
      </c>
      <c r="C1995" s="7">
        <v>45084</v>
      </c>
      <c r="D1995" s="3" t="s">
        <v>72</v>
      </c>
      <c r="E1995" s="3"/>
      <c r="F1995" s="3"/>
    </row>
    <row r="1996" spans="1:6" hidden="1" x14ac:dyDescent="0.3">
      <c r="A1996" s="7" t="str">
        <f>BD_ControlRegimen[[#This Row],[FECHA]]&amp;BD_ControlRegimen[[#This Row],[NOMBRE]]</f>
        <v>45085GONZALES DELGADO ANGEL MARCIAL</v>
      </c>
      <c r="B1996" s="83">
        <f>WEEKNUM(BD_ControlRegimen[[#This Row],[FECHA]],2)</f>
        <v>24</v>
      </c>
      <c r="C1996" s="7">
        <v>45085</v>
      </c>
      <c r="D1996" s="3" t="s">
        <v>72</v>
      </c>
      <c r="E1996" s="3"/>
      <c r="F1996" s="3"/>
    </row>
    <row r="1997" spans="1:6" hidden="1" x14ac:dyDescent="0.3">
      <c r="A1997" s="7" t="str">
        <f>BD_ControlRegimen[[#This Row],[FECHA]]&amp;BD_ControlRegimen[[#This Row],[NOMBRE]]</f>
        <v>45086GONZALES DELGADO ANGEL MARCIAL</v>
      </c>
      <c r="B1997" s="83">
        <f>WEEKNUM(BD_ControlRegimen[[#This Row],[FECHA]],2)</f>
        <v>24</v>
      </c>
      <c r="C1997" s="7">
        <v>45086</v>
      </c>
      <c r="D1997" s="3" t="s">
        <v>72</v>
      </c>
      <c r="E1997" s="3"/>
      <c r="F1997" s="3"/>
    </row>
    <row r="1998" spans="1:6" hidden="1" x14ac:dyDescent="0.3">
      <c r="A1998" s="7" t="str">
        <f>BD_ControlRegimen[[#This Row],[FECHA]]&amp;BD_ControlRegimen[[#This Row],[NOMBRE]]</f>
        <v>45087GONZALES DELGADO ANGEL MARCIAL</v>
      </c>
      <c r="B1998" s="83">
        <f>WEEKNUM(BD_ControlRegimen[[#This Row],[FECHA]],2)</f>
        <v>24</v>
      </c>
      <c r="C1998" s="7">
        <v>45087</v>
      </c>
      <c r="D1998" s="3" t="s">
        <v>72</v>
      </c>
      <c r="E1998" s="3"/>
      <c r="F1998" s="3"/>
    </row>
    <row r="1999" spans="1:6" hidden="1" x14ac:dyDescent="0.3">
      <c r="A1999" s="7" t="str">
        <f>BD_ControlRegimen[[#This Row],[FECHA]]&amp;BD_ControlRegimen[[#This Row],[NOMBRE]]</f>
        <v>45088GONZALES DELGADO ANGEL MARCIAL</v>
      </c>
      <c r="B1999" s="83">
        <f>WEEKNUM(BD_ControlRegimen[[#This Row],[FECHA]],2)</f>
        <v>24</v>
      </c>
      <c r="C1999" s="7">
        <v>45088</v>
      </c>
      <c r="D1999" s="3" t="s">
        <v>72</v>
      </c>
      <c r="E1999" s="3"/>
      <c r="F1999" s="3"/>
    </row>
    <row r="2000" spans="1:6" hidden="1" x14ac:dyDescent="0.3">
      <c r="A2000" s="7" t="str">
        <f>BD_ControlRegimen[[#This Row],[FECHA]]&amp;BD_ControlRegimen[[#This Row],[NOMBRE]]</f>
        <v>45089GONZALES DELGADO ANGEL MARCIAL</v>
      </c>
      <c r="B2000" s="83">
        <f>WEEKNUM(BD_ControlRegimen[[#This Row],[FECHA]],2)</f>
        <v>25</v>
      </c>
      <c r="C2000" s="7">
        <v>45089</v>
      </c>
      <c r="D2000" s="3" t="s">
        <v>72</v>
      </c>
      <c r="E2000" s="3"/>
      <c r="F2000" s="3"/>
    </row>
    <row r="2001" spans="1:6" hidden="1" x14ac:dyDescent="0.3">
      <c r="A2001" s="7" t="str">
        <f>BD_ControlRegimen[[#This Row],[FECHA]]&amp;BD_ControlRegimen[[#This Row],[NOMBRE]]</f>
        <v>45090GONZALES DELGADO ANGEL MARCIAL</v>
      </c>
      <c r="B2001" s="83">
        <f>WEEKNUM(BD_ControlRegimen[[#This Row],[FECHA]],2)</f>
        <v>25</v>
      </c>
      <c r="C2001" s="7">
        <v>45090</v>
      </c>
      <c r="D2001" s="3" t="s">
        <v>72</v>
      </c>
      <c r="E2001" s="3"/>
      <c r="F2001" s="3"/>
    </row>
    <row r="2002" spans="1:6" hidden="1" x14ac:dyDescent="0.3">
      <c r="A2002" s="7" t="str">
        <f>BD_ControlRegimen[[#This Row],[FECHA]]&amp;BD_ControlRegimen[[#This Row],[NOMBRE]]</f>
        <v>45091GONZALES DELGADO ANGEL MARCIAL</v>
      </c>
      <c r="B2002" s="83">
        <f>WEEKNUM(BD_ControlRegimen[[#This Row],[FECHA]],2)</f>
        <v>25</v>
      </c>
      <c r="C2002" s="7">
        <v>45091</v>
      </c>
      <c r="D2002" s="3" t="s">
        <v>72</v>
      </c>
      <c r="E2002" s="3"/>
      <c r="F2002" s="3"/>
    </row>
    <row r="2003" spans="1:6" hidden="1" x14ac:dyDescent="0.3">
      <c r="A2003" s="7" t="str">
        <f>BD_ControlRegimen[[#This Row],[FECHA]]&amp;BD_ControlRegimen[[#This Row],[NOMBRE]]</f>
        <v>45092GONZALES DELGADO ANGEL MARCIAL</v>
      </c>
      <c r="B2003" s="83">
        <f>WEEKNUM(BD_ControlRegimen[[#This Row],[FECHA]],2)</f>
        <v>25</v>
      </c>
      <c r="C2003" s="7">
        <v>45092</v>
      </c>
      <c r="D2003" s="3" t="s">
        <v>72</v>
      </c>
      <c r="E2003" s="3"/>
      <c r="F2003" s="3"/>
    </row>
    <row r="2004" spans="1:6" hidden="1" x14ac:dyDescent="0.3">
      <c r="A2004" s="7" t="str">
        <f>BD_ControlRegimen[[#This Row],[FECHA]]&amp;BD_ControlRegimen[[#This Row],[NOMBRE]]</f>
        <v>45093GONZALES DELGADO ANGEL MARCIAL</v>
      </c>
      <c r="B2004" s="83">
        <f>WEEKNUM(BD_ControlRegimen[[#This Row],[FECHA]],2)</f>
        <v>25</v>
      </c>
      <c r="C2004" s="7">
        <v>45093</v>
      </c>
      <c r="D2004" s="3" t="s">
        <v>72</v>
      </c>
      <c r="E2004" s="3"/>
      <c r="F2004" s="3"/>
    </row>
    <row r="2005" spans="1:6" hidden="1" x14ac:dyDescent="0.3">
      <c r="A2005" s="7" t="str">
        <f>BD_ControlRegimen[[#This Row],[FECHA]]&amp;BD_ControlRegimen[[#This Row],[NOMBRE]]</f>
        <v>45094GONZALES DELGADO ANGEL MARCIAL</v>
      </c>
      <c r="B2005" s="83">
        <f>WEEKNUM(BD_ControlRegimen[[#This Row],[FECHA]],2)</f>
        <v>25</v>
      </c>
      <c r="C2005" s="7">
        <v>45094</v>
      </c>
      <c r="D2005" s="3" t="s">
        <v>72</v>
      </c>
      <c r="E2005" s="3"/>
      <c r="F2005" s="3"/>
    </row>
    <row r="2006" spans="1:6" hidden="1" x14ac:dyDescent="0.3">
      <c r="A2006" s="7" t="str">
        <f>BD_ControlRegimen[[#This Row],[FECHA]]&amp;BD_ControlRegimen[[#This Row],[NOMBRE]]</f>
        <v>45095GONZALES DELGADO ANGEL MARCIAL</v>
      </c>
      <c r="B2006" s="83">
        <f>WEEKNUM(BD_ControlRegimen[[#This Row],[FECHA]],2)</f>
        <v>25</v>
      </c>
      <c r="C2006" s="7">
        <v>45095</v>
      </c>
      <c r="D2006" s="3" t="s">
        <v>72</v>
      </c>
      <c r="E2006" s="3"/>
      <c r="F2006" s="3"/>
    </row>
    <row r="2007" spans="1:6" hidden="1" x14ac:dyDescent="0.3">
      <c r="A2007" s="7" t="str">
        <f>BD_ControlRegimen[[#This Row],[FECHA]]&amp;BD_ControlRegimen[[#This Row],[NOMBRE]]</f>
        <v>45096GONZALES DELGADO ANGEL MARCIAL</v>
      </c>
      <c r="B2007" s="83">
        <f>WEEKNUM(BD_ControlRegimen[[#This Row],[FECHA]],2)</f>
        <v>26</v>
      </c>
      <c r="C2007" s="7">
        <v>45096</v>
      </c>
      <c r="D2007" s="3" t="s">
        <v>72</v>
      </c>
      <c r="E2007" s="3"/>
      <c r="F2007" s="3"/>
    </row>
    <row r="2008" spans="1:6" hidden="1" x14ac:dyDescent="0.3">
      <c r="A2008" s="7" t="str">
        <f>BD_ControlRegimen[[#This Row],[FECHA]]&amp;BD_ControlRegimen[[#This Row],[NOMBRE]]</f>
        <v>45097GONZALES DELGADO ANGEL MARCIAL</v>
      </c>
      <c r="B2008" s="83">
        <f>WEEKNUM(BD_ControlRegimen[[#This Row],[FECHA]],2)</f>
        <v>26</v>
      </c>
      <c r="C2008" s="7">
        <v>45097</v>
      </c>
      <c r="D2008" s="3" t="s">
        <v>72</v>
      </c>
      <c r="E2008" s="3"/>
      <c r="F2008" s="3"/>
    </row>
    <row r="2009" spans="1:6" hidden="1" x14ac:dyDescent="0.3">
      <c r="A2009" s="7" t="str">
        <f>BD_ControlRegimen[[#This Row],[FECHA]]&amp;BD_ControlRegimen[[#This Row],[NOMBRE]]</f>
        <v>45098GONZALES DELGADO ANGEL MARCIAL</v>
      </c>
      <c r="B2009" s="83">
        <f>WEEKNUM(BD_ControlRegimen[[#This Row],[FECHA]],2)</f>
        <v>26</v>
      </c>
      <c r="C2009" s="7">
        <v>45098</v>
      </c>
      <c r="D2009" s="3" t="s">
        <v>72</v>
      </c>
      <c r="E2009" s="3"/>
      <c r="F2009" s="3"/>
    </row>
    <row r="2010" spans="1:6" hidden="1" x14ac:dyDescent="0.3">
      <c r="A2010" s="7" t="str">
        <f>BD_ControlRegimen[[#This Row],[FECHA]]&amp;BD_ControlRegimen[[#This Row],[NOMBRE]]</f>
        <v>45099GONZALES DELGADO ANGEL MARCIAL</v>
      </c>
      <c r="B2010" s="83">
        <f>WEEKNUM(BD_ControlRegimen[[#This Row],[FECHA]],2)</f>
        <v>26</v>
      </c>
      <c r="C2010" s="7">
        <v>45099</v>
      </c>
      <c r="D2010" s="3" t="s">
        <v>72</v>
      </c>
      <c r="E2010" s="3"/>
      <c r="F2010" s="3"/>
    </row>
    <row r="2011" spans="1:6" hidden="1" x14ac:dyDescent="0.3">
      <c r="A2011" s="7" t="str">
        <f>BD_ControlRegimen[[#This Row],[FECHA]]&amp;BD_ControlRegimen[[#This Row],[NOMBRE]]</f>
        <v>45100GONZALES DELGADO ANGEL MARCIAL</v>
      </c>
      <c r="B2011" s="83">
        <f>WEEKNUM(BD_ControlRegimen[[#This Row],[FECHA]],2)</f>
        <v>26</v>
      </c>
      <c r="C2011" s="7">
        <v>45100</v>
      </c>
      <c r="D2011" s="3" t="s">
        <v>72</v>
      </c>
      <c r="E2011" s="3"/>
      <c r="F2011" s="3"/>
    </row>
    <row r="2012" spans="1:6" hidden="1" x14ac:dyDescent="0.3">
      <c r="A2012" s="7" t="str">
        <f>BD_ControlRegimen[[#This Row],[FECHA]]&amp;BD_ControlRegimen[[#This Row],[NOMBRE]]</f>
        <v>45101GONZALES DELGADO ANGEL MARCIAL</v>
      </c>
      <c r="B2012" s="83">
        <f>WEEKNUM(BD_ControlRegimen[[#This Row],[FECHA]],2)</f>
        <v>26</v>
      </c>
      <c r="C2012" s="7">
        <v>45101</v>
      </c>
      <c r="D2012" s="3" t="s">
        <v>72</v>
      </c>
      <c r="E2012" s="3"/>
      <c r="F2012" s="3"/>
    </row>
    <row r="2013" spans="1:6" hidden="1" x14ac:dyDescent="0.3">
      <c r="A2013" s="7" t="str">
        <f>BD_ControlRegimen[[#This Row],[FECHA]]&amp;BD_ControlRegimen[[#This Row],[NOMBRE]]</f>
        <v>45102GONZALES DELGADO ANGEL MARCIAL</v>
      </c>
      <c r="B2013" s="83">
        <f>WEEKNUM(BD_ControlRegimen[[#This Row],[FECHA]],2)</f>
        <v>26</v>
      </c>
      <c r="C2013" s="7">
        <v>45102</v>
      </c>
      <c r="D2013" s="3" t="s">
        <v>72</v>
      </c>
      <c r="E2013" s="3"/>
      <c r="F2013" s="3"/>
    </row>
    <row r="2014" spans="1:6" hidden="1" x14ac:dyDescent="0.3">
      <c r="A2014" s="7" t="str">
        <f>BD_ControlRegimen[[#This Row],[FECHA]]&amp;BD_ControlRegimen[[#This Row],[NOMBRE]]</f>
        <v>45103GONZALES DELGADO ANGEL MARCIAL</v>
      </c>
      <c r="B2014" s="83">
        <f>WEEKNUM(BD_ControlRegimen[[#This Row],[FECHA]],2)</f>
        <v>27</v>
      </c>
      <c r="C2014" s="7">
        <v>45103</v>
      </c>
      <c r="D2014" s="3" t="s">
        <v>72</v>
      </c>
      <c r="E2014" s="3"/>
      <c r="F2014" s="3"/>
    </row>
    <row r="2015" spans="1:6" hidden="1" x14ac:dyDescent="0.3">
      <c r="A2015" s="7" t="str">
        <f>BD_ControlRegimen[[#This Row],[FECHA]]&amp;BD_ControlRegimen[[#This Row],[NOMBRE]]</f>
        <v>45104GONZALES DELGADO ANGEL MARCIAL</v>
      </c>
      <c r="B2015" s="83">
        <f>WEEKNUM(BD_ControlRegimen[[#This Row],[FECHA]],2)</f>
        <v>27</v>
      </c>
      <c r="C2015" s="7">
        <v>45104</v>
      </c>
      <c r="D2015" s="3" t="s">
        <v>72</v>
      </c>
      <c r="E2015" s="3"/>
      <c r="F2015" s="3"/>
    </row>
    <row r="2016" spans="1:6" hidden="1" x14ac:dyDescent="0.3">
      <c r="A2016" s="7" t="str">
        <f>BD_ControlRegimen[[#This Row],[FECHA]]&amp;BD_ControlRegimen[[#This Row],[NOMBRE]]</f>
        <v>45105GONZALES DELGADO ANGEL MARCIAL</v>
      </c>
      <c r="B2016" s="83">
        <f>WEEKNUM(BD_ControlRegimen[[#This Row],[FECHA]],2)</f>
        <v>27</v>
      </c>
      <c r="C2016" s="7">
        <v>45105</v>
      </c>
      <c r="D2016" s="3" t="s">
        <v>72</v>
      </c>
      <c r="E2016" s="3"/>
      <c r="F2016" s="3"/>
    </row>
    <row r="2017" spans="1:6" hidden="1" x14ac:dyDescent="0.3">
      <c r="A2017" s="7" t="str">
        <f>BD_ControlRegimen[[#This Row],[FECHA]]&amp;BD_ControlRegimen[[#This Row],[NOMBRE]]</f>
        <v>45106GONZALES DELGADO ANGEL MARCIAL</v>
      </c>
      <c r="B2017" s="83">
        <f>WEEKNUM(BD_ControlRegimen[[#This Row],[FECHA]],2)</f>
        <v>27</v>
      </c>
      <c r="C2017" s="7">
        <v>45106</v>
      </c>
      <c r="D2017" s="3" t="s">
        <v>72</v>
      </c>
      <c r="E2017" s="3"/>
      <c r="F2017" s="3"/>
    </row>
    <row r="2018" spans="1:6" hidden="1" x14ac:dyDescent="0.3">
      <c r="A2018" s="7" t="str">
        <f>BD_ControlRegimen[[#This Row],[FECHA]]&amp;BD_ControlRegimen[[#This Row],[NOMBRE]]</f>
        <v>45107GONZALES DELGADO ANGEL MARCIAL</v>
      </c>
      <c r="B2018" s="83">
        <f>WEEKNUM(BD_ControlRegimen[[#This Row],[FECHA]],2)</f>
        <v>27</v>
      </c>
      <c r="C2018" s="7">
        <v>45107</v>
      </c>
      <c r="D2018" s="3" t="s">
        <v>72</v>
      </c>
      <c r="E2018" s="3"/>
      <c r="F2018" s="3"/>
    </row>
    <row r="2019" spans="1:6" hidden="1" x14ac:dyDescent="0.3">
      <c r="A2019" s="7" t="str">
        <f>BD_ControlRegimen[[#This Row],[FECHA]]&amp;BD_ControlRegimen[[#This Row],[NOMBRE]]</f>
        <v>45108GONZALES DELGADO ANGEL MARCIAL</v>
      </c>
      <c r="B2019" s="83">
        <f>WEEKNUM(BD_ControlRegimen[[#This Row],[FECHA]],2)</f>
        <v>27</v>
      </c>
      <c r="C2019" s="7">
        <v>45108</v>
      </c>
      <c r="D2019" s="3" t="s">
        <v>72</v>
      </c>
      <c r="E2019" s="3"/>
      <c r="F2019" s="3"/>
    </row>
    <row r="2020" spans="1:6" hidden="1" x14ac:dyDescent="0.3">
      <c r="A2020" s="7" t="str">
        <f>BD_ControlRegimen[[#This Row],[FECHA]]&amp;BD_ControlRegimen[[#This Row],[NOMBRE]]</f>
        <v>45109GONZALES DELGADO ANGEL MARCIAL</v>
      </c>
      <c r="B2020" s="83">
        <f>WEEKNUM(BD_ControlRegimen[[#This Row],[FECHA]],2)</f>
        <v>27</v>
      </c>
      <c r="C2020" s="7">
        <v>45109</v>
      </c>
      <c r="D2020" s="3" t="s">
        <v>72</v>
      </c>
      <c r="E2020" s="3"/>
      <c r="F2020" s="3"/>
    </row>
    <row r="2021" spans="1:6" hidden="1" x14ac:dyDescent="0.3">
      <c r="A2021" s="7" t="str">
        <f>BD_ControlRegimen[[#This Row],[FECHA]]&amp;BD_ControlRegimen[[#This Row],[NOMBRE]]</f>
        <v>45110GONZALES DELGADO ANGEL MARCIAL</v>
      </c>
      <c r="B2021" s="83">
        <f>WEEKNUM(BD_ControlRegimen[[#This Row],[FECHA]],2)</f>
        <v>28</v>
      </c>
      <c r="C2021" s="7">
        <v>45110</v>
      </c>
      <c r="D2021" s="3" t="s">
        <v>72</v>
      </c>
      <c r="E2021" s="3"/>
      <c r="F2021" s="3"/>
    </row>
    <row r="2022" spans="1:6" hidden="1" x14ac:dyDescent="0.3">
      <c r="A2022" s="7" t="str">
        <f>BD_ControlRegimen[[#This Row],[FECHA]]&amp;BD_ControlRegimen[[#This Row],[NOMBRE]]</f>
        <v>45111GONZALES DELGADO ANGEL MARCIAL</v>
      </c>
      <c r="B2022" s="83">
        <f>WEEKNUM(BD_ControlRegimen[[#This Row],[FECHA]],2)</f>
        <v>28</v>
      </c>
      <c r="C2022" s="7">
        <v>45111</v>
      </c>
      <c r="D2022" s="3" t="s">
        <v>72</v>
      </c>
      <c r="E2022" s="3"/>
      <c r="F2022" s="3"/>
    </row>
    <row r="2023" spans="1:6" hidden="1" x14ac:dyDescent="0.3">
      <c r="A2023" s="7" t="str">
        <f>BD_ControlRegimen[[#This Row],[FECHA]]&amp;BD_ControlRegimen[[#This Row],[NOMBRE]]</f>
        <v>45112GONZALES DELGADO ANGEL MARCIAL</v>
      </c>
      <c r="B2023" s="83">
        <f>WEEKNUM(BD_ControlRegimen[[#This Row],[FECHA]],2)</f>
        <v>28</v>
      </c>
      <c r="C2023" s="7">
        <v>45112</v>
      </c>
      <c r="D2023" s="3" t="s">
        <v>72</v>
      </c>
      <c r="E2023" s="3"/>
      <c r="F2023" s="3"/>
    </row>
    <row r="2024" spans="1:6" hidden="1" x14ac:dyDescent="0.3">
      <c r="A2024" s="7" t="str">
        <f>BD_ControlRegimen[[#This Row],[FECHA]]&amp;BD_ControlRegimen[[#This Row],[NOMBRE]]</f>
        <v>45113GONZALES DELGADO ANGEL MARCIAL</v>
      </c>
      <c r="B2024" s="83">
        <f>WEEKNUM(BD_ControlRegimen[[#This Row],[FECHA]],2)</f>
        <v>28</v>
      </c>
      <c r="C2024" s="7">
        <v>45113</v>
      </c>
      <c r="D2024" s="3" t="s">
        <v>72</v>
      </c>
      <c r="E2024" s="3"/>
      <c r="F2024" s="3"/>
    </row>
    <row r="2025" spans="1:6" hidden="1" x14ac:dyDescent="0.3">
      <c r="A2025" s="7" t="str">
        <f>BD_ControlRegimen[[#This Row],[FECHA]]&amp;BD_ControlRegimen[[#This Row],[NOMBRE]]</f>
        <v>45114GONZALES DELGADO ANGEL MARCIAL</v>
      </c>
      <c r="B2025" s="83">
        <f>WEEKNUM(BD_ControlRegimen[[#This Row],[FECHA]],2)</f>
        <v>28</v>
      </c>
      <c r="C2025" s="7">
        <v>45114</v>
      </c>
      <c r="D2025" s="3" t="s">
        <v>72</v>
      </c>
      <c r="E2025" s="3"/>
      <c r="F2025" s="3"/>
    </row>
    <row r="2026" spans="1:6" hidden="1" x14ac:dyDescent="0.3">
      <c r="A2026" s="7" t="str">
        <f>BD_ControlRegimen[[#This Row],[FECHA]]&amp;BD_ControlRegimen[[#This Row],[NOMBRE]]</f>
        <v>45115GONZALES DELGADO ANGEL MARCIAL</v>
      </c>
      <c r="B2026" s="83">
        <f>WEEKNUM(BD_ControlRegimen[[#This Row],[FECHA]],2)</f>
        <v>28</v>
      </c>
      <c r="C2026" s="7">
        <v>45115</v>
      </c>
      <c r="D2026" s="3" t="s">
        <v>72</v>
      </c>
      <c r="E2026" s="3"/>
      <c r="F2026" s="3"/>
    </row>
    <row r="2027" spans="1:6" hidden="1" x14ac:dyDescent="0.3">
      <c r="A2027" s="7" t="str">
        <f>BD_ControlRegimen[[#This Row],[FECHA]]&amp;BD_ControlRegimen[[#This Row],[NOMBRE]]</f>
        <v>45116GONZALES DELGADO ANGEL MARCIAL</v>
      </c>
      <c r="B2027" s="83">
        <f>WEEKNUM(BD_ControlRegimen[[#This Row],[FECHA]],2)</f>
        <v>28</v>
      </c>
      <c r="C2027" s="7">
        <v>45116</v>
      </c>
      <c r="D2027" s="3" t="s">
        <v>72</v>
      </c>
      <c r="E2027" s="3"/>
      <c r="F2027" s="3"/>
    </row>
    <row r="2028" spans="1:6" hidden="1" x14ac:dyDescent="0.3">
      <c r="A2028" s="7" t="str">
        <f>BD_ControlRegimen[[#This Row],[FECHA]]&amp;BD_ControlRegimen[[#This Row],[NOMBRE]]</f>
        <v>45117GONZALES DELGADO ANGEL MARCIAL</v>
      </c>
      <c r="B2028" s="83">
        <f>WEEKNUM(BD_ControlRegimen[[#This Row],[FECHA]],2)</f>
        <v>29</v>
      </c>
      <c r="C2028" s="7">
        <v>45117</v>
      </c>
      <c r="D2028" s="3" t="s">
        <v>72</v>
      </c>
      <c r="E2028" s="3"/>
      <c r="F2028" s="3"/>
    </row>
    <row r="2029" spans="1:6" hidden="1" x14ac:dyDescent="0.3">
      <c r="A2029" s="7" t="str">
        <f>BD_ControlRegimen[[#This Row],[FECHA]]&amp;BD_ControlRegimen[[#This Row],[NOMBRE]]</f>
        <v>45118GONZALES DELGADO ANGEL MARCIAL</v>
      </c>
      <c r="B2029" s="83">
        <f>WEEKNUM(BD_ControlRegimen[[#This Row],[FECHA]],2)</f>
        <v>29</v>
      </c>
      <c r="C2029" s="7">
        <v>45118</v>
      </c>
      <c r="D2029" s="3" t="s">
        <v>72</v>
      </c>
      <c r="E2029" s="3"/>
      <c r="F2029" s="3"/>
    </row>
    <row r="2030" spans="1:6" hidden="1" x14ac:dyDescent="0.3">
      <c r="A2030" s="7" t="str">
        <f>BD_ControlRegimen[[#This Row],[FECHA]]&amp;BD_ControlRegimen[[#This Row],[NOMBRE]]</f>
        <v>45119GONZALES DELGADO ANGEL MARCIAL</v>
      </c>
      <c r="B2030" s="83">
        <f>WEEKNUM(BD_ControlRegimen[[#This Row],[FECHA]],2)</f>
        <v>29</v>
      </c>
      <c r="C2030" s="7">
        <v>45119</v>
      </c>
      <c r="D2030" s="3" t="s">
        <v>72</v>
      </c>
      <c r="E2030" s="3"/>
      <c r="F2030" s="3"/>
    </row>
    <row r="2031" spans="1:6" hidden="1" x14ac:dyDescent="0.3">
      <c r="A2031" s="7" t="str">
        <f>BD_ControlRegimen[[#This Row],[FECHA]]&amp;BD_ControlRegimen[[#This Row],[NOMBRE]]</f>
        <v>45120GONZALES DELGADO ANGEL MARCIAL</v>
      </c>
      <c r="B2031" s="83">
        <f>WEEKNUM(BD_ControlRegimen[[#This Row],[FECHA]],2)</f>
        <v>29</v>
      </c>
      <c r="C2031" s="7">
        <v>45120</v>
      </c>
      <c r="D2031" s="3" t="s">
        <v>72</v>
      </c>
      <c r="E2031" s="3"/>
      <c r="F2031" s="3"/>
    </row>
    <row r="2032" spans="1:6" hidden="1" x14ac:dyDescent="0.3">
      <c r="A2032" s="7" t="str">
        <f>BD_ControlRegimen[[#This Row],[FECHA]]&amp;BD_ControlRegimen[[#This Row],[NOMBRE]]</f>
        <v>45121GONZALES DELGADO ANGEL MARCIAL</v>
      </c>
      <c r="B2032" s="83">
        <f>WEEKNUM(BD_ControlRegimen[[#This Row],[FECHA]],2)</f>
        <v>29</v>
      </c>
      <c r="C2032" s="7">
        <v>45121</v>
      </c>
      <c r="D2032" s="3" t="s">
        <v>72</v>
      </c>
      <c r="E2032" s="3"/>
      <c r="F2032" s="3"/>
    </row>
    <row r="2033" spans="1:6" hidden="1" x14ac:dyDescent="0.3">
      <c r="A2033" s="7" t="str">
        <f>BD_ControlRegimen[[#This Row],[FECHA]]&amp;BD_ControlRegimen[[#This Row],[NOMBRE]]</f>
        <v>45122GONZALES DELGADO ANGEL MARCIAL</v>
      </c>
      <c r="B2033" s="83">
        <f>WEEKNUM(BD_ControlRegimen[[#This Row],[FECHA]],2)</f>
        <v>29</v>
      </c>
      <c r="C2033" s="7">
        <v>45122</v>
      </c>
      <c r="D2033" s="3" t="s">
        <v>72</v>
      </c>
      <c r="E2033" s="3"/>
      <c r="F2033" s="3"/>
    </row>
    <row r="2034" spans="1:6" hidden="1" x14ac:dyDescent="0.3">
      <c r="A2034" s="7" t="str">
        <f>BD_ControlRegimen[[#This Row],[FECHA]]&amp;BD_ControlRegimen[[#This Row],[NOMBRE]]</f>
        <v>45123GONZALES DELGADO ANGEL MARCIAL</v>
      </c>
      <c r="B2034" s="83">
        <f>WEEKNUM(BD_ControlRegimen[[#This Row],[FECHA]],2)</f>
        <v>29</v>
      </c>
      <c r="C2034" s="7">
        <v>45123</v>
      </c>
      <c r="D2034" s="3" t="s">
        <v>72</v>
      </c>
      <c r="E2034" s="3"/>
      <c r="F2034" s="3"/>
    </row>
    <row r="2035" spans="1:6" hidden="1" x14ac:dyDescent="0.3">
      <c r="A2035" s="7" t="str">
        <f>BD_ControlRegimen[[#This Row],[FECHA]]&amp;BD_ControlRegimen[[#This Row],[NOMBRE]]</f>
        <v>45124GONZALES DELGADO ANGEL MARCIAL</v>
      </c>
      <c r="B2035" s="83">
        <f>WEEKNUM(BD_ControlRegimen[[#This Row],[FECHA]],2)</f>
        <v>30</v>
      </c>
      <c r="C2035" s="7">
        <v>45124</v>
      </c>
      <c r="D2035" s="3" t="s">
        <v>72</v>
      </c>
      <c r="E2035" s="3"/>
      <c r="F2035" s="3"/>
    </row>
    <row r="2036" spans="1:6" hidden="1" x14ac:dyDescent="0.3">
      <c r="A2036" s="7" t="str">
        <f>BD_ControlRegimen[[#This Row],[FECHA]]&amp;BD_ControlRegimen[[#This Row],[NOMBRE]]</f>
        <v>45125GONZALES DELGADO ANGEL MARCIAL</v>
      </c>
      <c r="B2036" s="83">
        <f>WEEKNUM(BD_ControlRegimen[[#This Row],[FECHA]],2)</f>
        <v>30</v>
      </c>
      <c r="C2036" s="7">
        <v>45125</v>
      </c>
      <c r="D2036" s="3" t="s">
        <v>72</v>
      </c>
      <c r="E2036" s="3"/>
      <c r="F2036" s="3"/>
    </row>
    <row r="2037" spans="1:6" hidden="1" x14ac:dyDescent="0.3">
      <c r="A2037" s="7" t="str">
        <f>BD_ControlRegimen[[#This Row],[FECHA]]&amp;BD_ControlRegimen[[#This Row],[NOMBRE]]</f>
        <v>45126GONZALES DELGADO ANGEL MARCIAL</v>
      </c>
      <c r="B2037" s="83">
        <f>WEEKNUM(BD_ControlRegimen[[#This Row],[FECHA]],2)</f>
        <v>30</v>
      </c>
      <c r="C2037" s="7">
        <v>45126</v>
      </c>
      <c r="D2037" s="3" t="s">
        <v>72</v>
      </c>
      <c r="E2037" s="3"/>
      <c r="F2037" s="3"/>
    </row>
    <row r="2038" spans="1:6" hidden="1" x14ac:dyDescent="0.3">
      <c r="A2038" s="7" t="str">
        <f>BD_ControlRegimen[[#This Row],[FECHA]]&amp;BD_ControlRegimen[[#This Row],[NOMBRE]]</f>
        <v>45127GONZALES DELGADO ANGEL MARCIAL</v>
      </c>
      <c r="B2038" s="83">
        <f>WEEKNUM(BD_ControlRegimen[[#This Row],[FECHA]],2)</f>
        <v>30</v>
      </c>
      <c r="C2038" s="7">
        <v>45127</v>
      </c>
      <c r="D2038" s="3" t="s">
        <v>72</v>
      </c>
      <c r="E2038" s="3"/>
      <c r="F2038" s="3"/>
    </row>
    <row r="2039" spans="1:6" hidden="1" x14ac:dyDescent="0.3">
      <c r="A2039" s="7" t="str">
        <f>BD_ControlRegimen[[#This Row],[FECHA]]&amp;BD_ControlRegimen[[#This Row],[NOMBRE]]</f>
        <v>45128GONZALES DELGADO ANGEL MARCIAL</v>
      </c>
      <c r="B2039" s="83">
        <f>WEEKNUM(BD_ControlRegimen[[#This Row],[FECHA]],2)</f>
        <v>30</v>
      </c>
      <c r="C2039" s="7">
        <v>45128</v>
      </c>
      <c r="D2039" s="3" t="s">
        <v>72</v>
      </c>
      <c r="E2039" s="3"/>
      <c r="F2039" s="3"/>
    </row>
    <row r="2040" spans="1:6" hidden="1" x14ac:dyDescent="0.3">
      <c r="A2040" s="7" t="str">
        <f>BD_ControlRegimen[[#This Row],[FECHA]]&amp;BD_ControlRegimen[[#This Row],[NOMBRE]]</f>
        <v>45129GONZALES DELGADO ANGEL MARCIAL</v>
      </c>
      <c r="B2040" s="83">
        <f>WEEKNUM(BD_ControlRegimen[[#This Row],[FECHA]],2)</f>
        <v>30</v>
      </c>
      <c r="C2040" s="7">
        <v>45129</v>
      </c>
      <c r="D2040" s="3" t="s">
        <v>72</v>
      </c>
      <c r="E2040" s="3"/>
      <c r="F2040" s="3"/>
    </row>
    <row r="2041" spans="1:6" hidden="1" x14ac:dyDescent="0.3">
      <c r="A2041" s="7" t="str">
        <f>BD_ControlRegimen[[#This Row],[FECHA]]&amp;BD_ControlRegimen[[#This Row],[NOMBRE]]</f>
        <v>45130GONZALES DELGADO ANGEL MARCIAL</v>
      </c>
      <c r="B2041" s="83">
        <f>WEEKNUM(BD_ControlRegimen[[#This Row],[FECHA]],2)</f>
        <v>30</v>
      </c>
      <c r="C2041" s="7">
        <v>45130</v>
      </c>
      <c r="D2041" s="3" t="s">
        <v>72</v>
      </c>
      <c r="E2041" s="3"/>
      <c r="F2041" s="3"/>
    </row>
    <row r="2042" spans="1:6" hidden="1" x14ac:dyDescent="0.3">
      <c r="A2042" s="7" t="str">
        <f>BD_ControlRegimen[[#This Row],[FECHA]]&amp;BD_ControlRegimen[[#This Row],[NOMBRE]]</f>
        <v>45131GONZALES DELGADO ANGEL MARCIAL</v>
      </c>
      <c r="B2042" s="83">
        <f>WEEKNUM(BD_ControlRegimen[[#This Row],[FECHA]],2)</f>
        <v>31</v>
      </c>
      <c r="C2042" s="7">
        <v>45131</v>
      </c>
      <c r="D2042" s="3" t="s">
        <v>72</v>
      </c>
      <c r="E2042" s="3"/>
      <c r="F2042" s="3"/>
    </row>
    <row r="2043" spans="1:6" hidden="1" x14ac:dyDescent="0.3">
      <c r="A2043" s="7" t="str">
        <f>BD_ControlRegimen[[#This Row],[FECHA]]&amp;BD_ControlRegimen[[#This Row],[NOMBRE]]</f>
        <v>45132GONZALES DELGADO ANGEL MARCIAL</v>
      </c>
      <c r="B2043" s="83">
        <f>WEEKNUM(BD_ControlRegimen[[#This Row],[FECHA]],2)</f>
        <v>31</v>
      </c>
      <c r="C2043" s="7">
        <v>45132</v>
      </c>
      <c r="D2043" s="3" t="s">
        <v>72</v>
      </c>
      <c r="E2043" s="3"/>
      <c r="F2043" s="3"/>
    </row>
    <row r="2044" spans="1:6" hidden="1" x14ac:dyDescent="0.3">
      <c r="A2044" s="7" t="str">
        <f>BD_ControlRegimen[[#This Row],[FECHA]]&amp;BD_ControlRegimen[[#This Row],[NOMBRE]]</f>
        <v>45133GONZALES DELGADO ANGEL MARCIAL</v>
      </c>
      <c r="B2044" s="83">
        <f>WEEKNUM(BD_ControlRegimen[[#This Row],[FECHA]],2)</f>
        <v>31</v>
      </c>
      <c r="C2044" s="7">
        <v>45133</v>
      </c>
      <c r="D2044" s="3" t="s">
        <v>72</v>
      </c>
      <c r="E2044" s="3"/>
      <c r="F2044" s="3"/>
    </row>
    <row r="2045" spans="1:6" hidden="1" x14ac:dyDescent="0.3">
      <c r="A2045" s="7" t="str">
        <f>BD_ControlRegimen[[#This Row],[FECHA]]&amp;BD_ControlRegimen[[#This Row],[NOMBRE]]</f>
        <v>45134GONZALES DELGADO ANGEL MARCIAL</v>
      </c>
      <c r="B2045" s="83">
        <f>WEEKNUM(BD_ControlRegimen[[#This Row],[FECHA]],2)</f>
        <v>31</v>
      </c>
      <c r="C2045" s="7">
        <v>45134</v>
      </c>
      <c r="D2045" s="3" t="s">
        <v>72</v>
      </c>
      <c r="E2045" s="3"/>
      <c r="F2045" s="3"/>
    </row>
    <row r="2046" spans="1:6" hidden="1" x14ac:dyDescent="0.3">
      <c r="A2046" s="7" t="str">
        <f>BD_ControlRegimen[[#This Row],[FECHA]]&amp;BD_ControlRegimen[[#This Row],[NOMBRE]]</f>
        <v>45135GONZALES DELGADO ANGEL MARCIAL</v>
      </c>
      <c r="B2046" s="83">
        <f>WEEKNUM(BD_ControlRegimen[[#This Row],[FECHA]],2)</f>
        <v>31</v>
      </c>
      <c r="C2046" s="7">
        <v>45135</v>
      </c>
      <c r="D2046" s="3" t="s">
        <v>72</v>
      </c>
      <c r="E2046" s="3"/>
      <c r="F2046" s="3"/>
    </row>
    <row r="2047" spans="1:6" hidden="1" x14ac:dyDescent="0.3">
      <c r="A2047" s="7" t="str">
        <f>BD_ControlRegimen[[#This Row],[FECHA]]&amp;BD_ControlRegimen[[#This Row],[NOMBRE]]</f>
        <v>45136GONZALES DELGADO ANGEL MARCIAL</v>
      </c>
      <c r="B2047" s="83">
        <f>WEEKNUM(BD_ControlRegimen[[#This Row],[FECHA]],2)</f>
        <v>31</v>
      </c>
      <c r="C2047" s="7">
        <v>45136</v>
      </c>
      <c r="D2047" s="3" t="s">
        <v>72</v>
      </c>
      <c r="E2047" s="3"/>
      <c r="F2047" s="3"/>
    </row>
    <row r="2048" spans="1:6" hidden="1" x14ac:dyDescent="0.3">
      <c r="A2048" s="7" t="str">
        <f>BD_ControlRegimen[[#This Row],[FECHA]]&amp;BD_ControlRegimen[[#This Row],[NOMBRE]]</f>
        <v>45137GONZALES DELGADO ANGEL MARCIAL</v>
      </c>
      <c r="B2048" s="83">
        <f>WEEKNUM(BD_ControlRegimen[[#This Row],[FECHA]],2)</f>
        <v>31</v>
      </c>
      <c r="C2048" s="7">
        <v>45137</v>
      </c>
      <c r="D2048" s="3" t="s">
        <v>72</v>
      </c>
      <c r="E2048" s="3"/>
      <c r="F2048" s="3"/>
    </row>
    <row r="2049" spans="1:6" hidden="1" x14ac:dyDescent="0.3">
      <c r="A2049" s="7" t="str">
        <f>BD_ControlRegimen[[#This Row],[FECHA]]&amp;BD_ControlRegimen[[#This Row],[NOMBRE]]</f>
        <v>45138GONZALES DELGADO ANGEL MARCIAL</v>
      </c>
      <c r="B2049" s="83">
        <f>WEEKNUM(BD_ControlRegimen[[#This Row],[FECHA]],2)</f>
        <v>32</v>
      </c>
      <c r="C2049" s="7">
        <v>45138</v>
      </c>
      <c r="D2049" s="3" t="s">
        <v>72</v>
      </c>
      <c r="E2049" s="3"/>
      <c r="F2049" s="3"/>
    </row>
    <row r="2050" spans="1:6" hidden="1" x14ac:dyDescent="0.3">
      <c r="A2050" s="7" t="str">
        <f>BD_ControlRegimen[[#This Row],[FECHA]]&amp;BD_ControlRegimen[[#This Row],[NOMBRE]]</f>
        <v>45139GONZALES DELGADO ANGEL MARCIAL</v>
      </c>
      <c r="B2050" s="83">
        <f>WEEKNUM(BD_ControlRegimen[[#This Row],[FECHA]],2)</f>
        <v>32</v>
      </c>
      <c r="C2050" s="7">
        <v>45139</v>
      </c>
      <c r="D2050" s="3" t="s">
        <v>72</v>
      </c>
      <c r="E2050" s="3"/>
      <c r="F2050" s="3"/>
    </row>
    <row r="2051" spans="1:6" hidden="1" x14ac:dyDescent="0.3">
      <c r="A2051" s="7" t="str">
        <f>BD_ControlRegimen[[#This Row],[FECHA]]&amp;BD_ControlRegimen[[#This Row],[NOMBRE]]</f>
        <v>45140GONZALES DELGADO ANGEL MARCIAL</v>
      </c>
      <c r="B2051" s="83">
        <f>WEEKNUM(BD_ControlRegimen[[#This Row],[FECHA]],2)</f>
        <v>32</v>
      </c>
      <c r="C2051" s="7">
        <v>45140</v>
      </c>
      <c r="D2051" s="3" t="s">
        <v>72</v>
      </c>
      <c r="E2051" s="3"/>
      <c r="F2051" s="3"/>
    </row>
    <row r="2052" spans="1:6" hidden="1" x14ac:dyDescent="0.3">
      <c r="A2052" s="7" t="str">
        <f>BD_ControlRegimen[[#This Row],[FECHA]]&amp;BD_ControlRegimen[[#This Row],[NOMBRE]]</f>
        <v>45141GONZALES DELGADO ANGEL MARCIAL</v>
      </c>
      <c r="B2052" s="83">
        <f>WEEKNUM(BD_ControlRegimen[[#This Row],[FECHA]],2)</f>
        <v>32</v>
      </c>
      <c r="C2052" s="7">
        <v>45141</v>
      </c>
      <c r="D2052" s="3" t="s">
        <v>72</v>
      </c>
      <c r="E2052" s="3"/>
      <c r="F2052" s="3"/>
    </row>
    <row r="2053" spans="1:6" hidden="1" x14ac:dyDescent="0.3">
      <c r="A2053" s="7" t="str">
        <f>BD_ControlRegimen[[#This Row],[FECHA]]&amp;BD_ControlRegimen[[#This Row],[NOMBRE]]</f>
        <v>45142GONZALES DELGADO ANGEL MARCIAL</v>
      </c>
      <c r="B2053" s="83">
        <f>WEEKNUM(BD_ControlRegimen[[#This Row],[FECHA]],2)</f>
        <v>32</v>
      </c>
      <c r="C2053" s="7">
        <v>45142</v>
      </c>
      <c r="D2053" s="3" t="s">
        <v>72</v>
      </c>
      <c r="E2053" s="3"/>
      <c r="F2053" s="3"/>
    </row>
    <row r="2054" spans="1:6" hidden="1" x14ac:dyDescent="0.3">
      <c r="A2054" s="7" t="str">
        <f>BD_ControlRegimen[[#This Row],[FECHA]]&amp;BD_ControlRegimen[[#This Row],[NOMBRE]]</f>
        <v>45143GONZALES DELGADO ANGEL MARCIAL</v>
      </c>
      <c r="B2054" s="83">
        <f>WEEKNUM(BD_ControlRegimen[[#This Row],[FECHA]],2)</f>
        <v>32</v>
      </c>
      <c r="C2054" s="7">
        <v>45143</v>
      </c>
      <c r="D2054" s="3" t="s">
        <v>72</v>
      </c>
      <c r="E2054" s="3"/>
      <c r="F2054" s="3"/>
    </row>
    <row r="2055" spans="1:6" hidden="1" x14ac:dyDescent="0.3">
      <c r="A2055" s="7" t="str">
        <f>BD_ControlRegimen[[#This Row],[FECHA]]&amp;BD_ControlRegimen[[#This Row],[NOMBRE]]</f>
        <v>45144GONZALES DELGADO ANGEL MARCIAL</v>
      </c>
      <c r="B2055" s="83">
        <f>WEEKNUM(BD_ControlRegimen[[#This Row],[FECHA]],2)</f>
        <v>32</v>
      </c>
      <c r="C2055" s="7">
        <v>45144</v>
      </c>
      <c r="D2055" s="3" t="s">
        <v>72</v>
      </c>
      <c r="E2055" s="3"/>
      <c r="F2055" s="3"/>
    </row>
    <row r="2056" spans="1:6" hidden="1" x14ac:dyDescent="0.3">
      <c r="A2056" s="7" t="str">
        <f>BD_ControlRegimen[[#This Row],[FECHA]]&amp;BD_ControlRegimen[[#This Row],[NOMBRE]]</f>
        <v>45145GONZALES DELGADO ANGEL MARCIAL</v>
      </c>
      <c r="B2056" s="83">
        <f>WEEKNUM(BD_ControlRegimen[[#This Row],[FECHA]],2)</f>
        <v>33</v>
      </c>
      <c r="C2056" s="7">
        <v>45145</v>
      </c>
      <c r="D2056" s="3" t="s">
        <v>72</v>
      </c>
      <c r="E2056" s="3"/>
      <c r="F2056" s="3"/>
    </row>
    <row r="2057" spans="1:6" hidden="1" x14ac:dyDescent="0.3">
      <c r="A2057" s="7" t="str">
        <f>BD_ControlRegimen[[#This Row],[FECHA]]&amp;BD_ControlRegimen[[#This Row],[NOMBRE]]</f>
        <v>45146GONZALES DELGADO ANGEL MARCIAL</v>
      </c>
      <c r="B2057" s="83">
        <f>WEEKNUM(BD_ControlRegimen[[#This Row],[FECHA]],2)</f>
        <v>33</v>
      </c>
      <c r="C2057" s="7">
        <v>45146</v>
      </c>
      <c r="D2057" s="3" t="s">
        <v>72</v>
      </c>
      <c r="E2057" s="3"/>
      <c r="F2057" s="3"/>
    </row>
    <row r="2058" spans="1:6" hidden="1" x14ac:dyDescent="0.3">
      <c r="A2058" s="7" t="str">
        <f>BD_ControlRegimen[[#This Row],[FECHA]]&amp;BD_ControlRegimen[[#This Row],[NOMBRE]]</f>
        <v>45147GONZALES DELGADO ANGEL MARCIAL</v>
      </c>
      <c r="B2058" s="83">
        <f>WEEKNUM(BD_ControlRegimen[[#This Row],[FECHA]],2)</f>
        <v>33</v>
      </c>
      <c r="C2058" s="7">
        <v>45147</v>
      </c>
      <c r="D2058" s="3" t="s">
        <v>72</v>
      </c>
      <c r="E2058" s="3"/>
      <c r="F2058" s="3"/>
    </row>
    <row r="2059" spans="1:6" hidden="1" x14ac:dyDescent="0.3">
      <c r="A2059" s="7" t="str">
        <f>BD_ControlRegimen[[#This Row],[FECHA]]&amp;BD_ControlRegimen[[#This Row],[NOMBRE]]</f>
        <v>45148GONZALES DELGADO ANGEL MARCIAL</v>
      </c>
      <c r="B2059" s="83">
        <f>WEEKNUM(BD_ControlRegimen[[#This Row],[FECHA]],2)</f>
        <v>33</v>
      </c>
      <c r="C2059" s="7">
        <v>45148</v>
      </c>
      <c r="D2059" s="3" t="s">
        <v>72</v>
      </c>
      <c r="E2059" s="3"/>
      <c r="F2059" s="3"/>
    </row>
    <row r="2060" spans="1:6" hidden="1" x14ac:dyDescent="0.3">
      <c r="A2060" s="7" t="str">
        <f>BD_ControlRegimen[[#This Row],[FECHA]]&amp;BD_ControlRegimen[[#This Row],[NOMBRE]]</f>
        <v>45149GONZALES DELGADO ANGEL MARCIAL</v>
      </c>
      <c r="B2060" s="83">
        <f>WEEKNUM(BD_ControlRegimen[[#This Row],[FECHA]],2)</f>
        <v>33</v>
      </c>
      <c r="C2060" s="7">
        <v>45149</v>
      </c>
      <c r="D2060" s="3" t="s">
        <v>72</v>
      </c>
      <c r="E2060" s="3"/>
      <c r="F2060" s="3"/>
    </row>
    <row r="2061" spans="1:6" hidden="1" x14ac:dyDescent="0.3">
      <c r="A2061" s="7" t="str">
        <f>BD_ControlRegimen[[#This Row],[FECHA]]&amp;BD_ControlRegimen[[#This Row],[NOMBRE]]</f>
        <v>45150GONZALES DELGADO ANGEL MARCIAL</v>
      </c>
      <c r="B2061" s="83">
        <f>WEEKNUM(BD_ControlRegimen[[#This Row],[FECHA]],2)</f>
        <v>33</v>
      </c>
      <c r="C2061" s="7">
        <v>45150</v>
      </c>
      <c r="D2061" s="3" t="s">
        <v>72</v>
      </c>
      <c r="E2061" s="3"/>
      <c r="F2061" s="3"/>
    </row>
    <row r="2062" spans="1:6" hidden="1" x14ac:dyDescent="0.3">
      <c r="A2062" s="7" t="str">
        <f>BD_ControlRegimen[[#This Row],[FECHA]]&amp;BD_ControlRegimen[[#This Row],[NOMBRE]]</f>
        <v>45151GONZALES DELGADO ANGEL MARCIAL</v>
      </c>
      <c r="B2062" s="83">
        <f>WEEKNUM(BD_ControlRegimen[[#This Row],[FECHA]],2)</f>
        <v>33</v>
      </c>
      <c r="C2062" s="7">
        <v>45151</v>
      </c>
      <c r="D2062" s="3" t="s">
        <v>72</v>
      </c>
      <c r="E2062" s="3"/>
      <c r="F2062" s="3"/>
    </row>
    <row r="2063" spans="1:6" hidden="1" x14ac:dyDescent="0.3">
      <c r="A2063" s="7" t="str">
        <f>BD_ControlRegimen[[#This Row],[FECHA]]&amp;BD_ControlRegimen[[#This Row],[NOMBRE]]</f>
        <v>45152GONZALES DELGADO ANGEL MARCIAL</v>
      </c>
      <c r="B2063" s="83">
        <f>WEEKNUM(BD_ControlRegimen[[#This Row],[FECHA]],2)</f>
        <v>34</v>
      </c>
      <c r="C2063" s="7">
        <v>45152</v>
      </c>
      <c r="D2063" s="3" t="s">
        <v>72</v>
      </c>
      <c r="E2063" s="3"/>
      <c r="F2063" s="3"/>
    </row>
    <row r="2064" spans="1:6" hidden="1" x14ac:dyDescent="0.3">
      <c r="A2064" s="7" t="str">
        <f>BD_ControlRegimen[[#This Row],[FECHA]]&amp;BD_ControlRegimen[[#This Row],[NOMBRE]]</f>
        <v>45153GONZALES DELGADO ANGEL MARCIAL</v>
      </c>
      <c r="B2064" s="83">
        <f>WEEKNUM(BD_ControlRegimen[[#This Row],[FECHA]],2)</f>
        <v>34</v>
      </c>
      <c r="C2064" s="7">
        <v>45153</v>
      </c>
      <c r="D2064" s="3" t="s">
        <v>72</v>
      </c>
      <c r="E2064" s="3"/>
      <c r="F2064" s="3"/>
    </row>
    <row r="2065" spans="1:6" hidden="1" x14ac:dyDescent="0.3">
      <c r="A2065" s="7" t="str">
        <f>BD_ControlRegimen[[#This Row],[FECHA]]&amp;BD_ControlRegimen[[#This Row],[NOMBRE]]</f>
        <v>45154GONZALES DELGADO ANGEL MARCIAL</v>
      </c>
      <c r="B2065" s="83">
        <f>WEEKNUM(BD_ControlRegimen[[#This Row],[FECHA]],2)</f>
        <v>34</v>
      </c>
      <c r="C2065" s="7">
        <v>45154</v>
      </c>
      <c r="D2065" s="3" t="s">
        <v>72</v>
      </c>
      <c r="E2065" s="3"/>
      <c r="F2065" s="3"/>
    </row>
    <row r="2066" spans="1:6" hidden="1" x14ac:dyDescent="0.3">
      <c r="A2066" s="7" t="str">
        <f>BD_ControlRegimen[[#This Row],[FECHA]]&amp;BD_ControlRegimen[[#This Row],[NOMBRE]]</f>
        <v>45155GONZALES DELGADO ANGEL MARCIAL</v>
      </c>
      <c r="B2066" s="83">
        <f>WEEKNUM(BD_ControlRegimen[[#This Row],[FECHA]],2)</f>
        <v>34</v>
      </c>
      <c r="C2066" s="7">
        <v>45155</v>
      </c>
      <c r="D2066" s="3" t="s">
        <v>72</v>
      </c>
      <c r="E2066" s="3"/>
      <c r="F2066" s="3"/>
    </row>
    <row r="2067" spans="1:6" hidden="1" x14ac:dyDescent="0.3">
      <c r="A2067" s="7" t="str">
        <f>BD_ControlRegimen[[#This Row],[FECHA]]&amp;BD_ControlRegimen[[#This Row],[NOMBRE]]</f>
        <v>45156GONZALES DELGADO ANGEL MARCIAL</v>
      </c>
      <c r="B2067" s="83">
        <f>WEEKNUM(BD_ControlRegimen[[#This Row],[FECHA]],2)</f>
        <v>34</v>
      </c>
      <c r="C2067" s="7">
        <v>45156</v>
      </c>
      <c r="D2067" s="3" t="s">
        <v>72</v>
      </c>
      <c r="E2067" s="3"/>
      <c r="F2067" s="3"/>
    </row>
    <row r="2068" spans="1:6" hidden="1" x14ac:dyDescent="0.3">
      <c r="A2068" s="7" t="str">
        <f>BD_ControlRegimen[[#This Row],[FECHA]]&amp;BD_ControlRegimen[[#This Row],[NOMBRE]]</f>
        <v>45157GONZALES DELGADO ANGEL MARCIAL</v>
      </c>
      <c r="B2068" s="83">
        <f>WEEKNUM(BD_ControlRegimen[[#This Row],[FECHA]],2)</f>
        <v>34</v>
      </c>
      <c r="C2068" s="7">
        <v>45157</v>
      </c>
      <c r="D2068" s="3" t="s">
        <v>72</v>
      </c>
      <c r="E2068" s="3"/>
      <c r="F2068" s="3"/>
    </row>
    <row r="2069" spans="1:6" hidden="1" x14ac:dyDescent="0.3">
      <c r="A2069" s="7" t="str">
        <f>BD_ControlRegimen[[#This Row],[FECHA]]&amp;BD_ControlRegimen[[#This Row],[NOMBRE]]</f>
        <v>45158GONZALES DELGADO ANGEL MARCIAL</v>
      </c>
      <c r="B2069" s="83">
        <f>WEEKNUM(BD_ControlRegimen[[#This Row],[FECHA]],2)</f>
        <v>34</v>
      </c>
      <c r="C2069" s="7">
        <v>45158</v>
      </c>
      <c r="D2069" s="3" t="s">
        <v>72</v>
      </c>
      <c r="E2069" s="3"/>
      <c r="F2069" s="3"/>
    </row>
    <row r="2070" spans="1:6" hidden="1" x14ac:dyDescent="0.3">
      <c r="A2070" s="7" t="str">
        <f>BD_ControlRegimen[[#This Row],[FECHA]]&amp;BD_ControlRegimen[[#This Row],[NOMBRE]]</f>
        <v>45159GONZALES DELGADO ANGEL MARCIAL</v>
      </c>
      <c r="B2070" s="83">
        <f>WEEKNUM(BD_ControlRegimen[[#This Row],[FECHA]],2)</f>
        <v>35</v>
      </c>
      <c r="C2070" s="7">
        <v>45159</v>
      </c>
      <c r="D2070" s="3" t="s">
        <v>72</v>
      </c>
      <c r="E2070" s="3"/>
      <c r="F2070" s="3"/>
    </row>
    <row r="2071" spans="1:6" hidden="1" x14ac:dyDescent="0.3">
      <c r="A2071" s="7" t="str">
        <f>BD_ControlRegimen[[#This Row],[FECHA]]&amp;BD_ControlRegimen[[#This Row],[NOMBRE]]</f>
        <v>45160GONZALES DELGADO ANGEL MARCIAL</v>
      </c>
      <c r="B2071" s="83">
        <f>WEEKNUM(BD_ControlRegimen[[#This Row],[FECHA]],2)</f>
        <v>35</v>
      </c>
      <c r="C2071" s="7">
        <v>45160</v>
      </c>
      <c r="D2071" s="3" t="s">
        <v>72</v>
      </c>
      <c r="E2071" s="3"/>
      <c r="F2071" s="3"/>
    </row>
    <row r="2072" spans="1:6" hidden="1" x14ac:dyDescent="0.3">
      <c r="A2072" s="7" t="str">
        <f>BD_ControlRegimen[[#This Row],[FECHA]]&amp;BD_ControlRegimen[[#This Row],[NOMBRE]]</f>
        <v>45161GONZALES DELGADO ANGEL MARCIAL</v>
      </c>
      <c r="B2072" s="83">
        <f>WEEKNUM(BD_ControlRegimen[[#This Row],[FECHA]],2)</f>
        <v>35</v>
      </c>
      <c r="C2072" s="7">
        <v>45161</v>
      </c>
      <c r="D2072" s="3" t="s">
        <v>72</v>
      </c>
      <c r="E2072" s="3"/>
      <c r="F2072" s="3"/>
    </row>
    <row r="2073" spans="1:6" hidden="1" x14ac:dyDescent="0.3">
      <c r="A2073" s="7" t="str">
        <f>BD_ControlRegimen[[#This Row],[FECHA]]&amp;BD_ControlRegimen[[#This Row],[NOMBRE]]</f>
        <v>45162GONZALES DELGADO ANGEL MARCIAL</v>
      </c>
      <c r="B2073" s="83">
        <f>WEEKNUM(BD_ControlRegimen[[#This Row],[FECHA]],2)</f>
        <v>35</v>
      </c>
      <c r="C2073" s="7">
        <v>45162</v>
      </c>
      <c r="D2073" s="3" t="s">
        <v>72</v>
      </c>
      <c r="E2073" s="3"/>
      <c r="F2073" s="3"/>
    </row>
    <row r="2074" spans="1:6" hidden="1" x14ac:dyDescent="0.3">
      <c r="A2074" s="7" t="str">
        <f>BD_ControlRegimen[[#This Row],[FECHA]]&amp;BD_ControlRegimen[[#This Row],[NOMBRE]]</f>
        <v>45163GONZALES DELGADO ANGEL MARCIAL</v>
      </c>
      <c r="B2074" s="83">
        <f>WEEKNUM(BD_ControlRegimen[[#This Row],[FECHA]],2)</f>
        <v>35</v>
      </c>
      <c r="C2074" s="7">
        <v>45163</v>
      </c>
      <c r="D2074" s="3" t="s">
        <v>72</v>
      </c>
      <c r="E2074" s="3"/>
      <c r="F2074" s="3"/>
    </row>
    <row r="2075" spans="1:6" hidden="1" x14ac:dyDescent="0.3">
      <c r="A2075" s="7" t="str">
        <f>BD_ControlRegimen[[#This Row],[FECHA]]&amp;BD_ControlRegimen[[#This Row],[NOMBRE]]</f>
        <v>45164GONZALES DELGADO ANGEL MARCIAL</v>
      </c>
      <c r="B2075" s="83">
        <f>WEEKNUM(BD_ControlRegimen[[#This Row],[FECHA]],2)</f>
        <v>35</v>
      </c>
      <c r="C2075" s="7">
        <v>45164</v>
      </c>
      <c r="D2075" s="3" t="s">
        <v>72</v>
      </c>
      <c r="E2075" s="3"/>
      <c r="F2075" s="3"/>
    </row>
    <row r="2076" spans="1:6" hidden="1" x14ac:dyDescent="0.3">
      <c r="A2076" s="7" t="str">
        <f>BD_ControlRegimen[[#This Row],[FECHA]]&amp;BD_ControlRegimen[[#This Row],[NOMBRE]]</f>
        <v>45165GONZALES DELGADO ANGEL MARCIAL</v>
      </c>
      <c r="B2076" s="83">
        <f>WEEKNUM(BD_ControlRegimen[[#This Row],[FECHA]],2)</f>
        <v>35</v>
      </c>
      <c r="C2076" s="7">
        <v>45165</v>
      </c>
      <c r="D2076" s="3" t="s">
        <v>72</v>
      </c>
      <c r="E2076" s="3"/>
      <c r="F2076" s="3"/>
    </row>
    <row r="2077" spans="1:6" hidden="1" x14ac:dyDescent="0.3">
      <c r="A2077" s="7" t="str">
        <f>BD_ControlRegimen[[#This Row],[FECHA]]&amp;BD_ControlRegimen[[#This Row],[NOMBRE]]</f>
        <v>45166GONZALES DELGADO ANGEL MARCIAL</v>
      </c>
      <c r="B2077" s="83">
        <f>WEEKNUM(BD_ControlRegimen[[#This Row],[FECHA]],2)</f>
        <v>36</v>
      </c>
      <c r="C2077" s="7">
        <v>45166</v>
      </c>
      <c r="D2077" s="3" t="s">
        <v>72</v>
      </c>
      <c r="E2077" s="3"/>
      <c r="F2077" s="3"/>
    </row>
    <row r="2078" spans="1:6" hidden="1" x14ac:dyDescent="0.3">
      <c r="A2078" s="7" t="str">
        <f>BD_ControlRegimen[[#This Row],[FECHA]]&amp;BD_ControlRegimen[[#This Row],[NOMBRE]]</f>
        <v>45167GONZALES DELGADO ANGEL MARCIAL</v>
      </c>
      <c r="B2078" s="83">
        <f>WEEKNUM(BD_ControlRegimen[[#This Row],[FECHA]],2)</f>
        <v>36</v>
      </c>
      <c r="C2078" s="7">
        <v>45167</v>
      </c>
      <c r="D2078" s="3" t="s">
        <v>72</v>
      </c>
      <c r="E2078" s="3"/>
      <c r="F2078" s="3"/>
    </row>
    <row r="2079" spans="1:6" hidden="1" x14ac:dyDescent="0.3">
      <c r="A2079" s="7" t="str">
        <f>BD_ControlRegimen[[#This Row],[FECHA]]&amp;BD_ControlRegimen[[#This Row],[NOMBRE]]</f>
        <v>45168GONZALES DELGADO ANGEL MARCIAL</v>
      </c>
      <c r="B2079" s="83">
        <f>WEEKNUM(BD_ControlRegimen[[#This Row],[FECHA]],2)</f>
        <v>36</v>
      </c>
      <c r="C2079" s="7">
        <v>45168</v>
      </c>
      <c r="D2079" s="3" t="s">
        <v>72</v>
      </c>
      <c r="E2079" s="3"/>
      <c r="F2079" s="3"/>
    </row>
    <row r="2080" spans="1:6" hidden="1" x14ac:dyDescent="0.3">
      <c r="A2080" s="7" t="str">
        <f>BD_ControlRegimen[[#This Row],[FECHA]]&amp;BD_ControlRegimen[[#This Row],[NOMBRE]]</f>
        <v>45169GONZALES DELGADO ANGEL MARCIAL</v>
      </c>
      <c r="B2080" s="83">
        <f>WEEKNUM(BD_ControlRegimen[[#This Row],[FECHA]],2)</f>
        <v>36</v>
      </c>
      <c r="C2080" s="7">
        <v>45169</v>
      </c>
      <c r="D2080" s="3" t="s">
        <v>72</v>
      </c>
      <c r="E2080" s="3"/>
      <c r="F2080" s="3"/>
    </row>
    <row r="2081" spans="1:6" hidden="1" x14ac:dyDescent="0.3">
      <c r="A2081" s="7" t="str">
        <f>BD_ControlRegimen[[#This Row],[FECHA]]&amp;BD_ControlRegimen[[#This Row],[NOMBRE]]</f>
        <v>45170GONZALES DELGADO ANGEL MARCIAL</v>
      </c>
      <c r="B2081" s="83">
        <f>WEEKNUM(BD_ControlRegimen[[#This Row],[FECHA]],2)</f>
        <v>36</v>
      </c>
      <c r="C2081" s="7">
        <v>45170</v>
      </c>
      <c r="D2081" s="3" t="s">
        <v>72</v>
      </c>
      <c r="E2081" s="3"/>
      <c r="F2081" s="3"/>
    </row>
    <row r="2082" spans="1:6" hidden="1" x14ac:dyDescent="0.3">
      <c r="A2082" s="7" t="str">
        <f>BD_ControlRegimen[[#This Row],[FECHA]]&amp;BD_ControlRegimen[[#This Row],[NOMBRE]]</f>
        <v>45171GONZALES DELGADO ANGEL MARCIAL</v>
      </c>
      <c r="B2082" s="83">
        <f>WEEKNUM(BD_ControlRegimen[[#This Row],[FECHA]],2)</f>
        <v>36</v>
      </c>
      <c r="C2082" s="7">
        <v>45171</v>
      </c>
      <c r="D2082" s="3" t="s">
        <v>72</v>
      </c>
      <c r="E2082" s="3"/>
      <c r="F2082" s="3"/>
    </row>
    <row r="2083" spans="1:6" hidden="1" x14ac:dyDescent="0.3">
      <c r="A2083" s="7" t="str">
        <f>BD_ControlRegimen[[#This Row],[FECHA]]&amp;BD_ControlRegimen[[#This Row],[NOMBRE]]</f>
        <v>45172GONZALES DELGADO ANGEL MARCIAL</v>
      </c>
      <c r="B2083" s="83">
        <f>WEEKNUM(BD_ControlRegimen[[#This Row],[FECHA]],2)</f>
        <v>36</v>
      </c>
      <c r="C2083" s="7">
        <v>45172</v>
      </c>
      <c r="D2083" s="3" t="s">
        <v>72</v>
      </c>
      <c r="E2083" s="3"/>
      <c r="F2083" s="3"/>
    </row>
    <row r="2084" spans="1:6" hidden="1" x14ac:dyDescent="0.3">
      <c r="A2084" s="7" t="str">
        <f>BD_ControlRegimen[[#This Row],[FECHA]]&amp;BD_ControlRegimen[[#This Row],[NOMBRE]]</f>
        <v>45173GONZALES DELGADO ANGEL MARCIAL</v>
      </c>
      <c r="B2084" s="83">
        <f>WEEKNUM(BD_ControlRegimen[[#This Row],[FECHA]],2)</f>
        <v>37</v>
      </c>
      <c r="C2084" s="7">
        <v>45173</v>
      </c>
      <c r="D2084" s="3" t="s">
        <v>72</v>
      </c>
      <c r="E2084" s="3"/>
      <c r="F2084" s="3"/>
    </row>
    <row r="2085" spans="1:6" hidden="1" x14ac:dyDescent="0.3">
      <c r="A2085" s="7" t="str">
        <f>BD_ControlRegimen[[#This Row],[FECHA]]&amp;BD_ControlRegimen[[#This Row],[NOMBRE]]</f>
        <v>45174GONZALES DELGADO ANGEL MARCIAL</v>
      </c>
      <c r="B2085" s="83">
        <f>WEEKNUM(BD_ControlRegimen[[#This Row],[FECHA]],2)</f>
        <v>37</v>
      </c>
      <c r="C2085" s="7">
        <v>45174</v>
      </c>
      <c r="D2085" s="3" t="s">
        <v>72</v>
      </c>
      <c r="E2085" s="3"/>
      <c r="F2085" s="3"/>
    </row>
    <row r="2086" spans="1:6" hidden="1" x14ac:dyDescent="0.3">
      <c r="A2086" s="7" t="str">
        <f>BD_ControlRegimen[[#This Row],[FECHA]]&amp;BD_ControlRegimen[[#This Row],[NOMBRE]]</f>
        <v>45175GONZALES DELGADO ANGEL MARCIAL</v>
      </c>
      <c r="B2086" s="83">
        <f>WEEKNUM(BD_ControlRegimen[[#This Row],[FECHA]],2)</f>
        <v>37</v>
      </c>
      <c r="C2086" s="7">
        <v>45175</v>
      </c>
      <c r="D2086" s="3" t="s">
        <v>72</v>
      </c>
      <c r="E2086" s="3"/>
      <c r="F2086" s="3"/>
    </row>
    <row r="2087" spans="1:6" hidden="1" x14ac:dyDescent="0.3">
      <c r="A2087" s="7" t="str">
        <f>BD_ControlRegimen[[#This Row],[FECHA]]&amp;BD_ControlRegimen[[#This Row],[NOMBRE]]</f>
        <v>45176GONZALES DELGADO ANGEL MARCIAL</v>
      </c>
      <c r="B2087" s="83">
        <f>WEEKNUM(BD_ControlRegimen[[#This Row],[FECHA]],2)</f>
        <v>37</v>
      </c>
      <c r="C2087" s="7">
        <v>45176</v>
      </c>
      <c r="D2087" s="3" t="s">
        <v>72</v>
      </c>
      <c r="E2087" s="3"/>
      <c r="F2087" s="3"/>
    </row>
    <row r="2088" spans="1:6" hidden="1" x14ac:dyDescent="0.3">
      <c r="A2088" s="7" t="str">
        <f>BD_ControlRegimen[[#This Row],[FECHA]]&amp;BD_ControlRegimen[[#This Row],[NOMBRE]]</f>
        <v>45177GONZALES DELGADO ANGEL MARCIAL</v>
      </c>
      <c r="B2088" s="83">
        <f>WEEKNUM(BD_ControlRegimen[[#This Row],[FECHA]],2)</f>
        <v>37</v>
      </c>
      <c r="C2088" s="7">
        <v>45177</v>
      </c>
      <c r="D2088" s="3" t="s">
        <v>72</v>
      </c>
      <c r="E2088" s="3"/>
      <c r="F2088" s="3"/>
    </row>
    <row r="2089" spans="1:6" hidden="1" x14ac:dyDescent="0.3">
      <c r="A2089" s="7" t="str">
        <f>BD_ControlRegimen[[#This Row],[FECHA]]&amp;BD_ControlRegimen[[#This Row],[NOMBRE]]</f>
        <v>45178GONZALES DELGADO ANGEL MARCIAL</v>
      </c>
      <c r="B2089" s="83">
        <f>WEEKNUM(BD_ControlRegimen[[#This Row],[FECHA]],2)</f>
        <v>37</v>
      </c>
      <c r="C2089" s="7">
        <v>45178</v>
      </c>
      <c r="D2089" s="3" t="s">
        <v>72</v>
      </c>
      <c r="E2089" s="3"/>
      <c r="F2089" s="3"/>
    </row>
    <row r="2090" spans="1:6" hidden="1" x14ac:dyDescent="0.3">
      <c r="A2090" s="7" t="str">
        <f>BD_ControlRegimen[[#This Row],[FECHA]]&amp;BD_ControlRegimen[[#This Row],[NOMBRE]]</f>
        <v>45179GONZALES DELGADO ANGEL MARCIAL</v>
      </c>
      <c r="B2090" s="83">
        <f>WEEKNUM(BD_ControlRegimen[[#This Row],[FECHA]],2)</f>
        <v>37</v>
      </c>
      <c r="C2090" s="7">
        <v>45179</v>
      </c>
      <c r="D2090" s="3" t="s">
        <v>72</v>
      </c>
      <c r="E2090" s="3"/>
      <c r="F2090" s="3"/>
    </row>
    <row r="2091" spans="1:6" hidden="1" x14ac:dyDescent="0.3">
      <c r="A2091" s="7" t="str">
        <f>BD_ControlRegimen[[#This Row],[FECHA]]&amp;BD_ControlRegimen[[#This Row],[NOMBRE]]</f>
        <v>45180GONZALES DELGADO ANGEL MARCIAL</v>
      </c>
      <c r="B2091" s="83">
        <f>WEEKNUM(BD_ControlRegimen[[#This Row],[FECHA]],2)</f>
        <v>38</v>
      </c>
      <c r="C2091" s="7">
        <v>45180</v>
      </c>
      <c r="D2091" s="3" t="s">
        <v>72</v>
      </c>
      <c r="E2091" s="3"/>
      <c r="F2091" s="3"/>
    </row>
    <row r="2092" spans="1:6" hidden="1" x14ac:dyDescent="0.3">
      <c r="A2092" s="7" t="str">
        <f>BD_ControlRegimen[[#This Row],[FECHA]]&amp;BD_ControlRegimen[[#This Row],[NOMBRE]]</f>
        <v>45181GONZALES DELGADO ANGEL MARCIAL</v>
      </c>
      <c r="B2092" s="83">
        <f>WEEKNUM(BD_ControlRegimen[[#This Row],[FECHA]],2)</f>
        <v>38</v>
      </c>
      <c r="C2092" s="7">
        <v>45181</v>
      </c>
      <c r="D2092" s="3" t="s">
        <v>72</v>
      </c>
      <c r="E2092" s="3"/>
      <c r="F2092" s="3"/>
    </row>
    <row r="2093" spans="1:6" hidden="1" x14ac:dyDescent="0.3">
      <c r="A2093" s="7" t="str">
        <f>BD_ControlRegimen[[#This Row],[FECHA]]&amp;BD_ControlRegimen[[#This Row],[NOMBRE]]</f>
        <v>45182GONZALES DELGADO ANGEL MARCIAL</v>
      </c>
      <c r="B2093" s="83">
        <f>WEEKNUM(BD_ControlRegimen[[#This Row],[FECHA]],2)</f>
        <v>38</v>
      </c>
      <c r="C2093" s="7">
        <v>45182</v>
      </c>
      <c r="D2093" s="3" t="s">
        <v>72</v>
      </c>
      <c r="E2093" s="3"/>
      <c r="F2093" s="3"/>
    </row>
    <row r="2094" spans="1:6" hidden="1" x14ac:dyDescent="0.3">
      <c r="A2094" s="7" t="str">
        <f>BD_ControlRegimen[[#This Row],[FECHA]]&amp;BD_ControlRegimen[[#This Row],[NOMBRE]]</f>
        <v>45183GONZALES DELGADO ANGEL MARCIAL</v>
      </c>
      <c r="B2094" s="83">
        <f>WEEKNUM(BD_ControlRegimen[[#This Row],[FECHA]],2)</f>
        <v>38</v>
      </c>
      <c r="C2094" s="7">
        <v>45183</v>
      </c>
      <c r="D2094" s="3" t="s">
        <v>72</v>
      </c>
      <c r="E2094" s="3"/>
      <c r="F2094" s="3"/>
    </row>
    <row r="2095" spans="1:6" hidden="1" x14ac:dyDescent="0.3">
      <c r="A2095" s="7" t="str">
        <f>BD_ControlRegimen[[#This Row],[FECHA]]&amp;BD_ControlRegimen[[#This Row],[NOMBRE]]</f>
        <v>45184GONZALES DELGADO ANGEL MARCIAL</v>
      </c>
      <c r="B2095" s="83">
        <f>WEEKNUM(BD_ControlRegimen[[#This Row],[FECHA]],2)</f>
        <v>38</v>
      </c>
      <c r="C2095" s="7">
        <v>45184</v>
      </c>
      <c r="D2095" s="3" t="s">
        <v>72</v>
      </c>
      <c r="E2095" s="3"/>
      <c r="F2095" s="3"/>
    </row>
    <row r="2096" spans="1:6" hidden="1" x14ac:dyDescent="0.3">
      <c r="A2096" s="7" t="str">
        <f>BD_ControlRegimen[[#This Row],[FECHA]]&amp;BD_ControlRegimen[[#This Row],[NOMBRE]]</f>
        <v>45185GONZALES DELGADO ANGEL MARCIAL</v>
      </c>
      <c r="B2096" s="83">
        <f>WEEKNUM(BD_ControlRegimen[[#This Row],[FECHA]],2)</f>
        <v>38</v>
      </c>
      <c r="C2096" s="7">
        <v>45185</v>
      </c>
      <c r="D2096" s="3" t="s">
        <v>72</v>
      </c>
      <c r="E2096" s="3"/>
      <c r="F2096" s="3"/>
    </row>
    <row r="2097" spans="1:6" hidden="1" x14ac:dyDescent="0.3">
      <c r="A2097" s="7" t="str">
        <f>BD_ControlRegimen[[#This Row],[FECHA]]&amp;BD_ControlRegimen[[#This Row],[NOMBRE]]</f>
        <v>45186GONZALES DELGADO ANGEL MARCIAL</v>
      </c>
      <c r="B2097" s="83">
        <f>WEEKNUM(BD_ControlRegimen[[#This Row],[FECHA]],2)</f>
        <v>38</v>
      </c>
      <c r="C2097" s="7">
        <v>45186</v>
      </c>
      <c r="D2097" s="3" t="s">
        <v>72</v>
      </c>
      <c r="E2097" s="3"/>
      <c r="F2097" s="3"/>
    </row>
    <row r="2098" spans="1:6" hidden="1" x14ac:dyDescent="0.3">
      <c r="A2098" s="7" t="str">
        <f>BD_ControlRegimen[[#This Row],[FECHA]]&amp;BD_ControlRegimen[[#This Row],[NOMBRE]]</f>
        <v>45187GONZALES DELGADO ANGEL MARCIAL</v>
      </c>
      <c r="B2098" s="83">
        <f>WEEKNUM(BD_ControlRegimen[[#This Row],[FECHA]],2)</f>
        <v>39</v>
      </c>
      <c r="C2098" s="7">
        <v>45187</v>
      </c>
      <c r="D2098" s="3" t="s">
        <v>72</v>
      </c>
      <c r="E2098" s="3"/>
      <c r="F2098" s="3"/>
    </row>
    <row r="2099" spans="1:6" hidden="1" x14ac:dyDescent="0.3">
      <c r="A2099" s="7" t="str">
        <f>BD_ControlRegimen[[#This Row],[FECHA]]&amp;BD_ControlRegimen[[#This Row],[NOMBRE]]</f>
        <v>45188GONZALES DELGADO ANGEL MARCIAL</v>
      </c>
      <c r="B2099" s="83">
        <f>WEEKNUM(BD_ControlRegimen[[#This Row],[FECHA]],2)</f>
        <v>39</v>
      </c>
      <c r="C2099" s="7">
        <v>45188</v>
      </c>
      <c r="D2099" s="3" t="s">
        <v>72</v>
      </c>
      <c r="E2099" s="3"/>
      <c r="F2099" s="3"/>
    </row>
    <row r="2100" spans="1:6" hidden="1" x14ac:dyDescent="0.3">
      <c r="A2100" s="7" t="str">
        <f>BD_ControlRegimen[[#This Row],[FECHA]]&amp;BD_ControlRegimen[[#This Row],[NOMBRE]]</f>
        <v>45189GONZALES DELGADO ANGEL MARCIAL</v>
      </c>
      <c r="B2100" s="83">
        <f>WEEKNUM(BD_ControlRegimen[[#This Row],[FECHA]],2)</f>
        <v>39</v>
      </c>
      <c r="C2100" s="7">
        <v>45189</v>
      </c>
      <c r="D2100" s="3" t="s">
        <v>72</v>
      </c>
      <c r="E2100" s="3"/>
      <c r="F2100" s="3"/>
    </row>
    <row r="2101" spans="1:6" hidden="1" x14ac:dyDescent="0.3">
      <c r="A2101" s="7" t="str">
        <f>BD_ControlRegimen[[#This Row],[FECHA]]&amp;BD_ControlRegimen[[#This Row],[NOMBRE]]</f>
        <v>45190GONZALES DELGADO ANGEL MARCIAL</v>
      </c>
      <c r="B2101" s="83">
        <f>WEEKNUM(BD_ControlRegimen[[#This Row],[FECHA]],2)</f>
        <v>39</v>
      </c>
      <c r="C2101" s="7">
        <v>45190</v>
      </c>
      <c r="D2101" s="3" t="s">
        <v>72</v>
      </c>
      <c r="E2101" s="3"/>
      <c r="F2101" s="3"/>
    </row>
    <row r="2102" spans="1:6" hidden="1" x14ac:dyDescent="0.3">
      <c r="A2102" s="7" t="str">
        <f>BD_ControlRegimen[[#This Row],[FECHA]]&amp;BD_ControlRegimen[[#This Row],[NOMBRE]]</f>
        <v>45191GONZALES DELGADO ANGEL MARCIAL</v>
      </c>
      <c r="B2102" s="83">
        <f>WEEKNUM(BD_ControlRegimen[[#This Row],[FECHA]],2)</f>
        <v>39</v>
      </c>
      <c r="C2102" s="7">
        <v>45191</v>
      </c>
      <c r="D2102" s="3" t="s">
        <v>72</v>
      </c>
      <c r="E2102" s="3"/>
      <c r="F2102" s="3"/>
    </row>
    <row r="2103" spans="1:6" hidden="1" x14ac:dyDescent="0.3">
      <c r="A2103" s="7" t="str">
        <f>BD_ControlRegimen[[#This Row],[FECHA]]&amp;BD_ControlRegimen[[#This Row],[NOMBRE]]</f>
        <v>45192GONZALES DELGADO ANGEL MARCIAL</v>
      </c>
      <c r="B2103" s="83">
        <f>WEEKNUM(BD_ControlRegimen[[#This Row],[FECHA]],2)</f>
        <v>39</v>
      </c>
      <c r="C2103" s="7">
        <v>45192</v>
      </c>
      <c r="D2103" s="3" t="s">
        <v>72</v>
      </c>
      <c r="E2103" s="3"/>
      <c r="F2103" s="3"/>
    </row>
    <row r="2104" spans="1:6" hidden="1" x14ac:dyDescent="0.3">
      <c r="A2104" s="7" t="str">
        <f>BD_ControlRegimen[[#This Row],[FECHA]]&amp;BD_ControlRegimen[[#This Row],[NOMBRE]]</f>
        <v>45193GONZALES DELGADO ANGEL MARCIAL</v>
      </c>
      <c r="B2104" s="83">
        <f>WEEKNUM(BD_ControlRegimen[[#This Row],[FECHA]],2)</f>
        <v>39</v>
      </c>
      <c r="C2104" s="7">
        <v>45193</v>
      </c>
      <c r="D2104" s="3" t="s">
        <v>72</v>
      </c>
      <c r="E2104" s="3"/>
      <c r="F2104" s="3"/>
    </row>
    <row r="2105" spans="1:6" hidden="1" x14ac:dyDescent="0.3">
      <c r="A2105" s="7" t="str">
        <f>BD_ControlRegimen[[#This Row],[FECHA]]&amp;BD_ControlRegimen[[#This Row],[NOMBRE]]</f>
        <v>45194GONZALES DELGADO ANGEL MARCIAL</v>
      </c>
      <c r="B2105" s="83">
        <f>WEEKNUM(BD_ControlRegimen[[#This Row],[FECHA]],2)</f>
        <v>40</v>
      </c>
      <c r="C2105" s="7">
        <v>45194</v>
      </c>
      <c r="D2105" s="3" t="s">
        <v>72</v>
      </c>
      <c r="E2105" s="3"/>
      <c r="F2105" s="3"/>
    </row>
    <row r="2106" spans="1:6" hidden="1" x14ac:dyDescent="0.3">
      <c r="A2106" s="7" t="str">
        <f>BD_ControlRegimen[[#This Row],[FECHA]]&amp;BD_ControlRegimen[[#This Row],[NOMBRE]]</f>
        <v>45195GONZALES DELGADO ANGEL MARCIAL</v>
      </c>
      <c r="B2106" s="83">
        <f>WEEKNUM(BD_ControlRegimen[[#This Row],[FECHA]],2)</f>
        <v>40</v>
      </c>
      <c r="C2106" s="7">
        <v>45195</v>
      </c>
      <c r="D2106" s="3" t="s">
        <v>72</v>
      </c>
      <c r="E2106" s="3"/>
      <c r="F2106" s="3"/>
    </row>
    <row r="2107" spans="1:6" hidden="1" x14ac:dyDescent="0.3">
      <c r="A2107" s="7" t="str">
        <f>BD_ControlRegimen[[#This Row],[FECHA]]&amp;BD_ControlRegimen[[#This Row],[NOMBRE]]</f>
        <v>45196GONZALES DELGADO ANGEL MARCIAL</v>
      </c>
      <c r="B2107" s="83">
        <f>WEEKNUM(BD_ControlRegimen[[#This Row],[FECHA]],2)</f>
        <v>40</v>
      </c>
      <c r="C2107" s="7">
        <v>45196</v>
      </c>
      <c r="D2107" s="3" t="s">
        <v>72</v>
      </c>
      <c r="E2107" s="3"/>
      <c r="F2107" s="3"/>
    </row>
    <row r="2108" spans="1:6" hidden="1" x14ac:dyDescent="0.3">
      <c r="A2108" s="7" t="str">
        <f>BD_ControlRegimen[[#This Row],[FECHA]]&amp;BD_ControlRegimen[[#This Row],[NOMBRE]]</f>
        <v>45197GONZALES DELGADO ANGEL MARCIAL</v>
      </c>
      <c r="B2108" s="83">
        <f>WEEKNUM(BD_ControlRegimen[[#This Row],[FECHA]],2)</f>
        <v>40</v>
      </c>
      <c r="C2108" s="7">
        <v>45197</v>
      </c>
      <c r="D2108" s="3" t="s">
        <v>72</v>
      </c>
      <c r="E2108" s="3"/>
      <c r="F2108" s="3"/>
    </row>
    <row r="2109" spans="1:6" hidden="1" x14ac:dyDescent="0.3">
      <c r="A2109" s="7" t="str">
        <f>BD_ControlRegimen[[#This Row],[FECHA]]&amp;BD_ControlRegimen[[#This Row],[NOMBRE]]</f>
        <v>45198GONZALES DELGADO ANGEL MARCIAL</v>
      </c>
      <c r="B2109" s="83">
        <f>WEEKNUM(BD_ControlRegimen[[#This Row],[FECHA]],2)</f>
        <v>40</v>
      </c>
      <c r="C2109" s="7">
        <v>45198</v>
      </c>
      <c r="D2109" s="3" t="s">
        <v>72</v>
      </c>
      <c r="E2109" s="3"/>
      <c r="F2109" s="3"/>
    </row>
    <row r="2110" spans="1:6" hidden="1" x14ac:dyDescent="0.3">
      <c r="A2110" s="7" t="str">
        <f>BD_ControlRegimen[[#This Row],[FECHA]]&amp;BD_ControlRegimen[[#This Row],[NOMBRE]]</f>
        <v>45199GONZALES DELGADO ANGEL MARCIAL</v>
      </c>
      <c r="B2110" s="83">
        <f>WEEKNUM(BD_ControlRegimen[[#This Row],[FECHA]],2)</f>
        <v>40</v>
      </c>
      <c r="C2110" s="7">
        <v>45199</v>
      </c>
      <c r="D2110" s="3" t="s">
        <v>72</v>
      </c>
      <c r="E2110" s="3"/>
      <c r="F2110" s="3"/>
    </row>
    <row r="2111" spans="1:6" hidden="1" x14ac:dyDescent="0.3">
      <c r="A2111" s="7" t="str">
        <f>BD_ControlRegimen[[#This Row],[FECHA]]&amp;BD_ControlRegimen[[#This Row],[NOMBRE]]</f>
        <v>45200GONZALES DELGADO ANGEL MARCIAL</v>
      </c>
      <c r="B2111" s="83">
        <f>WEEKNUM(BD_ControlRegimen[[#This Row],[FECHA]],2)</f>
        <v>40</v>
      </c>
      <c r="C2111" s="7">
        <v>45200</v>
      </c>
      <c r="D2111" s="3" t="s">
        <v>72</v>
      </c>
      <c r="E2111" s="3"/>
      <c r="F2111" s="3"/>
    </row>
    <row r="2112" spans="1:6" hidden="1" x14ac:dyDescent="0.3">
      <c r="A2112" s="7" t="str">
        <f>BD_ControlRegimen[[#This Row],[FECHA]]&amp;BD_ControlRegimen[[#This Row],[NOMBRE]]</f>
        <v>45201GONZALES DELGADO ANGEL MARCIAL</v>
      </c>
      <c r="B2112" s="83">
        <f>WEEKNUM(BD_ControlRegimen[[#This Row],[FECHA]],2)</f>
        <v>41</v>
      </c>
      <c r="C2112" s="7">
        <v>45201</v>
      </c>
      <c r="D2112" s="3" t="s">
        <v>72</v>
      </c>
      <c r="E2112" s="3"/>
      <c r="F2112" s="3"/>
    </row>
    <row r="2113" spans="1:6" hidden="1" x14ac:dyDescent="0.3">
      <c r="A2113" s="7" t="str">
        <f>BD_ControlRegimen[[#This Row],[FECHA]]&amp;BD_ControlRegimen[[#This Row],[NOMBRE]]</f>
        <v>45202GONZALES DELGADO ANGEL MARCIAL</v>
      </c>
      <c r="B2113" s="83">
        <f>WEEKNUM(BD_ControlRegimen[[#This Row],[FECHA]],2)</f>
        <v>41</v>
      </c>
      <c r="C2113" s="7">
        <v>45202</v>
      </c>
      <c r="D2113" s="3" t="s">
        <v>72</v>
      </c>
      <c r="E2113" s="3"/>
      <c r="F2113" s="3"/>
    </row>
    <row r="2114" spans="1:6" hidden="1" x14ac:dyDescent="0.3">
      <c r="A2114" s="7" t="str">
        <f>BD_ControlRegimen[[#This Row],[FECHA]]&amp;BD_ControlRegimen[[#This Row],[NOMBRE]]</f>
        <v>45203GONZALES DELGADO ANGEL MARCIAL</v>
      </c>
      <c r="B2114" s="83">
        <f>WEEKNUM(BD_ControlRegimen[[#This Row],[FECHA]],2)</f>
        <v>41</v>
      </c>
      <c r="C2114" s="7">
        <v>45203</v>
      </c>
      <c r="D2114" s="3" t="s">
        <v>72</v>
      </c>
      <c r="E2114" s="3"/>
      <c r="F2114" s="3"/>
    </row>
    <row r="2115" spans="1:6" hidden="1" x14ac:dyDescent="0.3">
      <c r="A2115" s="7" t="str">
        <f>BD_ControlRegimen[[#This Row],[FECHA]]&amp;BD_ControlRegimen[[#This Row],[NOMBRE]]</f>
        <v>45204GONZALES DELGADO ANGEL MARCIAL</v>
      </c>
      <c r="B2115" s="83">
        <f>WEEKNUM(BD_ControlRegimen[[#This Row],[FECHA]],2)</f>
        <v>41</v>
      </c>
      <c r="C2115" s="7">
        <v>45204</v>
      </c>
      <c r="D2115" s="3" t="s">
        <v>72</v>
      </c>
      <c r="E2115" s="3"/>
      <c r="F2115" s="3"/>
    </row>
    <row r="2116" spans="1:6" hidden="1" x14ac:dyDescent="0.3">
      <c r="A2116" s="7" t="str">
        <f>BD_ControlRegimen[[#This Row],[FECHA]]&amp;BD_ControlRegimen[[#This Row],[NOMBRE]]</f>
        <v>45205GONZALES DELGADO ANGEL MARCIAL</v>
      </c>
      <c r="B2116" s="83">
        <f>WEEKNUM(BD_ControlRegimen[[#This Row],[FECHA]],2)</f>
        <v>41</v>
      </c>
      <c r="C2116" s="7">
        <v>45205</v>
      </c>
      <c r="D2116" s="3" t="s">
        <v>72</v>
      </c>
      <c r="E2116" s="3"/>
      <c r="F2116" s="3"/>
    </row>
    <row r="2117" spans="1:6" hidden="1" x14ac:dyDescent="0.3">
      <c r="A2117" s="7" t="str">
        <f>BD_ControlRegimen[[#This Row],[FECHA]]&amp;BD_ControlRegimen[[#This Row],[NOMBRE]]</f>
        <v>45206GONZALES DELGADO ANGEL MARCIAL</v>
      </c>
      <c r="B2117" s="83">
        <f>WEEKNUM(BD_ControlRegimen[[#This Row],[FECHA]],2)</f>
        <v>41</v>
      </c>
      <c r="C2117" s="7">
        <v>45206</v>
      </c>
      <c r="D2117" s="3" t="s">
        <v>72</v>
      </c>
      <c r="E2117" s="3"/>
      <c r="F2117" s="3"/>
    </row>
    <row r="2118" spans="1:6" hidden="1" x14ac:dyDescent="0.3">
      <c r="A2118" s="7" t="str">
        <f>BD_ControlRegimen[[#This Row],[FECHA]]&amp;BD_ControlRegimen[[#This Row],[NOMBRE]]</f>
        <v>45207GONZALES DELGADO ANGEL MARCIAL</v>
      </c>
      <c r="B2118" s="83">
        <f>WEEKNUM(BD_ControlRegimen[[#This Row],[FECHA]],2)</f>
        <v>41</v>
      </c>
      <c r="C2118" s="7">
        <v>45207</v>
      </c>
      <c r="D2118" s="3" t="s">
        <v>72</v>
      </c>
      <c r="E2118" s="3"/>
      <c r="F2118" s="3"/>
    </row>
    <row r="2119" spans="1:6" hidden="1" x14ac:dyDescent="0.3">
      <c r="A2119" s="7" t="str">
        <f>BD_ControlRegimen[[#This Row],[FECHA]]&amp;BD_ControlRegimen[[#This Row],[NOMBRE]]</f>
        <v>45208GONZALES DELGADO ANGEL MARCIAL</v>
      </c>
      <c r="B2119" s="83">
        <f>WEEKNUM(BD_ControlRegimen[[#This Row],[FECHA]],2)</f>
        <v>42</v>
      </c>
      <c r="C2119" s="7">
        <v>45208</v>
      </c>
      <c r="D2119" s="3" t="s">
        <v>72</v>
      </c>
      <c r="E2119" s="3"/>
      <c r="F2119" s="3"/>
    </row>
    <row r="2120" spans="1:6" hidden="1" x14ac:dyDescent="0.3">
      <c r="A2120" s="7" t="str">
        <f>BD_ControlRegimen[[#This Row],[FECHA]]&amp;BD_ControlRegimen[[#This Row],[NOMBRE]]</f>
        <v>45209GONZALES DELGADO ANGEL MARCIAL</v>
      </c>
      <c r="B2120" s="83">
        <f>WEEKNUM(BD_ControlRegimen[[#This Row],[FECHA]],2)</f>
        <v>42</v>
      </c>
      <c r="C2120" s="7">
        <v>45209</v>
      </c>
      <c r="D2120" s="3" t="s">
        <v>72</v>
      </c>
      <c r="E2120" s="3"/>
      <c r="F2120" s="3"/>
    </row>
    <row r="2121" spans="1:6" hidden="1" x14ac:dyDescent="0.3">
      <c r="A2121" s="7" t="str">
        <f>BD_ControlRegimen[[#This Row],[FECHA]]&amp;BD_ControlRegimen[[#This Row],[NOMBRE]]</f>
        <v>45210GONZALES DELGADO ANGEL MARCIAL</v>
      </c>
      <c r="B2121" s="83">
        <f>WEEKNUM(BD_ControlRegimen[[#This Row],[FECHA]],2)</f>
        <v>42</v>
      </c>
      <c r="C2121" s="7">
        <v>45210</v>
      </c>
      <c r="D2121" s="3" t="s">
        <v>72</v>
      </c>
      <c r="E2121" s="3"/>
      <c r="F2121" s="3"/>
    </row>
    <row r="2122" spans="1:6" hidden="1" x14ac:dyDescent="0.3">
      <c r="A2122" s="7" t="str">
        <f>BD_ControlRegimen[[#This Row],[FECHA]]&amp;BD_ControlRegimen[[#This Row],[NOMBRE]]</f>
        <v>45211GONZALES DELGADO ANGEL MARCIAL</v>
      </c>
      <c r="B2122" s="83">
        <f>WEEKNUM(BD_ControlRegimen[[#This Row],[FECHA]],2)</f>
        <v>42</v>
      </c>
      <c r="C2122" s="7">
        <v>45211</v>
      </c>
      <c r="D2122" s="3" t="s">
        <v>72</v>
      </c>
      <c r="E2122" s="3"/>
      <c r="F2122" s="3"/>
    </row>
    <row r="2123" spans="1:6" hidden="1" x14ac:dyDescent="0.3">
      <c r="A2123" s="7" t="str">
        <f>BD_ControlRegimen[[#This Row],[FECHA]]&amp;BD_ControlRegimen[[#This Row],[NOMBRE]]</f>
        <v>45212GONZALES DELGADO ANGEL MARCIAL</v>
      </c>
      <c r="B2123" s="83">
        <f>WEEKNUM(BD_ControlRegimen[[#This Row],[FECHA]],2)</f>
        <v>42</v>
      </c>
      <c r="C2123" s="7">
        <v>45212</v>
      </c>
      <c r="D2123" s="3" t="s">
        <v>72</v>
      </c>
      <c r="E2123" s="3"/>
      <c r="F2123" s="3"/>
    </row>
    <row r="2124" spans="1:6" hidden="1" x14ac:dyDescent="0.3">
      <c r="A2124" s="7" t="str">
        <f>BD_ControlRegimen[[#This Row],[FECHA]]&amp;BD_ControlRegimen[[#This Row],[NOMBRE]]</f>
        <v>45213GONZALES DELGADO ANGEL MARCIAL</v>
      </c>
      <c r="B2124" s="83">
        <f>WEEKNUM(BD_ControlRegimen[[#This Row],[FECHA]],2)</f>
        <v>42</v>
      </c>
      <c r="C2124" s="7">
        <v>45213</v>
      </c>
      <c r="D2124" s="3" t="s">
        <v>72</v>
      </c>
      <c r="E2124" s="3"/>
      <c r="F2124" s="3"/>
    </row>
    <row r="2125" spans="1:6" hidden="1" x14ac:dyDescent="0.3">
      <c r="A2125" s="7" t="str">
        <f>BD_ControlRegimen[[#This Row],[FECHA]]&amp;BD_ControlRegimen[[#This Row],[NOMBRE]]</f>
        <v>45214GONZALES DELGADO ANGEL MARCIAL</v>
      </c>
      <c r="B2125" s="83">
        <f>WEEKNUM(BD_ControlRegimen[[#This Row],[FECHA]],2)</f>
        <v>42</v>
      </c>
      <c r="C2125" s="7">
        <v>45214</v>
      </c>
      <c r="D2125" s="3" t="s">
        <v>72</v>
      </c>
      <c r="E2125" s="3"/>
      <c r="F2125" s="3"/>
    </row>
    <row r="2126" spans="1:6" hidden="1" x14ac:dyDescent="0.3">
      <c r="A2126" s="7" t="str">
        <f>BD_ControlRegimen[[#This Row],[FECHA]]&amp;BD_ControlRegimen[[#This Row],[NOMBRE]]</f>
        <v>45215GONZALES DELGADO ANGEL MARCIAL</v>
      </c>
      <c r="B2126" s="83">
        <f>WEEKNUM(BD_ControlRegimen[[#This Row],[FECHA]],2)</f>
        <v>43</v>
      </c>
      <c r="C2126" s="7">
        <v>45215</v>
      </c>
      <c r="D2126" s="3" t="s">
        <v>72</v>
      </c>
      <c r="E2126" s="3"/>
      <c r="F2126" s="3"/>
    </row>
    <row r="2127" spans="1:6" hidden="1" x14ac:dyDescent="0.3">
      <c r="A2127" s="7" t="str">
        <f>BD_ControlRegimen[[#This Row],[FECHA]]&amp;BD_ControlRegimen[[#This Row],[NOMBRE]]</f>
        <v>45216GONZALES DELGADO ANGEL MARCIAL</v>
      </c>
      <c r="B2127" s="83">
        <f>WEEKNUM(BD_ControlRegimen[[#This Row],[FECHA]],2)</f>
        <v>43</v>
      </c>
      <c r="C2127" s="7">
        <v>45216</v>
      </c>
      <c r="D2127" s="3" t="s">
        <v>72</v>
      </c>
      <c r="E2127" s="3"/>
      <c r="F2127" s="3"/>
    </row>
    <row r="2128" spans="1:6" hidden="1" x14ac:dyDescent="0.3">
      <c r="A2128" s="7" t="str">
        <f>BD_ControlRegimen[[#This Row],[FECHA]]&amp;BD_ControlRegimen[[#This Row],[NOMBRE]]</f>
        <v>45217GONZALES DELGADO ANGEL MARCIAL</v>
      </c>
      <c r="B2128" s="83">
        <f>WEEKNUM(BD_ControlRegimen[[#This Row],[FECHA]],2)</f>
        <v>43</v>
      </c>
      <c r="C2128" s="7">
        <v>45217</v>
      </c>
      <c r="D2128" s="3" t="s">
        <v>72</v>
      </c>
      <c r="E2128" s="3"/>
      <c r="F2128" s="3"/>
    </row>
    <row r="2129" spans="1:6" hidden="1" x14ac:dyDescent="0.3">
      <c r="A2129" s="7" t="str">
        <f>BD_ControlRegimen[[#This Row],[FECHA]]&amp;BD_ControlRegimen[[#This Row],[NOMBRE]]</f>
        <v>45218GONZALES DELGADO ANGEL MARCIAL</v>
      </c>
      <c r="B2129" s="83">
        <f>WEEKNUM(BD_ControlRegimen[[#This Row],[FECHA]],2)</f>
        <v>43</v>
      </c>
      <c r="C2129" s="7">
        <v>45218</v>
      </c>
      <c r="D2129" s="3" t="s">
        <v>72</v>
      </c>
      <c r="E2129" s="3"/>
      <c r="F2129" s="3"/>
    </row>
    <row r="2130" spans="1:6" hidden="1" x14ac:dyDescent="0.3">
      <c r="A2130" s="7" t="str">
        <f>BD_ControlRegimen[[#This Row],[FECHA]]&amp;BD_ControlRegimen[[#This Row],[NOMBRE]]</f>
        <v>45219GONZALES DELGADO ANGEL MARCIAL</v>
      </c>
      <c r="B2130" s="83">
        <f>WEEKNUM(BD_ControlRegimen[[#This Row],[FECHA]],2)</f>
        <v>43</v>
      </c>
      <c r="C2130" s="7">
        <v>45219</v>
      </c>
      <c r="D2130" s="3" t="s">
        <v>72</v>
      </c>
      <c r="E2130" s="3"/>
      <c r="F2130" s="3"/>
    </row>
    <row r="2131" spans="1:6" hidden="1" x14ac:dyDescent="0.3">
      <c r="A2131" s="7" t="str">
        <f>BD_ControlRegimen[[#This Row],[FECHA]]&amp;BD_ControlRegimen[[#This Row],[NOMBRE]]</f>
        <v>45220GONZALES DELGADO ANGEL MARCIAL</v>
      </c>
      <c r="B2131" s="83">
        <f>WEEKNUM(BD_ControlRegimen[[#This Row],[FECHA]],2)</f>
        <v>43</v>
      </c>
      <c r="C2131" s="7">
        <v>45220</v>
      </c>
      <c r="D2131" s="3" t="s">
        <v>72</v>
      </c>
      <c r="E2131" s="3"/>
      <c r="F2131" s="3"/>
    </row>
    <row r="2132" spans="1:6" hidden="1" x14ac:dyDescent="0.3">
      <c r="A2132" s="7" t="str">
        <f>BD_ControlRegimen[[#This Row],[FECHA]]&amp;BD_ControlRegimen[[#This Row],[NOMBRE]]</f>
        <v>45221GONZALES DELGADO ANGEL MARCIAL</v>
      </c>
      <c r="B2132" s="83">
        <f>WEEKNUM(BD_ControlRegimen[[#This Row],[FECHA]],2)</f>
        <v>43</v>
      </c>
      <c r="C2132" s="7">
        <v>45221</v>
      </c>
      <c r="D2132" s="3" t="s">
        <v>72</v>
      </c>
      <c r="E2132" s="3"/>
      <c r="F2132" s="3"/>
    </row>
    <row r="2133" spans="1:6" hidden="1" x14ac:dyDescent="0.3">
      <c r="A2133" s="7" t="str">
        <f>BD_ControlRegimen[[#This Row],[FECHA]]&amp;BD_ControlRegimen[[#This Row],[NOMBRE]]</f>
        <v>45222GONZALES DELGADO ANGEL MARCIAL</v>
      </c>
      <c r="B2133" s="83">
        <f>WEEKNUM(BD_ControlRegimen[[#This Row],[FECHA]],2)</f>
        <v>44</v>
      </c>
      <c r="C2133" s="7">
        <v>45222</v>
      </c>
      <c r="D2133" s="3" t="s">
        <v>72</v>
      </c>
      <c r="E2133" s="3"/>
      <c r="F2133" s="3"/>
    </row>
    <row r="2134" spans="1:6" hidden="1" x14ac:dyDescent="0.3">
      <c r="A2134" s="7" t="str">
        <f>BD_ControlRegimen[[#This Row],[FECHA]]&amp;BD_ControlRegimen[[#This Row],[NOMBRE]]</f>
        <v>45223GONZALES DELGADO ANGEL MARCIAL</v>
      </c>
      <c r="B2134" s="83">
        <f>WEEKNUM(BD_ControlRegimen[[#This Row],[FECHA]],2)</f>
        <v>44</v>
      </c>
      <c r="C2134" s="7">
        <v>45223</v>
      </c>
      <c r="D2134" s="3" t="s">
        <v>72</v>
      </c>
      <c r="E2134" s="3"/>
      <c r="F2134" s="3"/>
    </row>
    <row r="2135" spans="1:6" hidden="1" x14ac:dyDescent="0.3">
      <c r="A2135" s="7" t="str">
        <f>BD_ControlRegimen[[#This Row],[FECHA]]&amp;BD_ControlRegimen[[#This Row],[NOMBRE]]</f>
        <v>45224GONZALES DELGADO ANGEL MARCIAL</v>
      </c>
      <c r="B2135" s="83">
        <f>WEEKNUM(BD_ControlRegimen[[#This Row],[FECHA]],2)</f>
        <v>44</v>
      </c>
      <c r="C2135" s="7">
        <v>45224</v>
      </c>
      <c r="D2135" s="3" t="s">
        <v>72</v>
      </c>
      <c r="E2135" s="3"/>
      <c r="F2135" s="3"/>
    </row>
    <row r="2136" spans="1:6" hidden="1" x14ac:dyDescent="0.3">
      <c r="A2136" s="7" t="str">
        <f>BD_ControlRegimen[[#This Row],[FECHA]]&amp;BD_ControlRegimen[[#This Row],[NOMBRE]]</f>
        <v>45225GONZALES DELGADO ANGEL MARCIAL</v>
      </c>
      <c r="B2136" s="83">
        <f>WEEKNUM(BD_ControlRegimen[[#This Row],[FECHA]],2)</f>
        <v>44</v>
      </c>
      <c r="C2136" s="7">
        <v>45225</v>
      </c>
      <c r="D2136" s="3" t="s">
        <v>72</v>
      </c>
      <c r="E2136" s="3"/>
      <c r="F2136" s="3"/>
    </row>
    <row r="2137" spans="1:6" hidden="1" x14ac:dyDescent="0.3">
      <c r="A2137" s="7" t="str">
        <f>BD_ControlRegimen[[#This Row],[FECHA]]&amp;BD_ControlRegimen[[#This Row],[NOMBRE]]</f>
        <v>45226GONZALES DELGADO ANGEL MARCIAL</v>
      </c>
      <c r="B2137" s="83">
        <f>WEEKNUM(BD_ControlRegimen[[#This Row],[FECHA]],2)</f>
        <v>44</v>
      </c>
      <c r="C2137" s="7">
        <v>45226</v>
      </c>
      <c r="D2137" s="3" t="s">
        <v>72</v>
      </c>
      <c r="E2137" s="3"/>
      <c r="F2137" s="3"/>
    </row>
    <row r="2138" spans="1:6" hidden="1" x14ac:dyDescent="0.3">
      <c r="A2138" s="7" t="str">
        <f>BD_ControlRegimen[[#This Row],[FECHA]]&amp;BD_ControlRegimen[[#This Row],[NOMBRE]]</f>
        <v>45227GONZALES DELGADO ANGEL MARCIAL</v>
      </c>
      <c r="B2138" s="83">
        <f>WEEKNUM(BD_ControlRegimen[[#This Row],[FECHA]],2)</f>
        <v>44</v>
      </c>
      <c r="C2138" s="7">
        <v>45227</v>
      </c>
      <c r="D2138" s="3" t="s">
        <v>72</v>
      </c>
      <c r="E2138" s="3"/>
      <c r="F2138" s="3"/>
    </row>
    <row r="2139" spans="1:6" hidden="1" x14ac:dyDescent="0.3">
      <c r="A2139" s="7" t="str">
        <f>BD_ControlRegimen[[#This Row],[FECHA]]&amp;BD_ControlRegimen[[#This Row],[NOMBRE]]</f>
        <v>45228GONZALES DELGADO ANGEL MARCIAL</v>
      </c>
      <c r="B2139" s="83">
        <f>WEEKNUM(BD_ControlRegimen[[#This Row],[FECHA]],2)</f>
        <v>44</v>
      </c>
      <c r="C2139" s="7">
        <v>45228</v>
      </c>
      <c r="D2139" s="3" t="s">
        <v>72</v>
      </c>
      <c r="E2139" s="3"/>
      <c r="F2139" s="3"/>
    </row>
    <row r="2140" spans="1:6" hidden="1" x14ac:dyDescent="0.3">
      <c r="A2140" s="7" t="str">
        <f>BD_ControlRegimen[[#This Row],[FECHA]]&amp;BD_ControlRegimen[[#This Row],[NOMBRE]]</f>
        <v>45229GONZALES DELGADO ANGEL MARCIAL</v>
      </c>
      <c r="B2140" s="83">
        <f>WEEKNUM(BD_ControlRegimen[[#This Row],[FECHA]],2)</f>
        <v>45</v>
      </c>
      <c r="C2140" s="7">
        <v>45229</v>
      </c>
      <c r="D2140" s="3" t="s">
        <v>72</v>
      </c>
      <c r="E2140" s="3"/>
      <c r="F2140" s="3"/>
    </row>
    <row r="2141" spans="1:6" hidden="1" x14ac:dyDescent="0.3">
      <c r="A2141" s="7" t="str">
        <f>BD_ControlRegimen[[#This Row],[FECHA]]&amp;BD_ControlRegimen[[#This Row],[NOMBRE]]</f>
        <v>45230GONZALES DELGADO ANGEL MARCIAL</v>
      </c>
      <c r="B2141" s="83">
        <f>WEEKNUM(BD_ControlRegimen[[#This Row],[FECHA]],2)</f>
        <v>45</v>
      </c>
      <c r="C2141" s="7">
        <v>45230</v>
      </c>
      <c r="D2141" s="3" t="s">
        <v>72</v>
      </c>
      <c r="E2141" s="3"/>
      <c r="F2141" s="3"/>
    </row>
    <row r="2142" spans="1:6" hidden="1" x14ac:dyDescent="0.3">
      <c r="A2142" s="7" t="str">
        <f>BD_ControlRegimen[[#This Row],[FECHA]]&amp;BD_ControlRegimen[[#This Row],[NOMBRE]]</f>
        <v>45231GONZALES DELGADO ANGEL MARCIAL</v>
      </c>
      <c r="B2142" s="83">
        <f>WEEKNUM(BD_ControlRegimen[[#This Row],[FECHA]],2)</f>
        <v>45</v>
      </c>
      <c r="C2142" s="7">
        <v>45231</v>
      </c>
      <c r="D2142" s="3" t="s">
        <v>72</v>
      </c>
      <c r="E2142" s="3"/>
      <c r="F2142" s="3"/>
    </row>
    <row r="2143" spans="1:6" hidden="1" x14ac:dyDescent="0.3">
      <c r="A2143" s="7" t="str">
        <f>BD_ControlRegimen[[#This Row],[FECHA]]&amp;BD_ControlRegimen[[#This Row],[NOMBRE]]</f>
        <v>45232GONZALES DELGADO ANGEL MARCIAL</v>
      </c>
      <c r="B2143" s="83">
        <f>WEEKNUM(BD_ControlRegimen[[#This Row],[FECHA]],2)</f>
        <v>45</v>
      </c>
      <c r="C2143" s="7">
        <v>45232</v>
      </c>
      <c r="D2143" s="3" t="s">
        <v>72</v>
      </c>
      <c r="E2143" s="3"/>
      <c r="F2143" s="3"/>
    </row>
    <row r="2144" spans="1:6" hidden="1" x14ac:dyDescent="0.3">
      <c r="A2144" s="7" t="str">
        <f>BD_ControlRegimen[[#This Row],[FECHA]]&amp;BD_ControlRegimen[[#This Row],[NOMBRE]]</f>
        <v>45233GONZALES DELGADO ANGEL MARCIAL</v>
      </c>
      <c r="B2144" s="83">
        <f>WEEKNUM(BD_ControlRegimen[[#This Row],[FECHA]],2)</f>
        <v>45</v>
      </c>
      <c r="C2144" s="7">
        <v>45233</v>
      </c>
      <c r="D2144" s="3" t="s">
        <v>72</v>
      </c>
      <c r="E2144" s="3"/>
      <c r="F2144" s="3"/>
    </row>
    <row r="2145" spans="1:6" hidden="1" x14ac:dyDescent="0.3">
      <c r="A2145" s="7" t="str">
        <f>BD_ControlRegimen[[#This Row],[FECHA]]&amp;BD_ControlRegimen[[#This Row],[NOMBRE]]</f>
        <v>45234GONZALES DELGADO ANGEL MARCIAL</v>
      </c>
      <c r="B2145" s="83">
        <f>WEEKNUM(BD_ControlRegimen[[#This Row],[FECHA]],2)</f>
        <v>45</v>
      </c>
      <c r="C2145" s="7">
        <v>45234</v>
      </c>
      <c r="D2145" s="3" t="s">
        <v>72</v>
      </c>
      <c r="E2145" s="3"/>
      <c r="F2145" s="3"/>
    </row>
    <row r="2146" spans="1:6" hidden="1" x14ac:dyDescent="0.3">
      <c r="A2146" s="7" t="str">
        <f>BD_ControlRegimen[[#This Row],[FECHA]]&amp;BD_ControlRegimen[[#This Row],[NOMBRE]]</f>
        <v>45235GONZALES DELGADO ANGEL MARCIAL</v>
      </c>
      <c r="B2146" s="83">
        <f>WEEKNUM(BD_ControlRegimen[[#This Row],[FECHA]],2)</f>
        <v>45</v>
      </c>
      <c r="C2146" s="7">
        <v>45235</v>
      </c>
      <c r="D2146" s="3" t="s">
        <v>72</v>
      </c>
      <c r="E2146" s="3"/>
      <c r="F2146" s="3"/>
    </row>
    <row r="2147" spans="1:6" hidden="1" x14ac:dyDescent="0.3">
      <c r="A2147" s="7" t="str">
        <f>BD_ControlRegimen[[#This Row],[FECHA]]&amp;BD_ControlRegimen[[#This Row],[NOMBRE]]</f>
        <v>45236GONZALES DELGADO ANGEL MARCIAL</v>
      </c>
      <c r="B2147" s="83">
        <f>WEEKNUM(BD_ControlRegimen[[#This Row],[FECHA]],2)</f>
        <v>46</v>
      </c>
      <c r="C2147" s="7">
        <v>45236</v>
      </c>
      <c r="D2147" s="3" t="s">
        <v>72</v>
      </c>
      <c r="E2147" s="3"/>
      <c r="F2147" s="3"/>
    </row>
    <row r="2148" spans="1:6" hidden="1" x14ac:dyDescent="0.3">
      <c r="A2148" s="7" t="str">
        <f>BD_ControlRegimen[[#This Row],[FECHA]]&amp;BD_ControlRegimen[[#This Row],[NOMBRE]]</f>
        <v>45237GONZALES DELGADO ANGEL MARCIAL</v>
      </c>
      <c r="B2148" s="83">
        <f>WEEKNUM(BD_ControlRegimen[[#This Row],[FECHA]],2)</f>
        <v>46</v>
      </c>
      <c r="C2148" s="7">
        <v>45237</v>
      </c>
      <c r="D2148" s="3" t="s">
        <v>72</v>
      </c>
      <c r="E2148" s="3"/>
      <c r="F2148" s="3"/>
    </row>
    <row r="2149" spans="1:6" hidden="1" x14ac:dyDescent="0.3">
      <c r="A2149" s="7" t="str">
        <f>BD_ControlRegimen[[#This Row],[FECHA]]&amp;BD_ControlRegimen[[#This Row],[NOMBRE]]</f>
        <v>45238GONZALES DELGADO ANGEL MARCIAL</v>
      </c>
      <c r="B2149" s="83">
        <f>WEEKNUM(BD_ControlRegimen[[#This Row],[FECHA]],2)</f>
        <v>46</v>
      </c>
      <c r="C2149" s="7">
        <v>45238</v>
      </c>
      <c r="D2149" s="3" t="s">
        <v>72</v>
      </c>
      <c r="E2149" s="3"/>
      <c r="F2149" s="3"/>
    </row>
    <row r="2150" spans="1:6" hidden="1" x14ac:dyDescent="0.3">
      <c r="A2150" s="7" t="str">
        <f>BD_ControlRegimen[[#This Row],[FECHA]]&amp;BD_ControlRegimen[[#This Row],[NOMBRE]]</f>
        <v>45239GONZALES DELGADO ANGEL MARCIAL</v>
      </c>
      <c r="B2150" s="83">
        <f>WEEKNUM(BD_ControlRegimen[[#This Row],[FECHA]],2)</f>
        <v>46</v>
      </c>
      <c r="C2150" s="7">
        <v>45239</v>
      </c>
      <c r="D2150" s="3" t="s">
        <v>72</v>
      </c>
      <c r="E2150" s="3"/>
      <c r="F2150" s="3"/>
    </row>
    <row r="2151" spans="1:6" hidden="1" x14ac:dyDescent="0.3">
      <c r="A2151" s="7" t="str">
        <f>BD_ControlRegimen[[#This Row],[FECHA]]&amp;BD_ControlRegimen[[#This Row],[NOMBRE]]</f>
        <v>45240GONZALES DELGADO ANGEL MARCIAL</v>
      </c>
      <c r="B2151" s="83">
        <f>WEEKNUM(BD_ControlRegimen[[#This Row],[FECHA]],2)</f>
        <v>46</v>
      </c>
      <c r="C2151" s="7">
        <v>45240</v>
      </c>
      <c r="D2151" s="3" t="s">
        <v>72</v>
      </c>
      <c r="E2151" s="3"/>
      <c r="F2151" s="3"/>
    </row>
    <row r="2152" spans="1:6" hidden="1" x14ac:dyDescent="0.3">
      <c r="A2152" s="7" t="str">
        <f>BD_ControlRegimen[[#This Row],[FECHA]]&amp;BD_ControlRegimen[[#This Row],[NOMBRE]]</f>
        <v>45241GONZALES DELGADO ANGEL MARCIAL</v>
      </c>
      <c r="B2152" s="83">
        <f>WEEKNUM(BD_ControlRegimen[[#This Row],[FECHA]],2)</f>
        <v>46</v>
      </c>
      <c r="C2152" s="7">
        <v>45241</v>
      </c>
      <c r="D2152" s="3" t="s">
        <v>72</v>
      </c>
      <c r="E2152" s="3"/>
      <c r="F2152" s="3"/>
    </row>
    <row r="2153" spans="1:6" hidden="1" x14ac:dyDescent="0.3">
      <c r="A2153" s="7" t="str">
        <f>BD_ControlRegimen[[#This Row],[FECHA]]&amp;BD_ControlRegimen[[#This Row],[NOMBRE]]</f>
        <v>45242GONZALES DELGADO ANGEL MARCIAL</v>
      </c>
      <c r="B2153" s="83">
        <f>WEEKNUM(BD_ControlRegimen[[#This Row],[FECHA]],2)</f>
        <v>46</v>
      </c>
      <c r="C2153" s="7">
        <v>45242</v>
      </c>
      <c r="D2153" s="3" t="s">
        <v>72</v>
      </c>
      <c r="E2153" s="3"/>
      <c r="F2153" s="3"/>
    </row>
    <row r="2154" spans="1:6" hidden="1" x14ac:dyDescent="0.3">
      <c r="A2154" s="7" t="str">
        <f>BD_ControlRegimen[[#This Row],[FECHA]]&amp;BD_ControlRegimen[[#This Row],[NOMBRE]]</f>
        <v>45243GONZALES DELGADO ANGEL MARCIAL</v>
      </c>
      <c r="B2154" s="83">
        <f>WEEKNUM(BD_ControlRegimen[[#This Row],[FECHA]],2)</f>
        <v>47</v>
      </c>
      <c r="C2154" s="7">
        <v>45243</v>
      </c>
      <c r="D2154" s="3" t="s">
        <v>72</v>
      </c>
      <c r="E2154" s="3"/>
      <c r="F2154" s="3"/>
    </row>
    <row r="2155" spans="1:6" hidden="1" x14ac:dyDescent="0.3">
      <c r="A2155" s="7" t="str">
        <f>BD_ControlRegimen[[#This Row],[FECHA]]&amp;BD_ControlRegimen[[#This Row],[NOMBRE]]</f>
        <v>45244GONZALES DELGADO ANGEL MARCIAL</v>
      </c>
      <c r="B2155" s="83">
        <f>WEEKNUM(BD_ControlRegimen[[#This Row],[FECHA]],2)</f>
        <v>47</v>
      </c>
      <c r="C2155" s="7">
        <v>45244</v>
      </c>
      <c r="D2155" s="3" t="s">
        <v>72</v>
      </c>
      <c r="E2155" s="3"/>
      <c r="F2155" s="3"/>
    </row>
    <row r="2156" spans="1:6" hidden="1" x14ac:dyDescent="0.3">
      <c r="A2156" s="7" t="str">
        <f>BD_ControlRegimen[[#This Row],[FECHA]]&amp;BD_ControlRegimen[[#This Row],[NOMBRE]]</f>
        <v>45245GONZALES DELGADO ANGEL MARCIAL</v>
      </c>
      <c r="B2156" s="83">
        <f>WEEKNUM(BD_ControlRegimen[[#This Row],[FECHA]],2)</f>
        <v>47</v>
      </c>
      <c r="C2156" s="7">
        <v>45245</v>
      </c>
      <c r="D2156" s="3" t="s">
        <v>72</v>
      </c>
      <c r="E2156" s="3"/>
      <c r="F2156" s="3"/>
    </row>
    <row r="2157" spans="1:6" hidden="1" x14ac:dyDescent="0.3">
      <c r="A2157" s="7" t="str">
        <f>BD_ControlRegimen[[#This Row],[FECHA]]&amp;BD_ControlRegimen[[#This Row],[NOMBRE]]</f>
        <v>45246GONZALES DELGADO ANGEL MARCIAL</v>
      </c>
      <c r="B2157" s="83">
        <f>WEEKNUM(BD_ControlRegimen[[#This Row],[FECHA]],2)</f>
        <v>47</v>
      </c>
      <c r="C2157" s="7">
        <v>45246</v>
      </c>
      <c r="D2157" s="3" t="s">
        <v>72</v>
      </c>
      <c r="E2157" s="3"/>
      <c r="F2157" s="3"/>
    </row>
    <row r="2158" spans="1:6" hidden="1" x14ac:dyDescent="0.3">
      <c r="A2158" s="7" t="str">
        <f>BD_ControlRegimen[[#This Row],[FECHA]]&amp;BD_ControlRegimen[[#This Row],[NOMBRE]]</f>
        <v>45247GONZALES DELGADO ANGEL MARCIAL</v>
      </c>
      <c r="B2158" s="83">
        <f>WEEKNUM(BD_ControlRegimen[[#This Row],[FECHA]],2)</f>
        <v>47</v>
      </c>
      <c r="C2158" s="7">
        <v>45247</v>
      </c>
      <c r="D2158" s="3" t="s">
        <v>72</v>
      </c>
      <c r="E2158" s="3"/>
      <c r="F2158" s="3"/>
    </row>
    <row r="2159" spans="1:6" hidden="1" x14ac:dyDescent="0.3">
      <c r="A2159" s="7" t="str">
        <f>BD_ControlRegimen[[#This Row],[FECHA]]&amp;BD_ControlRegimen[[#This Row],[NOMBRE]]</f>
        <v>45248GONZALES DELGADO ANGEL MARCIAL</v>
      </c>
      <c r="B2159" s="83">
        <f>WEEKNUM(BD_ControlRegimen[[#This Row],[FECHA]],2)</f>
        <v>47</v>
      </c>
      <c r="C2159" s="7">
        <v>45248</v>
      </c>
      <c r="D2159" s="3" t="s">
        <v>72</v>
      </c>
      <c r="E2159" s="3"/>
      <c r="F2159" s="3"/>
    </row>
    <row r="2160" spans="1:6" hidden="1" x14ac:dyDescent="0.3">
      <c r="A2160" s="7" t="str">
        <f>BD_ControlRegimen[[#This Row],[FECHA]]&amp;BD_ControlRegimen[[#This Row],[NOMBRE]]</f>
        <v>45249GONZALES DELGADO ANGEL MARCIAL</v>
      </c>
      <c r="B2160" s="83">
        <f>WEEKNUM(BD_ControlRegimen[[#This Row],[FECHA]],2)</f>
        <v>47</v>
      </c>
      <c r="C2160" s="7">
        <v>45249</v>
      </c>
      <c r="D2160" s="3" t="s">
        <v>72</v>
      </c>
      <c r="E2160" s="3"/>
      <c r="F2160" s="3"/>
    </row>
    <row r="2161" spans="1:6" hidden="1" x14ac:dyDescent="0.3">
      <c r="A2161" s="7" t="str">
        <f>BD_ControlRegimen[[#This Row],[FECHA]]&amp;BD_ControlRegimen[[#This Row],[NOMBRE]]</f>
        <v>45250GONZALES DELGADO ANGEL MARCIAL</v>
      </c>
      <c r="B2161" s="83">
        <f>WEEKNUM(BD_ControlRegimen[[#This Row],[FECHA]],2)</f>
        <v>48</v>
      </c>
      <c r="C2161" s="7">
        <v>45250</v>
      </c>
      <c r="D2161" s="3" t="s">
        <v>72</v>
      </c>
      <c r="E2161" s="3"/>
      <c r="F2161" s="3"/>
    </row>
    <row r="2162" spans="1:6" hidden="1" x14ac:dyDescent="0.3">
      <c r="A2162" s="7" t="str">
        <f>BD_ControlRegimen[[#This Row],[FECHA]]&amp;BD_ControlRegimen[[#This Row],[NOMBRE]]</f>
        <v>45251GONZALES DELGADO ANGEL MARCIAL</v>
      </c>
      <c r="B2162" s="83">
        <f>WEEKNUM(BD_ControlRegimen[[#This Row],[FECHA]],2)</f>
        <v>48</v>
      </c>
      <c r="C2162" s="7">
        <v>45251</v>
      </c>
      <c r="D2162" s="3" t="s">
        <v>72</v>
      </c>
      <c r="E2162" s="3"/>
      <c r="F2162" s="3"/>
    </row>
    <row r="2163" spans="1:6" hidden="1" x14ac:dyDescent="0.3">
      <c r="A2163" s="7" t="str">
        <f>BD_ControlRegimen[[#This Row],[FECHA]]&amp;BD_ControlRegimen[[#This Row],[NOMBRE]]</f>
        <v>45252GONZALES DELGADO ANGEL MARCIAL</v>
      </c>
      <c r="B2163" s="83">
        <f>WEEKNUM(BD_ControlRegimen[[#This Row],[FECHA]],2)</f>
        <v>48</v>
      </c>
      <c r="C2163" s="7">
        <v>45252</v>
      </c>
      <c r="D2163" s="3" t="s">
        <v>72</v>
      </c>
      <c r="E2163" s="3"/>
      <c r="F2163" s="3"/>
    </row>
    <row r="2164" spans="1:6" hidden="1" x14ac:dyDescent="0.3">
      <c r="A2164" s="7" t="str">
        <f>BD_ControlRegimen[[#This Row],[FECHA]]&amp;BD_ControlRegimen[[#This Row],[NOMBRE]]</f>
        <v>45253GONZALES DELGADO ANGEL MARCIAL</v>
      </c>
      <c r="B2164" s="83">
        <f>WEEKNUM(BD_ControlRegimen[[#This Row],[FECHA]],2)</f>
        <v>48</v>
      </c>
      <c r="C2164" s="7">
        <v>45253</v>
      </c>
      <c r="D2164" s="3" t="s">
        <v>72</v>
      </c>
      <c r="E2164" s="3"/>
      <c r="F2164" s="3"/>
    </row>
    <row r="2165" spans="1:6" hidden="1" x14ac:dyDescent="0.3">
      <c r="A2165" s="7" t="str">
        <f>BD_ControlRegimen[[#This Row],[FECHA]]&amp;BD_ControlRegimen[[#This Row],[NOMBRE]]</f>
        <v>45254GONZALES DELGADO ANGEL MARCIAL</v>
      </c>
      <c r="B2165" s="83">
        <f>WEEKNUM(BD_ControlRegimen[[#This Row],[FECHA]],2)</f>
        <v>48</v>
      </c>
      <c r="C2165" s="7">
        <v>45254</v>
      </c>
      <c r="D2165" s="3" t="s">
        <v>72</v>
      </c>
      <c r="E2165" s="3"/>
      <c r="F2165" s="3"/>
    </row>
    <row r="2166" spans="1:6" hidden="1" x14ac:dyDescent="0.3">
      <c r="A2166" s="7" t="str">
        <f>BD_ControlRegimen[[#This Row],[FECHA]]&amp;BD_ControlRegimen[[#This Row],[NOMBRE]]</f>
        <v>45255GONZALES DELGADO ANGEL MARCIAL</v>
      </c>
      <c r="B2166" s="83">
        <f>WEEKNUM(BD_ControlRegimen[[#This Row],[FECHA]],2)</f>
        <v>48</v>
      </c>
      <c r="C2166" s="7">
        <v>45255</v>
      </c>
      <c r="D2166" s="3" t="s">
        <v>72</v>
      </c>
      <c r="E2166" s="3"/>
      <c r="F2166" s="3"/>
    </row>
    <row r="2167" spans="1:6" hidden="1" x14ac:dyDescent="0.3">
      <c r="A2167" s="7" t="str">
        <f>BD_ControlRegimen[[#This Row],[FECHA]]&amp;BD_ControlRegimen[[#This Row],[NOMBRE]]</f>
        <v>45256GONZALES DELGADO ANGEL MARCIAL</v>
      </c>
      <c r="B2167" s="83">
        <f>WEEKNUM(BD_ControlRegimen[[#This Row],[FECHA]],2)</f>
        <v>48</v>
      </c>
      <c r="C2167" s="7">
        <v>45256</v>
      </c>
      <c r="D2167" s="3" t="s">
        <v>72</v>
      </c>
      <c r="E2167" s="3"/>
      <c r="F2167" s="3"/>
    </row>
    <row r="2168" spans="1:6" hidden="1" x14ac:dyDescent="0.3">
      <c r="A2168" s="7" t="str">
        <f>BD_ControlRegimen[[#This Row],[FECHA]]&amp;BD_ControlRegimen[[#This Row],[NOMBRE]]</f>
        <v>45257GONZALES DELGADO ANGEL MARCIAL</v>
      </c>
      <c r="B2168" s="83">
        <f>WEEKNUM(BD_ControlRegimen[[#This Row],[FECHA]],2)</f>
        <v>49</v>
      </c>
      <c r="C2168" s="7">
        <v>45257</v>
      </c>
      <c r="D2168" s="3" t="s">
        <v>72</v>
      </c>
      <c r="E2168" s="3"/>
      <c r="F2168" s="3"/>
    </row>
    <row r="2169" spans="1:6" hidden="1" x14ac:dyDescent="0.3">
      <c r="A2169" s="7" t="str">
        <f>BD_ControlRegimen[[#This Row],[FECHA]]&amp;BD_ControlRegimen[[#This Row],[NOMBRE]]</f>
        <v>45258GONZALES DELGADO ANGEL MARCIAL</v>
      </c>
      <c r="B2169" s="83">
        <f>WEEKNUM(BD_ControlRegimen[[#This Row],[FECHA]],2)</f>
        <v>49</v>
      </c>
      <c r="C2169" s="7">
        <v>45258</v>
      </c>
      <c r="D2169" s="3" t="s">
        <v>72</v>
      </c>
      <c r="E2169" s="3"/>
      <c r="F2169" s="3"/>
    </row>
    <row r="2170" spans="1:6" hidden="1" x14ac:dyDescent="0.3">
      <c r="A2170" s="7" t="str">
        <f>BD_ControlRegimen[[#This Row],[FECHA]]&amp;BD_ControlRegimen[[#This Row],[NOMBRE]]</f>
        <v>45259GONZALES DELGADO ANGEL MARCIAL</v>
      </c>
      <c r="B2170" s="83">
        <f>WEEKNUM(BD_ControlRegimen[[#This Row],[FECHA]],2)</f>
        <v>49</v>
      </c>
      <c r="C2170" s="7">
        <v>45259</v>
      </c>
      <c r="D2170" s="3" t="s">
        <v>72</v>
      </c>
      <c r="E2170" s="3"/>
      <c r="F2170" s="3"/>
    </row>
    <row r="2171" spans="1:6" hidden="1" x14ac:dyDescent="0.3">
      <c r="A2171" s="7" t="str">
        <f>BD_ControlRegimen[[#This Row],[FECHA]]&amp;BD_ControlRegimen[[#This Row],[NOMBRE]]</f>
        <v>45260GONZALES DELGADO ANGEL MARCIAL</v>
      </c>
      <c r="B2171" s="83">
        <f>WEEKNUM(BD_ControlRegimen[[#This Row],[FECHA]],2)</f>
        <v>49</v>
      </c>
      <c r="C2171" s="7">
        <v>45260</v>
      </c>
      <c r="D2171" s="3" t="s">
        <v>72</v>
      </c>
      <c r="E2171" s="3"/>
      <c r="F2171" s="3"/>
    </row>
    <row r="2172" spans="1:6" hidden="1" x14ac:dyDescent="0.3">
      <c r="A2172" s="7" t="str">
        <f>BD_ControlRegimen[[#This Row],[FECHA]]&amp;BD_ControlRegimen[[#This Row],[NOMBRE]]</f>
        <v>45261GONZALES DELGADO ANGEL MARCIAL</v>
      </c>
      <c r="B2172" s="83">
        <f>WEEKNUM(BD_ControlRegimen[[#This Row],[FECHA]],2)</f>
        <v>49</v>
      </c>
      <c r="C2172" s="7">
        <v>45261</v>
      </c>
      <c r="D2172" s="3" t="s">
        <v>72</v>
      </c>
      <c r="E2172" s="3"/>
      <c r="F2172" s="3"/>
    </row>
    <row r="2173" spans="1:6" hidden="1" x14ac:dyDescent="0.3">
      <c r="A2173" s="7" t="str">
        <f>BD_ControlRegimen[[#This Row],[FECHA]]&amp;BD_ControlRegimen[[#This Row],[NOMBRE]]</f>
        <v>45262GONZALES DELGADO ANGEL MARCIAL</v>
      </c>
      <c r="B2173" s="83">
        <f>WEEKNUM(BD_ControlRegimen[[#This Row],[FECHA]],2)</f>
        <v>49</v>
      </c>
      <c r="C2173" s="7">
        <v>45262</v>
      </c>
      <c r="D2173" s="3" t="s">
        <v>72</v>
      </c>
      <c r="E2173" s="3"/>
      <c r="F2173" s="3"/>
    </row>
    <row r="2174" spans="1:6" hidden="1" x14ac:dyDescent="0.3">
      <c r="A2174" s="7" t="str">
        <f>BD_ControlRegimen[[#This Row],[FECHA]]&amp;BD_ControlRegimen[[#This Row],[NOMBRE]]</f>
        <v>45263GONZALES DELGADO ANGEL MARCIAL</v>
      </c>
      <c r="B2174" s="83">
        <f>WEEKNUM(BD_ControlRegimen[[#This Row],[FECHA]],2)</f>
        <v>49</v>
      </c>
      <c r="C2174" s="7">
        <v>45263</v>
      </c>
      <c r="D2174" s="3" t="s">
        <v>72</v>
      </c>
      <c r="E2174" s="3"/>
      <c r="F2174" s="3"/>
    </row>
    <row r="2175" spans="1:6" hidden="1" x14ac:dyDescent="0.3">
      <c r="A2175" s="7" t="str">
        <f>BD_ControlRegimen[[#This Row],[FECHA]]&amp;BD_ControlRegimen[[#This Row],[NOMBRE]]</f>
        <v>45264GONZALES DELGADO ANGEL MARCIAL</v>
      </c>
      <c r="B2175" s="83">
        <f>WEEKNUM(BD_ControlRegimen[[#This Row],[FECHA]],2)</f>
        <v>50</v>
      </c>
      <c r="C2175" s="7">
        <v>45264</v>
      </c>
      <c r="D2175" s="3" t="s">
        <v>72</v>
      </c>
      <c r="E2175" s="3"/>
      <c r="F2175" s="3"/>
    </row>
    <row r="2176" spans="1:6" hidden="1" x14ac:dyDescent="0.3">
      <c r="A2176" s="7" t="str">
        <f>BD_ControlRegimen[[#This Row],[FECHA]]&amp;BD_ControlRegimen[[#This Row],[NOMBRE]]</f>
        <v>45265GONZALES DELGADO ANGEL MARCIAL</v>
      </c>
      <c r="B2176" s="83">
        <f>WEEKNUM(BD_ControlRegimen[[#This Row],[FECHA]],2)</f>
        <v>50</v>
      </c>
      <c r="C2176" s="7">
        <v>45265</v>
      </c>
      <c r="D2176" s="3" t="s">
        <v>72</v>
      </c>
      <c r="E2176" s="3"/>
      <c r="F2176" s="3"/>
    </row>
    <row r="2177" spans="1:6" hidden="1" x14ac:dyDescent="0.3">
      <c r="A2177" s="7" t="str">
        <f>BD_ControlRegimen[[#This Row],[FECHA]]&amp;BD_ControlRegimen[[#This Row],[NOMBRE]]</f>
        <v>45266GONZALES DELGADO ANGEL MARCIAL</v>
      </c>
      <c r="B2177" s="83">
        <f>WEEKNUM(BD_ControlRegimen[[#This Row],[FECHA]],2)</f>
        <v>50</v>
      </c>
      <c r="C2177" s="7">
        <v>45266</v>
      </c>
      <c r="D2177" s="3" t="s">
        <v>72</v>
      </c>
      <c r="E2177" s="3"/>
      <c r="F2177" s="3"/>
    </row>
    <row r="2178" spans="1:6" hidden="1" x14ac:dyDescent="0.3">
      <c r="A2178" s="7" t="str">
        <f>BD_ControlRegimen[[#This Row],[FECHA]]&amp;BD_ControlRegimen[[#This Row],[NOMBRE]]</f>
        <v>45267GONZALES DELGADO ANGEL MARCIAL</v>
      </c>
      <c r="B2178" s="83">
        <f>WEEKNUM(BD_ControlRegimen[[#This Row],[FECHA]],2)</f>
        <v>50</v>
      </c>
      <c r="C2178" s="7">
        <v>45267</v>
      </c>
      <c r="D2178" s="3" t="s">
        <v>72</v>
      </c>
      <c r="E2178" s="3"/>
      <c r="F2178" s="3"/>
    </row>
    <row r="2179" spans="1:6" hidden="1" x14ac:dyDescent="0.3">
      <c r="A2179" s="7" t="str">
        <f>BD_ControlRegimen[[#This Row],[FECHA]]&amp;BD_ControlRegimen[[#This Row],[NOMBRE]]</f>
        <v>45268GONZALES DELGADO ANGEL MARCIAL</v>
      </c>
      <c r="B2179" s="83">
        <f>WEEKNUM(BD_ControlRegimen[[#This Row],[FECHA]],2)</f>
        <v>50</v>
      </c>
      <c r="C2179" s="7">
        <v>45268</v>
      </c>
      <c r="D2179" s="3" t="s">
        <v>72</v>
      </c>
      <c r="E2179" s="3"/>
      <c r="F2179" s="3"/>
    </row>
    <row r="2180" spans="1:6" hidden="1" x14ac:dyDescent="0.3">
      <c r="A2180" s="7" t="str">
        <f>BD_ControlRegimen[[#This Row],[FECHA]]&amp;BD_ControlRegimen[[#This Row],[NOMBRE]]</f>
        <v>45269GONZALES DELGADO ANGEL MARCIAL</v>
      </c>
      <c r="B2180" s="83">
        <f>WEEKNUM(BD_ControlRegimen[[#This Row],[FECHA]],2)</f>
        <v>50</v>
      </c>
      <c r="C2180" s="7">
        <v>45269</v>
      </c>
      <c r="D2180" s="3" t="s">
        <v>72</v>
      </c>
      <c r="E2180" s="3"/>
      <c r="F2180" s="3"/>
    </row>
    <row r="2181" spans="1:6" hidden="1" x14ac:dyDescent="0.3">
      <c r="A2181" s="7" t="str">
        <f>BD_ControlRegimen[[#This Row],[FECHA]]&amp;BD_ControlRegimen[[#This Row],[NOMBRE]]</f>
        <v>45270GONZALES DELGADO ANGEL MARCIAL</v>
      </c>
      <c r="B2181" s="83">
        <f>WEEKNUM(BD_ControlRegimen[[#This Row],[FECHA]],2)</f>
        <v>50</v>
      </c>
      <c r="C2181" s="7">
        <v>45270</v>
      </c>
      <c r="D2181" s="3" t="s">
        <v>72</v>
      </c>
      <c r="E2181" s="3"/>
      <c r="F2181" s="3"/>
    </row>
    <row r="2182" spans="1:6" hidden="1" x14ac:dyDescent="0.3">
      <c r="A2182" s="7" t="str">
        <f>BD_ControlRegimen[[#This Row],[FECHA]]&amp;BD_ControlRegimen[[#This Row],[NOMBRE]]</f>
        <v>45271GONZALES DELGADO ANGEL MARCIAL</v>
      </c>
      <c r="B2182" s="83">
        <f>WEEKNUM(BD_ControlRegimen[[#This Row],[FECHA]],2)</f>
        <v>51</v>
      </c>
      <c r="C2182" s="7">
        <v>45271</v>
      </c>
      <c r="D2182" s="3" t="s">
        <v>72</v>
      </c>
      <c r="E2182" s="3"/>
      <c r="F2182" s="3"/>
    </row>
    <row r="2183" spans="1:6" hidden="1" x14ac:dyDescent="0.3">
      <c r="A2183" s="7" t="str">
        <f>BD_ControlRegimen[[#This Row],[FECHA]]&amp;BD_ControlRegimen[[#This Row],[NOMBRE]]</f>
        <v>45272GONZALES DELGADO ANGEL MARCIAL</v>
      </c>
      <c r="B2183" s="83">
        <f>WEEKNUM(BD_ControlRegimen[[#This Row],[FECHA]],2)</f>
        <v>51</v>
      </c>
      <c r="C2183" s="7">
        <v>45272</v>
      </c>
      <c r="D2183" s="3" t="s">
        <v>72</v>
      </c>
      <c r="E2183" s="3"/>
      <c r="F2183" s="3"/>
    </row>
    <row r="2184" spans="1:6" hidden="1" x14ac:dyDescent="0.3">
      <c r="A2184" s="7" t="str">
        <f>BD_ControlRegimen[[#This Row],[FECHA]]&amp;BD_ControlRegimen[[#This Row],[NOMBRE]]</f>
        <v>45273GONZALES DELGADO ANGEL MARCIAL</v>
      </c>
      <c r="B2184" s="83">
        <f>WEEKNUM(BD_ControlRegimen[[#This Row],[FECHA]],2)</f>
        <v>51</v>
      </c>
      <c r="C2184" s="7">
        <v>45273</v>
      </c>
      <c r="D2184" s="3" t="s">
        <v>72</v>
      </c>
      <c r="E2184" s="3"/>
      <c r="F2184" s="3"/>
    </row>
    <row r="2185" spans="1:6" hidden="1" x14ac:dyDescent="0.3">
      <c r="A2185" s="7" t="str">
        <f>BD_ControlRegimen[[#This Row],[FECHA]]&amp;BD_ControlRegimen[[#This Row],[NOMBRE]]</f>
        <v>45274GONZALES DELGADO ANGEL MARCIAL</v>
      </c>
      <c r="B2185" s="83">
        <f>WEEKNUM(BD_ControlRegimen[[#This Row],[FECHA]],2)</f>
        <v>51</v>
      </c>
      <c r="C2185" s="7">
        <v>45274</v>
      </c>
      <c r="D2185" s="3" t="s">
        <v>72</v>
      </c>
      <c r="E2185" s="3"/>
      <c r="F2185" s="3"/>
    </row>
    <row r="2186" spans="1:6" hidden="1" x14ac:dyDescent="0.3">
      <c r="A2186" s="7" t="str">
        <f>BD_ControlRegimen[[#This Row],[FECHA]]&amp;BD_ControlRegimen[[#This Row],[NOMBRE]]</f>
        <v>45275GONZALES DELGADO ANGEL MARCIAL</v>
      </c>
      <c r="B2186" s="83">
        <f>WEEKNUM(BD_ControlRegimen[[#This Row],[FECHA]],2)</f>
        <v>51</v>
      </c>
      <c r="C2186" s="7">
        <v>45275</v>
      </c>
      <c r="D2186" s="3" t="s">
        <v>72</v>
      </c>
      <c r="E2186" s="3"/>
      <c r="F2186" s="3"/>
    </row>
    <row r="2187" spans="1:6" hidden="1" x14ac:dyDescent="0.3">
      <c r="A2187" s="7" t="str">
        <f>BD_ControlRegimen[[#This Row],[FECHA]]&amp;BD_ControlRegimen[[#This Row],[NOMBRE]]</f>
        <v>45276GONZALES DELGADO ANGEL MARCIAL</v>
      </c>
      <c r="B2187" s="83">
        <f>WEEKNUM(BD_ControlRegimen[[#This Row],[FECHA]],2)</f>
        <v>51</v>
      </c>
      <c r="C2187" s="7">
        <v>45276</v>
      </c>
      <c r="D2187" s="3" t="s">
        <v>72</v>
      </c>
      <c r="E2187" s="3"/>
      <c r="F2187" s="3"/>
    </row>
    <row r="2188" spans="1:6" hidden="1" x14ac:dyDescent="0.3">
      <c r="A2188" s="7" t="str">
        <f>BD_ControlRegimen[[#This Row],[FECHA]]&amp;BD_ControlRegimen[[#This Row],[NOMBRE]]</f>
        <v>45277GONZALES DELGADO ANGEL MARCIAL</v>
      </c>
      <c r="B2188" s="83">
        <f>WEEKNUM(BD_ControlRegimen[[#This Row],[FECHA]],2)</f>
        <v>51</v>
      </c>
      <c r="C2188" s="7">
        <v>45277</v>
      </c>
      <c r="D2188" s="3" t="s">
        <v>72</v>
      </c>
      <c r="E2188" s="3"/>
      <c r="F2188" s="3"/>
    </row>
    <row r="2189" spans="1:6" hidden="1" x14ac:dyDescent="0.3">
      <c r="A2189" s="7" t="str">
        <f>BD_ControlRegimen[[#This Row],[FECHA]]&amp;BD_ControlRegimen[[#This Row],[NOMBRE]]</f>
        <v>45278GONZALES DELGADO ANGEL MARCIAL</v>
      </c>
      <c r="B2189" s="83">
        <f>WEEKNUM(BD_ControlRegimen[[#This Row],[FECHA]],2)</f>
        <v>52</v>
      </c>
      <c r="C2189" s="7">
        <v>45278</v>
      </c>
      <c r="D2189" s="3" t="s">
        <v>72</v>
      </c>
      <c r="E2189" s="3"/>
      <c r="F2189" s="3"/>
    </row>
    <row r="2190" spans="1:6" hidden="1" x14ac:dyDescent="0.3">
      <c r="A2190" s="7" t="str">
        <f>BD_ControlRegimen[[#This Row],[FECHA]]&amp;BD_ControlRegimen[[#This Row],[NOMBRE]]</f>
        <v>45279GONZALES DELGADO ANGEL MARCIAL</v>
      </c>
      <c r="B2190" s="83">
        <f>WEEKNUM(BD_ControlRegimen[[#This Row],[FECHA]],2)</f>
        <v>52</v>
      </c>
      <c r="C2190" s="7">
        <v>45279</v>
      </c>
      <c r="D2190" s="3" t="s">
        <v>72</v>
      </c>
      <c r="E2190" s="3"/>
      <c r="F2190" s="3"/>
    </row>
    <row r="2191" spans="1:6" hidden="1" x14ac:dyDescent="0.3">
      <c r="A2191" s="7" t="str">
        <f>BD_ControlRegimen[[#This Row],[FECHA]]&amp;BD_ControlRegimen[[#This Row],[NOMBRE]]</f>
        <v>45280GONZALES DELGADO ANGEL MARCIAL</v>
      </c>
      <c r="B2191" s="83">
        <f>WEEKNUM(BD_ControlRegimen[[#This Row],[FECHA]],2)</f>
        <v>52</v>
      </c>
      <c r="C2191" s="7">
        <v>45280</v>
      </c>
      <c r="D2191" s="3" t="s">
        <v>72</v>
      </c>
      <c r="E2191" s="3"/>
      <c r="F2191" s="3"/>
    </row>
    <row r="2192" spans="1:6" hidden="1" x14ac:dyDescent="0.3">
      <c r="A2192" s="7" t="str">
        <f>BD_ControlRegimen[[#This Row],[FECHA]]&amp;BD_ControlRegimen[[#This Row],[NOMBRE]]</f>
        <v>45281GONZALES DELGADO ANGEL MARCIAL</v>
      </c>
      <c r="B2192" s="83">
        <f>WEEKNUM(BD_ControlRegimen[[#This Row],[FECHA]],2)</f>
        <v>52</v>
      </c>
      <c r="C2192" s="7">
        <v>45281</v>
      </c>
      <c r="D2192" s="3" t="s">
        <v>72</v>
      </c>
      <c r="E2192" s="3"/>
      <c r="F2192" s="3"/>
    </row>
    <row r="2193" spans="1:6" hidden="1" x14ac:dyDescent="0.3">
      <c r="A2193" s="7" t="str">
        <f>BD_ControlRegimen[[#This Row],[FECHA]]&amp;BD_ControlRegimen[[#This Row],[NOMBRE]]</f>
        <v>45282GONZALES DELGADO ANGEL MARCIAL</v>
      </c>
      <c r="B2193" s="83">
        <f>WEEKNUM(BD_ControlRegimen[[#This Row],[FECHA]],2)</f>
        <v>52</v>
      </c>
      <c r="C2193" s="7">
        <v>45282</v>
      </c>
      <c r="D2193" s="3" t="s">
        <v>72</v>
      </c>
      <c r="E2193" s="3"/>
      <c r="F2193" s="3"/>
    </row>
    <row r="2194" spans="1:6" hidden="1" x14ac:dyDescent="0.3">
      <c r="A2194" s="7" t="str">
        <f>BD_ControlRegimen[[#This Row],[FECHA]]&amp;BD_ControlRegimen[[#This Row],[NOMBRE]]</f>
        <v>45283GONZALES DELGADO ANGEL MARCIAL</v>
      </c>
      <c r="B2194" s="83">
        <f>WEEKNUM(BD_ControlRegimen[[#This Row],[FECHA]],2)</f>
        <v>52</v>
      </c>
      <c r="C2194" s="7">
        <v>45283</v>
      </c>
      <c r="D2194" s="3" t="s">
        <v>72</v>
      </c>
      <c r="E2194" s="3"/>
      <c r="F2194" s="3"/>
    </row>
    <row r="2195" spans="1:6" hidden="1" x14ac:dyDescent="0.3">
      <c r="A2195" s="7" t="str">
        <f>BD_ControlRegimen[[#This Row],[FECHA]]&amp;BD_ControlRegimen[[#This Row],[NOMBRE]]</f>
        <v>45284GONZALES DELGADO ANGEL MARCIAL</v>
      </c>
      <c r="B2195" s="83">
        <f>WEEKNUM(BD_ControlRegimen[[#This Row],[FECHA]],2)</f>
        <v>52</v>
      </c>
      <c r="C2195" s="7">
        <v>45284</v>
      </c>
      <c r="D2195" s="3" t="s">
        <v>72</v>
      </c>
      <c r="E2195" s="3"/>
      <c r="F2195" s="3"/>
    </row>
    <row r="2196" spans="1:6" hidden="1" x14ac:dyDescent="0.3">
      <c r="A2196" s="7" t="str">
        <f>BD_ControlRegimen[[#This Row],[FECHA]]&amp;BD_ControlRegimen[[#This Row],[NOMBRE]]</f>
        <v>45285GONZALES DELGADO ANGEL MARCIAL</v>
      </c>
      <c r="B2196" s="83">
        <f>WEEKNUM(BD_ControlRegimen[[#This Row],[FECHA]],2)</f>
        <v>53</v>
      </c>
      <c r="C2196" s="7">
        <v>45285</v>
      </c>
      <c r="D2196" s="3" t="s">
        <v>72</v>
      </c>
      <c r="E2196" s="3"/>
      <c r="F2196" s="3"/>
    </row>
    <row r="2197" spans="1:6" hidden="1" x14ac:dyDescent="0.3">
      <c r="A2197" s="7" t="str">
        <f>BD_ControlRegimen[[#This Row],[FECHA]]&amp;BD_ControlRegimen[[#This Row],[NOMBRE]]</f>
        <v>45286GONZALES DELGADO ANGEL MARCIAL</v>
      </c>
      <c r="B2197" s="83">
        <f>WEEKNUM(BD_ControlRegimen[[#This Row],[FECHA]],2)</f>
        <v>53</v>
      </c>
      <c r="C2197" s="7">
        <v>45286</v>
      </c>
      <c r="D2197" s="3" t="s">
        <v>72</v>
      </c>
      <c r="E2197" s="3"/>
      <c r="F2197" s="3"/>
    </row>
    <row r="2198" spans="1:6" hidden="1" x14ac:dyDescent="0.3">
      <c r="A2198" s="7" t="str">
        <f>BD_ControlRegimen[[#This Row],[FECHA]]&amp;BD_ControlRegimen[[#This Row],[NOMBRE]]</f>
        <v>45287GONZALES DELGADO ANGEL MARCIAL</v>
      </c>
      <c r="B2198" s="83">
        <f>WEEKNUM(BD_ControlRegimen[[#This Row],[FECHA]],2)</f>
        <v>53</v>
      </c>
      <c r="C2198" s="7">
        <v>45287</v>
      </c>
      <c r="D2198" s="3" t="s">
        <v>72</v>
      </c>
      <c r="E2198" s="3"/>
      <c r="F2198" s="3"/>
    </row>
    <row r="2199" spans="1:6" hidden="1" x14ac:dyDescent="0.3">
      <c r="A2199" s="7" t="str">
        <f>BD_ControlRegimen[[#This Row],[FECHA]]&amp;BD_ControlRegimen[[#This Row],[NOMBRE]]</f>
        <v>45288GONZALES DELGADO ANGEL MARCIAL</v>
      </c>
      <c r="B2199" s="83">
        <f>WEEKNUM(BD_ControlRegimen[[#This Row],[FECHA]],2)</f>
        <v>53</v>
      </c>
      <c r="C2199" s="7">
        <v>45288</v>
      </c>
      <c r="D2199" s="3" t="s">
        <v>72</v>
      </c>
      <c r="E2199" s="3"/>
      <c r="F2199" s="3"/>
    </row>
    <row r="2200" spans="1:6" hidden="1" x14ac:dyDescent="0.3">
      <c r="A2200" s="7" t="str">
        <f>BD_ControlRegimen[[#This Row],[FECHA]]&amp;BD_ControlRegimen[[#This Row],[NOMBRE]]</f>
        <v>45289GONZALES DELGADO ANGEL MARCIAL</v>
      </c>
      <c r="B2200" s="83">
        <f>WEEKNUM(BD_ControlRegimen[[#This Row],[FECHA]],2)</f>
        <v>53</v>
      </c>
      <c r="C2200" s="7">
        <v>45289</v>
      </c>
      <c r="D2200" s="3" t="s">
        <v>72</v>
      </c>
      <c r="E2200" s="3"/>
      <c r="F2200" s="3"/>
    </row>
    <row r="2201" spans="1:6" hidden="1" x14ac:dyDescent="0.3">
      <c r="A2201" s="7" t="str">
        <f>BD_ControlRegimen[[#This Row],[FECHA]]&amp;BD_ControlRegimen[[#This Row],[NOMBRE]]</f>
        <v>45290GONZALES DELGADO ANGEL MARCIAL</v>
      </c>
      <c r="B2201" s="83">
        <f>WEEKNUM(BD_ControlRegimen[[#This Row],[FECHA]],2)</f>
        <v>53</v>
      </c>
      <c r="C2201" s="7">
        <v>45290</v>
      </c>
      <c r="D2201" s="3" t="s">
        <v>72</v>
      </c>
      <c r="E2201" s="3"/>
      <c r="F2201" s="3"/>
    </row>
    <row r="2202" spans="1:6" hidden="1" x14ac:dyDescent="0.3">
      <c r="A2202" s="7" t="str">
        <f>BD_ControlRegimen[[#This Row],[FECHA]]&amp;BD_ControlRegimen[[#This Row],[NOMBRE]]</f>
        <v>45291GONZALES DELGADO ANGEL MARCIAL</v>
      </c>
      <c r="B2202" s="83">
        <f>WEEKNUM(BD_ControlRegimen[[#This Row],[FECHA]],2)</f>
        <v>53</v>
      </c>
      <c r="C2202" s="7">
        <v>45291</v>
      </c>
      <c r="D2202" s="3" t="s">
        <v>72</v>
      </c>
      <c r="E2202" s="3"/>
      <c r="F2202" s="3"/>
    </row>
    <row r="2203" spans="1:6" hidden="1" x14ac:dyDescent="0.3">
      <c r="A2203" s="99" t="str">
        <f>BD_ControlRegimen[[#This Row],[FECHA]]&amp;BD_ControlRegimen[[#This Row],[NOMBRE]]</f>
        <v>44927RAMIREZ ROMERO PAUL</v>
      </c>
      <c r="B2203" s="100">
        <f>WEEKNUM(BD_ControlRegimen[[#This Row],[FECHA]],2)</f>
        <v>1</v>
      </c>
      <c r="C2203" s="99">
        <v>44927</v>
      </c>
      <c r="D2203" s="3" t="s">
        <v>75</v>
      </c>
      <c r="E2203" s="101"/>
      <c r="F2203" s="101"/>
    </row>
    <row r="2204" spans="1:6" hidden="1" x14ac:dyDescent="0.3">
      <c r="A2204" s="99" t="str">
        <f>BD_ControlRegimen[[#This Row],[FECHA]]&amp;BD_ControlRegimen[[#This Row],[NOMBRE]]</f>
        <v>44928RAMIREZ ROMERO PAUL</v>
      </c>
      <c r="B2204" s="100">
        <f>WEEKNUM(BD_ControlRegimen[[#This Row],[FECHA]],2)</f>
        <v>2</v>
      </c>
      <c r="C2204" s="99">
        <v>44928</v>
      </c>
      <c r="D2204" s="3" t="s">
        <v>75</v>
      </c>
      <c r="E2204" s="101"/>
      <c r="F2204" s="101"/>
    </row>
    <row r="2205" spans="1:6" hidden="1" x14ac:dyDescent="0.3">
      <c r="A2205" s="99" t="str">
        <f>BD_ControlRegimen[[#This Row],[FECHA]]&amp;BD_ControlRegimen[[#This Row],[NOMBRE]]</f>
        <v>44929RAMIREZ ROMERO PAUL</v>
      </c>
      <c r="B2205" s="100">
        <f>WEEKNUM(BD_ControlRegimen[[#This Row],[FECHA]],2)</f>
        <v>2</v>
      </c>
      <c r="C2205" s="99">
        <v>44929</v>
      </c>
      <c r="D2205" s="3" t="s">
        <v>75</v>
      </c>
      <c r="E2205" s="101"/>
      <c r="F2205" s="101"/>
    </row>
    <row r="2206" spans="1:6" hidden="1" x14ac:dyDescent="0.3">
      <c r="A2206" s="99" t="str">
        <f>BD_ControlRegimen[[#This Row],[FECHA]]&amp;BD_ControlRegimen[[#This Row],[NOMBRE]]</f>
        <v>44930RAMIREZ ROMERO PAUL</v>
      </c>
      <c r="B2206" s="100">
        <f>WEEKNUM(BD_ControlRegimen[[#This Row],[FECHA]],2)</f>
        <v>2</v>
      </c>
      <c r="C2206" s="99">
        <v>44930</v>
      </c>
      <c r="D2206" s="3" t="s">
        <v>75</v>
      </c>
      <c r="E2206" s="101"/>
      <c r="F2206" s="101"/>
    </row>
    <row r="2207" spans="1:6" hidden="1" x14ac:dyDescent="0.3">
      <c r="A2207" s="99" t="str">
        <f>BD_ControlRegimen[[#This Row],[FECHA]]&amp;BD_ControlRegimen[[#This Row],[NOMBRE]]</f>
        <v>44931RAMIREZ ROMERO PAUL</v>
      </c>
      <c r="B2207" s="100">
        <f>WEEKNUM(BD_ControlRegimen[[#This Row],[FECHA]],2)</f>
        <v>2</v>
      </c>
      <c r="C2207" s="99">
        <v>44931</v>
      </c>
      <c r="D2207" s="3" t="s">
        <v>75</v>
      </c>
      <c r="E2207" s="101"/>
      <c r="F2207" s="101"/>
    </row>
    <row r="2208" spans="1:6" hidden="1" x14ac:dyDescent="0.3">
      <c r="A2208" s="99" t="str">
        <f>BD_ControlRegimen[[#This Row],[FECHA]]&amp;BD_ControlRegimen[[#This Row],[NOMBRE]]</f>
        <v>44932RAMIREZ ROMERO PAUL</v>
      </c>
      <c r="B2208" s="100">
        <f>WEEKNUM(BD_ControlRegimen[[#This Row],[FECHA]],2)</f>
        <v>2</v>
      </c>
      <c r="C2208" s="99">
        <v>44932</v>
      </c>
      <c r="D2208" s="3" t="s">
        <v>75</v>
      </c>
      <c r="E2208" s="101"/>
      <c r="F2208" s="101"/>
    </row>
    <row r="2209" spans="1:6" hidden="1" x14ac:dyDescent="0.3">
      <c r="A2209" s="99" t="str">
        <f>BD_ControlRegimen[[#This Row],[FECHA]]&amp;BD_ControlRegimen[[#This Row],[NOMBRE]]</f>
        <v>44933RAMIREZ ROMERO PAUL</v>
      </c>
      <c r="B2209" s="100">
        <f>WEEKNUM(BD_ControlRegimen[[#This Row],[FECHA]],2)</f>
        <v>2</v>
      </c>
      <c r="C2209" s="99">
        <v>44933</v>
      </c>
      <c r="D2209" s="3" t="s">
        <v>75</v>
      </c>
      <c r="E2209" s="101"/>
      <c r="F2209" s="101"/>
    </row>
    <row r="2210" spans="1:6" hidden="1" x14ac:dyDescent="0.3">
      <c r="A2210" s="99" t="str">
        <f>BD_ControlRegimen[[#This Row],[FECHA]]&amp;BD_ControlRegimen[[#This Row],[NOMBRE]]</f>
        <v>44934RAMIREZ ROMERO PAUL</v>
      </c>
      <c r="B2210" s="100">
        <f>WEEKNUM(BD_ControlRegimen[[#This Row],[FECHA]],2)</f>
        <v>2</v>
      </c>
      <c r="C2210" s="99">
        <v>44934</v>
      </c>
      <c r="D2210" s="3" t="s">
        <v>75</v>
      </c>
      <c r="E2210" s="101"/>
      <c r="F2210" s="101"/>
    </row>
    <row r="2211" spans="1:6" hidden="1" x14ac:dyDescent="0.3">
      <c r="A2211" s="99" t="str">
        <f>BD_ControlRegimen[[#This Row],[FECHA]]&amp;BD_ControlRegimen[[#This Row],[NOMBRE]]</f>
        <v>44935RAMIREZ ROMERO PAUL</v>
      </c>
      <c r="B2211" s="100">
        <f>WEEKNUM(BD_ControlRegimen[[#This Row],[FECHA]],2)</f>
        <v>3</v>
      </c>
      <c r="C2211" s="99">
        <v>44935</v>
      </c>
      <c r="D2211" s="3" t="s">
        <v>75</v>
      </c>
      <c r="E2211" s="101"/>
      <c r="F2211" s="101"/>
    </row>
    <row r="2212" spans="1:6" hidden="1" x14ac:dyDescent="0.3">
      <c r="A2212" s="99" t="str">
        <f>BD_ControlRegimen[[#This Row],[FECHA]]&amp;BD_ControlRegimen[[#This Row],[NOMBRE]]</f>
        <v>44936RAMIREZ ROMERO PAUL</v>
      </c>
      <c r="B2212" s="100">
        <f>WEEKNUM(BD_ControlRegimen[[#This Row],[FECHA]],2)</f>
        <v>3</v>
      </c>
      <c r="C2212" s="99">
        <v>44936</v>
      </c>
      <c r="D2212" s="3" t="s">
        <v>75</v>
      </c>
      <c r="E2212" s="101"/>
      <c r="F2212" s="101"/>
    </row>
    <row r="2213" spans="1:6" hidden="1" x14ac:dyDescent="0.3">
      <c r="A2213" s="99" t="str">
        <f>BD_ControlRegimen[[#This Row],[FECHA]]&amp;BD_ControlRegimen[[#This Row],[NOMBRE]]</f>
        <v>44937RAMIREZ ROMERO PAUL</v>
      </c>
      <c r="B2213" s="100">
        <f>WEEKNUM(BD_ControlRegimen[[#This Row],[FECHA]],2)</f>
        <v>3</v>
      </c>
      <c r="C2213" s="99">
        <v>44937</v>
      </c>
      <c r="D2213" s="3" t="s">
        <v>75</v>
      </c>
      <c r="E2213" s="101"/>
      <c r="F2213" s="101"/>
    </row>
    <row r="2214" spans="1:6" hidden="1" x14ac:dyDescent="0.3">
      <c r="A2214" s="99" t="str">
        <f>BD_ControlRegimen[[#This Row],[FECHA]]&amp;BD_ControlRegimen[[#This Row],[NOMBRE]]</f>
        <v>44938RAMIREZ ROMERO PAUL</v>
      </c>
      <c r="B2214" s="100">
        <f>WEEKNUM(BD_ControlRegimen[[#This Row],[FECHA]],2)</f>
        <v>3</v>
      </c>
      <c r="C2214" s="99">
        <v>44938</v>
      </c>
      <c r="D2214" s="3" t="s">
        <v>75</v>
      </c>
      <c r="E2214" s="101"/>
      <c r="F2214" s="101"/>
    </row>
    <row r="2215" spans="1:6" hidden="1" x14ac:dyDescent="0.3">
      <c r="A2215" s="99" t="str">
        <f>BD_ControlRegimen[[#This Row],[FECHA]]&amp;BD_ControlRegimen[[#This Row],[NOMBRE]]</f>
        <v>44939RAMIREZ ROMERO PAUL</v>
      </c>
      <c r="B2215" s="100">
        <f>WEEKNUM(BD_ControlRegimen[[#This Row],[FECHA]],2)</f>
        <v>3</v>
      </c>
      <c r="C2215" s="99">
        <v>44939</v>
      </c>
      <c r="D2215" s="3" t="s">
        <v>75</v>
      </c>
      <c r="E2215" s="101"/>
      <c r="F2215" s="101"/>
    </row>
    <row r="2216" spans="1:6" hidden="1" x14ac:dyDescent="0.3">
      <c r="A2216" s="99" t="str">
        <f>BD_ControlRegimen[[#This Row],[FECHA]]&amp;BD_ControlRegimen[[#This Row],[NOMBRE]]</f>
        <v>44940RAMIREZ ROMERO PAUL</v>
      </c>
      <c r="B2216" s="100">
        <f>WEEKNUM(BD_ControlRegimen[[#This Row],[FECHA]],2)</f>
        <v>3</v>
      </c>
      <c r="C2216" s="99">
        <v>44940</v>
      </c>
      <c r="D2216" s="3" t="s">
        <v>75</v>
      </c>
      <c r="E2216" s="101"/>
      <c r="F2216" s="101"/>
    </row>
    <row r="2217" spans="1:6" hidden="1" x14ac:dyDescent="0.3">
      <c r="A2217" s="99" t="str">
        <f>BD_ControlRegimen[[#This Row],[FECHA]]&amp;BD_ControlRegimen[[#This Row],[NOMBRE]]</f>
        <v>44941RAMIREZ ROMERO PAUL</v>
      </c>
      <c r="B2217" s="100">
        <f>WEEKNUM(BD_ControlRegimen[[#This Row],[FECHA]],2)</f>
        <v>3</v>
      </c>
      <c r="C2217" s="99">
        <v>44941</v>
      </c>
      <c r="D2217" s="3" t="s">
        <v>75</v>
      </c>
      <c r="E2217" s="101"/>
      <c r="F2217" s="101"/>
    </row>
    <row r="2218" spans="1:6" hidden="1" x14ac:dyDescent="0.3">
      <c r="A2218" s="99" t="str">
        <f>BD_ControlRegimen[[#This Row],[FECHA]]&amp;BD_ControlRegimen[[#This Row],[NOMBRE]]</f>
        <v>44942RAMIREZ ROMERO PAUL</v>
      </c>
      <c r="B2218" s="100">
        <f>WEEKNUM(BD_ControlRegimen[[#This Row],[FECHA]],2)</f>
        <v>4</v>
      </c>
      <c r="C2218" s="99">
        <v>44942</v>
      </c>
      <c r="D2218" s="3" t="s">
        <v>75</v>
      </c>
      <c r="E2218" s="101"/>
      <c r="F2218" s="101"/>
    </row>
    <row r="2219" spans="1:6" hidden="1" x14ac:dyDescent="0.3">
      <c r="A2219" s="99" t="str">
        <f>BD_ControlRegimen[[#This Row],[FECHA]]&amp;BD_ControlRegimen[[#This Row],[NOMBRE]]</f>
        <v>44943RAMIREZ ROMERO PAUL</v>
      </c>
      <c r="B2219" s="100">
        <f>WEEKNUM(BD_ControlRegimen[[#This Row],[FECHA]],2)</f>
        <v>4</v>
      </c>
      <c r="C2219" s="99">
        <v>44943</v>
      </c>
      <c r="D2219" s="3" t="s">
        <v>75</v>
      </c>
      <c r="E2219" s="101"/>
      <c r="F2219" s="101"/>
    </row>
    <row r="2220" spans="1:6" hidden="1" x14ac:dyDescent="0.3">
      <c r="A2220" s="99" t="str">
        <f>BD_ControlRegimen[[#This Row],[FECHA]]&amp;BD_ControlRegimen[[#This Row],[NOMBRE]]</f>
        <v>44944RAMIREZ ROMERO PAUL</v>
      </c>
      <c r="B2220" s="100">
        <f>WEEKNUM(BD_ControlRegimen[[#This Row],[FECHA]],2)</f>
        <v>4</v>
      </c>
      <c r="C2220" s="99">
        <v>44944</v>
      </c>
      <c r="D2220" s="3" t="s">
        <v>75</v>
      </c>
      <c r="E2220" s="101"/>
      <c r="F2220" s="101"/>
    </row>
    <row r="2221" spans="1:6" hidden="1" x14ac:dyDescent="0.3">
      <c r="A2221" s="99" t="str">
        <f>BD_ControlRegimen[[#This Row],[FECHA]]&amp;BD_ControlRegimen[[#This Row],[NOMBRE]]</f>
        <v>44945RAMIREZ ROMERO PAUL</v>
      </c>
      <c r="B2221" s="100">
        <f>WEEKNUM(BD_ControlRegimen[[#This Row],[FECHA]],2)</f>
        <v>4</v>
      </c>
      <c r="C2221" s="99">
        <v>44945</v>
      </c>
      <c r="D2221" s="3" t="s">
        <v>75</v>
      </c>
      <c r="E2221" s="101"/>
      <c r="F2221" s="101"/>
    </row>
    <row r="2222" spans="1:6" hidden="1" x14ac:dyDescent="0.3">
      <c r="A2222" s="99" t="str">
        <f>BD_ControlRegimen[[#This Row],[FECHA]]&amp;BD_ControlRegimen[[#This Row],[NOMBRE]]</f>
        <v>44946RAMIREZ ROMERO PAUL</v>
      </c>
      <c r="B2222" s="100">
        <f>WEEKNUM(BD_ControlRegimen[[#This Row],[FECHA]],2)</f>
        <v>4</v>
      </c>
      <c r="C2222" s="99">
        <v>44946</v>
      </c>
      <c r="D2222" s="3" t="s">
        <v>75</v>
      </c>
      <c r="E2222" s="101"/>
      <c r="F2222" s="101"/>
    </row>
    <row r="2223" spans="1:6" hidden="1" x14ac:dyDescent="0.3">
      <c r="A2223" s="99" t="str">
        <f>BD_ControlRegimen[[#This Row],[FECHA]]&amp;BD_ControlRegimen[[#This Row],[NOMBRE]]</f>
        <v>44947RAMIREZ ROMERO PAUL</v>
      </c>
      <c r="B2223" s="100">
        <f>WEEKNUM(BD_ControlRegimen[[#This Row],[FECHA]],2)</f>
        <v>4</v>
      </c>
      <c r="C2223" s="99">
        <v>44947</v>
      </c>
      <c r="D2223" s="3" t="s">
        <v>75</v>
      </c>
      <c r="E2223" s="101"/>
      <c r="F2223" s="101"/>
    </row>
    <row r="2224" spans="1:6" hidden="1" x14ac:dyDescent="0.3">
      <c r="A2224" s="99" t="str">
        <f>BD_ControlRegimen[[#This Row],[FECHA]]&amp;BD_ControlRegimen[[#This Row],[NOMBRE]]</f>
        <v>44948RAMIREZ ROMERO PAUL</v>
      </c>
      <c r="B2224" s="100">
        <f>WEEKNUM(BD_ControlRegimen[[#This Row],[FECHA]],2)</f>
        <v>4</v>
      </c>
      <c r="C2224" s="99">
        <v>44948</v>
      </c>
      <c r="D2224" s="3" t="s">
        <v>75</v>
      </c>
      <c r="E2224" s="101"/>
      <c r="F2224" s="101"/>
    </row>
    <row r="2225" spans="1:6" hidden="1" x14ac:dyDescent="0.3">
      <c r="A2225" s="99" t="str">
        <f>BD_ControlRegimen[[#This Row],[FECHA]]&amp;BD_ControlRegimen[[#This Row],[NOMBRE]]</f>
        <v>44949RAMIREZ ROMERO PAUL</v>
      </c>
      <c r="B2225" s="100">
        <f>WEEKNUM(BD_ControlRegimen[[#This Row],[FECHA]],2)</f>
        <v>5</v>
      </c>
      <c r="C2225" s="99">
        <v>44949</v>
      </c>
      <c r="D2225" s="3" t="s">
        <v>75</v>
      </c>
      <c r="E2225" s="101"/>
      <c r="F2225" s="101"/>
    </row>
    <row r="2226" spans="1:6" hidden="1" x14ac:dyDescent="0.3">
      <c r="A2226" s="99" t="str">
        <f>BD_ControlRegimen[[#This Row],[FECHA]]&amp;BD_ControlRegimen[[#This Row],[NOMBRE]]</f>
        <v>44950RAMIREZ ROMERO PAUL</v>
      </c>
      <c r="B2226" s="100">
        <f>WEEKNUM(BD_ControlRegimen[[#This Row],[FECHA]],2)</f>
        <v>5</v>
      </c>
      <c r="C2226" s="99">
        <v>44950</v>
      </c>
      <c r="D2226" s="3" t="s">
        <v>75</v>
      </c>
      <c r="E2226" s="101"/>
      <c r="F2226" s="101"/>
    </row>
    <row r="2227" spans="1:6" hidden="1" x14ac:dyDescent="0.3">
      <c r="A2227" s="99" t="str">
        <f>BD_ControlRegimen[[#This Row],[FECHA]]&amp;BD_ControlRegimen[[#This Row],[NOMBRE]]</f>
        <v>44951RAMIREZ ROMERO PAUL</v>
      </c>
      <c r="B2227" s="100">
        <f>WEEKNUM(BD_ControlRegimen[[#This Row],[FECHA]],2)</f>
        <v>5</v>
      </c>
      <c r="C2227" s="99">
        <v>44951</v>
      </c>
      <c r="D2227" s="3" t="s">
        <v>75</v>
      </c>
      <c r="E2227" s="101"/>
      <c r="F2227" s="101"/>
    </row>
    <row r="2228" spans="1:6" hidden="1" x14ac:dyDescent="0.3">
      <c r="A2228" s="99" t="str">
        <f>BD_ControlRegimen[[#This Row],[FECHA]]&amp;BD_ControlRegimen[[#This Row],[NOMBRE]]</f>
        <v>44952RAMIREZ ROMERO PAUL</v>
      </c>
      <c r="B2228" s="100">
        <f>WEEKNUM(BD_ControlRegimen[[#This Row],[FECHA]],2)</f>
        <v>5</v>
      </c>
      <c r="C2228" s="99">
        <v>44952</v>
      </c>
      <c r="D2228" s="3" t="s">
        <v>75</v>
      </c>
      <c r="E2228" s="101"/>
      <c r="F2228" s="101"/>
    </row>
    <row r="2229" spans="1:6" hidden="1" x14ac:dyDescent="0.3">
      <c r="A2229" s="99" t="str">
        <f>BD_ControlRegimen[[#This Row],[FECHA]]&amp;BD_ControlRegimen[[#This Row],[NOMBRE]]</f>
        <v>44953RAMIREZ ROMERO PAUL</v>
      </c>
      <c r="B2229" s="100">
        <f>WEEKNUM(BD_ControlRegimen[[#This Row],[FECHA]],2)</f>
        <v>5</v>
      </c>
      <c r="C2229" s="99">
        <v>44953</v>
      </c>
      <c r="D2229" s="3" t="s">
        <v>75</v>
      </c>
      <c r="E2229" s="101"/>
      <c r="F2229" s="101"/>
    </row>
    <row r="2230" spans="1:6" hidden="1" x14ac:dyDescent="0.3">
      <c r="A2230" s="99" t="str">
        <f>BD_ControlRegimen[[#This Row],[FECHA]]&amp;BD_ControlRegimen[[#This Row],[NOMBRE]]</f>
        <v>44954RAMIREZ ROMERO PAUL</v>
      </c>
      <c r="B2230" s="100">
        <f>WEEKNUM(BD_ControlRegimen[[#This Row],[FECHA]],2)</f>
        <v>5</v>
      </c>
      <c r="C2230" s="99">
        <v>44954</v>
      </c>
      <c r="D2230" s="3" t="s">
        <v>75</v>
      </c>
      <c r="E2230" s="101"/>
      <c r="F2230" s="101"/>
    </row>
    <row r="2231" spans="1:6" hidden="1" x14ac:dyDescent="0.3">
      <c r="A2231" s="99" t="str">
        <f>BD_ControlRegimen[[#This Row],[FECHA]]&amp;BD_ControlRegimen[[#This Row],[NOMBRE]]</f>
        <v>44955RAMIREZ ROMERO PAUL</v>
      </c>
      <c r="B2231" s="100">
        <f>WEEKNUM(BD_ControlRegimen[[#This Row],[FECHA]],2)</f>
        <v>5</v>
      </c>
      <c r="C2231" s="99">
        <v>44955</v>
      </c>
      <c r="D2231" s="3" t="s">
        <v>75</v>
      </c>
      <c r="E2231" s="101"/>
      <c r="F2231" s="101"/>
    </row>
    <row r="2232" spans="1:6" hidden="1" x14ac:dyDescent="0.3">
      <c r="A2232" s="99" t="str">
        <f>BD_ControlRegimen[[#This Row],[FECHA]]&amp;BD_ControlRegimen[[#This Row],[NOMBRE]]</f>
        <v>44956RAMIREZ ROMERO PAUL</v>
      </c>
      <c r="B2232" s="100">
        <f>WEEKNUM(BD_ControlRegimen[[#This Row],[FECHA]],2)</f>
        <v>6</v>
      </c>
      <c r="C2232" s="99">
        <v>44956</v>
      </c>
      <c r="D2232" s="3" t="s">
        <v>75</v>
      </c>
      <c r="E2232" s="101"/>
      <c r="F2232" s="101"/>
    </row>
    <row r="2233" spans="1:6" hidden="1" x14ac:dyDescent="0.3">
      <c r="A2233" s="99" t="str">
        <f>BD_ControlRegimen[[#This Row],[FECHA]]&amp;BD_ControlRegimen[[#This Row],[NOMBRE]]</f>
        <v>44957RAMIREZ ROMERO PAUL</v>
      </c>
      <c r="B2233" s="100">
        <f>WEEKNUM(BD_ControlRegimen[[#This Row],[FECHA]],2)</f>
        <v>6</v>
      </c>
      <c r="C2233" s="99">
        <v>44957</v>
      </c>
      <c r="D2233" s="3" t="s">
        <v>75</v>
      </c>
      <c r="E2233" s="101"/>
      <c r="F2233" s="101"/>
    </row>
    <row r="2234" spans="1:6" hidden="1" x14ac:dyDescent="0.3">
      <c r="A2234" s="99" t="str">
        <f>BD_ControlRegimen[[#This Row],[FECHA]]&amp;BD_ControlRegimen[[#This Row],[NOMBRE]]</f>
        <v>44958RAMIREZ ROMERO PAUL</v>
      </c>
      <c r="B2234" s="100">
        <f>WEEKNUM(BD_ControlRegimen[[#This Row],[FECHA]],2)</f>
        <v>6</v>
      </c>
      <c r="C2234" s="99">
        <v>44958</v>
      </c>
      <c r="D2234" s="3" t="s">
        <v>75</v>
      </c>
      <c r="E2234" s="101"/>
      <c r="F2234" s="101"/>
    </row>
    <row r="2235" spans="1:6" hidden="1" x14ac:dyDescent="0.3">
      <c r="A2235" s="99" t="str">
        <f>BD_ControlRegimen[[#This Row],[FECHA]]&amp;BD_ControlRegimen[[#This Row],[NOMBRE]]</f>
        <v>44959RAMIREZ ROMERO PAUL</v>
      </c>
      <c r="B2235" s="100">
        <f>WEEKNUM(BD_ControlRegimen[[#This Row],[FECHA]],2)</f>
        <v>6</v>
      </c>
      <c r="C2235" s="99">
        <v>44959</v>
      </c>
      <c r="D2235" s="3" t="s">
        <v>75</v>
      </c>
      <c r="E2235" s="101"/>
      <c r="F2235" s="101"/>
    </row>
    <row r="2236" spans="1:6" hidden="1" x14ac:dyDescent="0.3">
      <c r="A2236" s="99" t="str">
        <f>BD_ControlRegimen[[#This Row],[FECHA]]&amp;BD_ControlRegimen[[#This Row],[NOMBRE]]</f>
        <v>44960RAMIREZ ROMERO PAUL</v>
      </c>
      <c r="B2236" s="100">
        <f>WEEKNUM(BD_ControlRegimen[[#This Row],[FECHA]],2)</f>
        <v>6</v>
      </c>
      <c r="C2236" s="99">
        <v>44960</v>
      </c>
      <c r="D2236" s="3" t="s">
        <v>75</v>
      </c>
      <c r="E2236" s="101"/>
      <c r="F2236" s="101"/>
    </row>
    <row r="2237" spans="1:6" hidden="1" x14ac:dyDescent="0.3">
      <c r="A2237" s="99" t="str">
        <f>BD_ControlRegimen[[#This Row],[FECHA]]&amp;BD_ControlRegimen[[#This Row],[NOMBRE]]</f>
        <v>44961RAMIREZ ROMERO PAUL</v>
      </c>
      <c r="B2237" s="100">
        <f>WEEKNUM(BD_ControlRegimen[[#This Row],[FECHA]],2)</f>
        <v>6</v>
      </c>
      <c r="C2237" s="99">
        <v>44961</v>
      </c>
      <c r="D2237" s="3" t="s">
        <v>75</v>
      </c>
      <c r="E2237" s="101"/>
      <c r="F2237" s="101"/>
    </row>
    <row r="2238" spans="1:6" hidden="1" x14ac:dyDescent="0.3">
      <c r="A2238" s="99" t="str">
        <f>BD_ControlRegimen[[#This Row],[FECHA]]&amp;BD_ControlRegimen[[#This Row],[NOMBRE]]</f>
        <v>44962RAMIREZ ROMERO PAUL</v>
      </c>
      <c r="B2238" s="100">
        <f>WEEKNUM(BD_ControlRegimen[[#This Row],[FECHA]],2)</f>
        <v>6</v>
      </c>
      <c r="C2238" s="99">
        <v>44962</v>
      </c>
      <c r="D2238" s="3" t="s">
        <v>75</v>
      </c>
      <c r="E2238" s="101"/>
      <c r="F2238" s="101"/>
    </row>
    <row r="2239" spans="1:6" hidden="1" x14ac:dyDescent="0.3">
      <c r="A2239" s="99" t="str">
        <f>BD_ControlRegimen[[#This Row],[FECHA]]&amp;BD_ControlRegimen[[#This Row],[NOMBRE]]</f>
        <v>44963RAMIREZ ROMERO PAUL</v>
      </c>
      <c r="B2239" s="100">
        <f>WEEKNUM(BD_ControlRegimen[[#This Row],[FECHA]],2)</f>
        <v>7</v>
      </c>
      <c r="C2239" s="99">
        <v>44963</v>
      </c>
      <c r="D2239" s="3" t="s">
        <v>75</v>
      </c>
      <c r="E2239" s="101"/>
      <c r="F2239" s="101"/>
    </row>
    <row r="2240" spans="1:6" hidden="1" x14ac:dyDescent="0.3">
      <c r="A2240" s="99" t="str">
        <f>BD_ControlRegimen[[#This Row],[FECHA]]&amp;BD_ControlRegimen[[#This Row],[NOMBRE]]</f>
        <v>44964RAMIREZ ROMERO PAUL</v>
      </c>
      <c r="B2240" s="100">
        <f>WEEKNUM(BD_ControlRegimen[[#This Row],[FECHA]],2)</f>
        <v>7</v>
      </c>
      <c r="C2240" s="99">
        <v>44964</v>
      </c>
      <c r="D2240" s="3" t="s">
        <v>75</v>
      </c>
      <c r="E2240" s="101"/>
      <c r="F2240" s="101"/>
    </row>
    <row r="2241" spans="1:6" hidden="1" x14ac:dyDescent="0.3">
      <c r="A2241" s="99" t="str">
        <f>BD_ControlRegimen[[#This Row],[FECHA]]&amp;BD_ControlRegimen[[#This Row],[NOMBRE]]</f>
        <v>44965RAMIREZ ROMERO PAUL</v>
      </c>
      <c r="B2241" s="100">
        <f>WEEKNUM(BD_ControlRegimen[[#This Row],[FECHA]],2)</f>
        <v>7</v>
      </c>
      <c r="C2241" s="99">
        <v>44965</v>
      </c>
      <c r="D2241" s="3" t="s">
        <v>75</v>
      </c>
      <c r="E2241" s="101"/>
      <c r="F2241" s="101"/>
    </row>
    <row r="2242" spans="1:6" hidden="1" x14ac:dyDescent="0.3">
      <c r="A2242" s="99" t="str">
        <f>BD_ControlRegimen[[#This Row],[FECHA]]&amp;BD_ControlRegimen[[#This Row],[NOMBRE]]</f>
        <v>44966RAMIREZ ROMERO PAUL</v>
      </c>
      <c r="B2242" s="100">
        <f>WEEKNUM(BD_ControlRegimen[[#This Row],[FECHA]],2)</f>
        <v>7</v>
      </c>
      <c r="C2242" s="99">
        <v>44966</v>
      </c>
      <c r="D2242" s="3" t="s">
        <v>75</v>
      </c>
      <c r="E2242" s="101"/>
      <c r="F2242" s="101"/>
    </row>
    <row r="2243" spans="1:6" hidden="1" x14ac:dyDescent="0.3">
      <c r="A2243" s="99" t="str">
        <f>BD_ControlRegimen[[#This Row],[FECHA]]&amp;BD_ControlRegimen[[#This Row],[NOMBRE]]</f>
        <v>44967RAMIREZ ROMERO PAUL</v>
      </c>
      <c r="B2243" s="100">
        <f>WEEKNUM(BD_ControlRegimen[[#This Row],[FECHA]],2)</f>
        <v>7</v>
      </c>
      <c r="C2243" s="99">
        <v>44967</v>
      </c>
      <c r="D2243" s="3" t="s">
        <v>75</v>
      </c>
      <c r="E2243" s="101"/>
      <c r="F2243" s="101"/>
    </row>
    <row r="2244" spans="1:6" hidden="1" x14ac:dyDescent="0.3">
      <c r="A2244" s="99" t="str">
        <f>BD_ControlRegimen[[#This Row],[FECHA]]&amp;BD_ControlRegimen[[#This Row],[NOMBRE]]</f>
        <v>44968RAMIREZ ROMERO PAUL</v>
      </c>
      <c r="B2244" s="100">
        <f>WEEKNUM(BD_ControlRegimen[[#This Row],[FECHA]],2)</f>
        <v>7</v>
      </c>
      <c r="C2244" s="99">
        <v>44968</v>
      </c>
      <c r="D2244" s="3" t="s">
        <v>75</v>
      </c>
      <c r="E2244" s="101"/>
      <c r="F2244" s="101"/>
    </row>
    <row r="2245" spans="1:6" hidden="1" x14ac:dyDescent="0.3">
      <c r="A2245" s="99" t="str">
        <f>BD_ControlRegimen[[#This Row],[FECHA]]&amp;BD_ControlRegimen[[#This Row],[NOMBRE]]</f>
        <v>44969RAMIREZ ROMERO PAUL</v>
      </c>
      <c r="B2245" s="100">
        <f>WEEKNUM(BD_ControlRegimen[[#This Row],[FECHA]],2)</f>
        <v>7</v>
      </c>
      <c r="C2245" s="99">
        <v>44969</v>
      </c>
      <c r="D2245" s="3" t="s">
        <v>75</v>
      </c>
      <c r="E2245" s="101"/>
      <c r="F2245" s="101"/>
    </row>
    <row r="2246" spans="1:6" hidden="1" x14ac:dyDescent="0.3">
      <c r="A2246" s="99" t="str">
        <f>BD_ControlRegimen[[#This Row],[FECHA]]&amp;BD_ControlRegimen[[#This Row],[NOMBRE]]</f>
        <v>44970RAMIREZ ROMERO PAUL</v>
      </c>
      <c r="B2246" s="100">
        <f>WEEKNUM(BD_ControlRegimen[[#This Row],[FECHA]],2)</f>
        <v>8</v>
      </c>
      <c r="C2246" s="99">
        <v>44970</v>
      </c>
      <c r="D2246" s="3" t="s">
        <v>75</v>
      </c>
      <c r="E2246" s="101"/>
      <c r="F2246" s="101"/>
    </row>
    <row r="2247" spans="1:6" hidden="1" x14ac:dyDescent="0.3">
      <c r="A2247" s="99" t="str">
        <f>BD_ControlRegimen[[#This Row],[FECHA]]&amp;BD_ControlRegimen[[#This Row],[NOMBRE]]</f>
        <v>44971RAMIREZ ROMERO PAUL</v>
      </c>
      <c r="B2247" s="100">
        <f>WEEKNUM(BD_ControlRegimen[[#This Row],[FECHA]],2)</f>
        <v>8</v>
      </c>
      <c r="C2247" s="99">
        <v>44971</v>
      </c>
      <c r="D2247" s="3" t="s">
        <v>75</v>
      </c>
      <c r="E2247" s="101"/>
      <c r="F2247" s="101"/>
    </row>
    <row r="2248" spans="1:6" hidden="1" x14ac:dyDescent="0.3">
      <c r="A2248" s="99" t="str">
        <f>BD_ControlRegimen[[#This Row],[FECHA]]&amp;BD_ControlRegimen[[#This Row],[NOMBRE]]</f>
        <v>44972RAMIREZ ROMERO PAUL</v>
      </c>
      <c r="B2248" s="100">
        <f>WEEKNUM(BD_ControlRegimen[[#This Row],[FECHA]],2)</f>
        <v>8</v>
      </c>
      <c r="C2248" s="99">
        <v>44972</v>
      </c>
      <c r="D2248" s="3" t="s">
        <v>75</v>
      </c>
      <c r="E2248" s="101"/>
      <c r="F2248" s="101"/>
    </row>
    <row r="2249" spans="1:6" hidden="1" x14ac:dyDescent="0.3">
      <c r="A2249" s="99" t="str">
        <f>BD_ControlRegimen[[#This Row],[FECHA]]&amp;BD_ControlRegimen[[#This Row],[NOMBRE]]</f>
        <v>44973RAMIREZ ROMERO PAUL</v>
      </c>
      <c r="B2249" s="100">
        <f>WEEKNUM(BD_ControlRegimen[[#This Row],[FECHA]],2)</f>
        <v>8</v>
      </c>
      <c r="C2249" s="99">
        <v>44973</v>
      </c>
      <c r="D2249" s="3" t="s">
        <v>75</v>
      </c>
      <c r="E2249" s="101"/>
      <c r="F2249" s="101"/>
    </row>
    <row r="2250" spans="1:6" hidden="1" x14ac:dyDescent="0.3">
      <c r="A2250" s="99" t="str">
        <f>BD_ControlRegimen[[#This Row],[FECHA]]&amp;BD_ControlRegimen[[#This Row],[NOMBRE]]</f>
        <v>44974RAMIREZ ROMERO PAUL</v>
      </c>
      <c r="B2250" s="100">
        <f>WEEKNUM(BD_ControlRegimen[[#This Row],[FECHA]],2)</f>
        <v>8</v>
      </c>
      <c r="C2250" s="99">
        <v>44974</v>
      </c>
      <c r="D2250" s="3" t="s">
        <v>75</v>
      </c>
      <c r="E2250" s="101"/>
      <c r="F2250" s="101"/>
    </row>
    <row r="2251" spans="1:6" hidden="1" x14ac:dyDescent="0.3">
      <c r="A2251" s="99" t="str">
        <f>BD_ControlRegimen[[#This Row],[FECHA]]&amp;BD_ControlRegimen[[#This Row],[NOMBRE]]</f>
        <v>44975RAMIREZ ROMERO PAUL</v>
      </c>
      <c r="B2251" s="100">
        <f>WEEKNUM(BD_ControlRegimen[[#This Row],[FECHA]],2)</f>
        <v>8</v>
      </c>
      <c r="C2251" s="99">
        <v>44975</v>
      </c>
      <c r="D2251" s="3" t="s">
        <v>75</v>
      </c>
      <c r="E2251" s="101"/>
      <c r="F2251" s="101"/>
    </row>
    <row r="2252" spans="1:6" hidden="1" x14ac:dyDescent="0.3">
      <c r="A2252" s="99" t="str">
        <f>BD_ControlRegimen[[#This Row],[FECHA]]&amp;BD_ControlRegimen[[#This Row],[NOMBRE]]</f>
        <v>44976RAMIREZ ROMERO PAUL</v>
      </c>
      <c r="B2252" s="100">
        <f>WEEKNUM(BD_ControlRegimen[[#This Row],[FECHA]],2)</f>
        <v>8</v>
      </c>
      <c r="C2252" s="99">
        <v>44976</v>
      </c>
      <c r="D2252" s="3" t="s">
        <v>75</v>
      </c>
      <c r="E2252" s="101"/>
      <c r="F2252" s="101"/>
    </row>
    <row r="2253" spans="1:6" hidden="1" x14ac:dyDescent="0.3">
      <c r="A2253" s="99" t="str">
        <f>BD_ControlRegimen[[#This Row],[FECHA]]&amp;BD_ControlRegimen[[#This Row],[NOMBRE]]</f>
        <v>44977RAMIREZ ROMERO PAUL</v>
      </c>
      <c r="B2253" s="100">
        <f>WEEKNUM(BD_ControlRegimen[[#This Row],[FECHA]],2)</f>
        <v>9</v>
      </c>
      <c r="C2253" s="99">
        <v>44977</v>
      </c>
      <c r="D2253" s="3" t="s">
        <v>75</v>
      </c>
      <c r="E2253" s="101"/>
      <c r="F2253" s="101"/>
    </row>
    <row r="2254" spans="1:6" hidden="1" x14ac:dyDescent="0.3">
      <c r="A2254" s="99" t="str">
        <f>BD_ControlRegimen[[#This Row],[FECHA]]&amp;BD_ControlRegimen[[#This Row],[NOMBRE]]</f>
        <v>44978RAMIREZ ROMERO PAUL</v>
      </c>
      <c r="B2254" s="100">
        <f>WEEKNUM(BD_ControlRegimen[[#This Row],[FECHA]],2)</f>
        <v>9</v>
      </c>
      <c r="C2254" s="99">
        <v>44978</v>
      </c>
      <c r="D2254" s="3" t="s">
        <v>75</v>
      </c>
      <c r="E2254" s="101"/>
      <c r="F2254" s="101"/>
    </row>
    <row r="2255" spans="1:6" hidden="1" x14ac:dyDescent="0.3">
      <c r="A2255" s="99" t="str">
        <f>BD_ControlRegimen[[#This Row],[FECHA]]&amp;BD_ControlRegimen[[#This Row],[NOMBRE]]</f>
        <v>44979RAMIREZ ROMERO PAUL</v>
      </c>
      <c r="B2255" s="100">
        <f>WEEKNUM(BD_ControlRegimen[[#This Row],[FECHA]],2)</f>
        <v>9</v>
      </c>
      <c r="C2255" s="99">
        <v>44979</v>
      </c>
      <c r="D2255" s="3" t="s">
        <v>75</v>
      </c>
      <c r="E2255" s="101"/>
      <c r="F2255" s="101"/>
    </row>
    <row r="2256" spans="1:6" hidden="1" x14ac:dyDescent="0.3">
      <c r="A2256" s="99" t="str">
        <f>BD_ControlRegimen[[#This Row],[FECHA]]&amp;BD_ControlRegimen[[#This Row],[NOMBRE]]</f>
        <v>44980RAMIREZ ROMERO PAUL</v>
      </c>
      <c r="B2256" s="100">
        <f>WEEKNUM(BD_ControlRegimen[[#This Row],[FECHA]],2)</f>
        <v>9</v>
      </c>
      <c r="C2256" s="99">
        <v>44980</v>
      </c>
      <c r="D2256" s="3" t="s">
        <v>75</v>
      </c>
      <c r="E2256" s="101"/>
      <c r="F2256" s="101"/>
    </row>
    <row r="2257" spans="1:6" hidden="1" x14ac:dyDescent="0.3">
      <c r="A2257" s="99" t="str">
        <f>BD_ControlRegimen[[#This Row],[FECHA]]&amp;BD_ControlRegimen[[#This Row],[NOMBRE]]</f>
        <v>44981RAMIREZ ROMERO PAUL</v>
      </c>
      <c r="B2257" s="100">
        <f>WEEKNUM(BD_ControlRegimen[[#This Row],[FECHA]],2)</f>
        <v>9</v>
      </c>
      <c r="C2257" s="99">
        <v>44981</v>
      </c>
      <c r="D2257" s="3" t="s">
        <v>75</v>
      </c>
      <c r="E2257" s="101"/>
      <c r="F2257" s="101"/>
    </row>
    <row r="2258" spans="1:6" hidden="1" x14ac:dyDescent="0.3">
      <c r="A2258" s="99" t="str">
        <f>BD_ControlRegimen[[#This Row],[FECHA]]&amp;BD_ControlRegimen[[#This Row],[NOMBRE]]</f>
        <v>44982RAMIREZ ROMERO PAUL</v>
      </c>
      <c r="B2258" s="100">
        <f>WEEKNUM(BD_ControlRegimen[[#This Row],[FECHA]],2)</f>
        <v>9</v>
      </c>
      <c r="C2258" s="99">
        <v>44982</v>
      </c>
      <c r="D2258" s="3" t="s">
        <v>75</v>
      </c>
      <c r="E2258" s="101"/>
      <c r="F2258" s="101"/>
    </row>
    <row r="2259" spans="1:6" hidden="1" x14ac:dyDescent="0.3">
      <c r="A2259" s="99" t="str">
        <f>BD_ControlRegimen[[#This Row],[FECHA]]&amp;BD_ControlRegimen[[#This Row],[NOMBRE]]</f>
        <v>44983RAMIREZ ROMERO PAUL</v>
      </c>
      <c r="B2259" s="100">
        <f>WEEKNUM(BD_ControlRegimen[[#This Row],[FECHA]],2)</f>
        <v>9</v>
      </c>
      <c r="C2259" s="99">
        <v>44983</v>
      </c>
      <c r="D2259" s="3" t="s">
        <v>75</v>
      </c>
      <c r="E2259" s="101"/>
      <c r="F2259" s="101"/>
    </row>
    <row r="2260" spans="1:6" hidden="1" x14ac:dyDescent="0.3">
      <c r="A2260" s="99" t="str">
        <f>BD_ControlRegimen[[#This Row],[FECHA]]&amp;BD_ControlRegimen[[#This Row],[NOMBRE]]</f>
        <v>44984RAMIREZ ROMERO PAUL</v>
      </c>
      <c r="B2260" s="100">
        <f>WEEKNUM(BD_ControlRegimen[[#This Row],[FECHA]],2)</f>
        <v>10</v>
      </c>
      <c r="C2260" s="99">
        <v>44984</v>
      </c>
      <c r="D2260" s="3" t="s">
        <v>75</v>
      </c>
      <c r="E2260" s="101"/>
      <c r="F2260" s="101"/>
    </row>
    <row r="2261" spans="1:6" hidden="1" x14ac:dyDescent="0.3">
      <c r="A2261" s="99" t="str">
        <f>BD_ControlRegimen[[#This Row],[FECHA]]&amp;BD_ControlRegimen[[#This Row],[NOMBRE]]</f>
        <v>44985RAMIREZ ROMERO PAUL</v>
      </c>
      <c r="B2261" s="100">
        <f>WEEKNUM(BD_ControlRegimen[[#This Row],[FECHA]],2)</f>
        <v>10</v>
      </c>
      <c r="C2261" s="99">
        <v>44985</v>
      </c>
      <c r="D2261" s="3" t="s">
        <v>75</v>
      </c>
      <c r="E2261" s="101"/>
      <c r="F2261" s="101"/>
    </row>
    <row r="2262" spans="1:6" hidden="1" x14ac:dyDescent="0.3">
      <c r="A2262" s="99" t="str">
        <f>BD_ControlRegimen[[#This Row],[FECHA]]&amp;BD_ControlRegimen[[#This Row],[NOMBRE]]</f>
        <v>44986RAMIREZ ROMERO PAUL</v>
      </c>
      <c r="B2262" s="100">
        <f>WEEKNUM(BD_ControlRegimen[[#This Row],[FECHA]],2)</f>
        <v>10</v>
      </c>
      <c r="C2262" s="99">
        <v>44986</v>
      </c>
      <c r="D2262" s="3" t="s">
        <v>75</v>
      </c>
      <c r="E2262" s="101"/>
      <c r="F2262" s="101"/>
    </row>
    <row r="2263" spans="1:6" hidden="1" x14ac:dyDescent="0.3">
      <c r="A2263" s="99" t="str">
        <f>BD_ControlRegimen[[#This Row],[FECHA]]&amp;BD_ControlRegimen[[#This Row],[NOMBRE]]</f>
        <v>44987RAMIREZ ROMERO PAUL</v>
      </c>
      <c r="B2263" s="100">
        <f>WEEKNUM(BD_ControlRegimen[[#This Row],[FECHA]],2)</f>
        <v>10</v>
      </c>
      <c r="C2263" s="99">
        <v>44987</v>
      </c>
      <c r="D2263" s="3" t="s">
        <v>75</v>
      </c>
      <c r="E2263" s="101"/>
      <c r="F2263" s="101"/>
    </row>
    <row r="2264" spans="1:6" hidden="1" x14ac:dyDescent="0.3">
      <c r="A2264" s="99" t="str">
        <f>BD_ControlRegimen[[#This Row],[FECHA]]&amp;BD_ControlRegimen[[#This Row],[NOMBRE]]</f>
        <v>44988RAMIREZ ROMERO PAUL</v>
      </c>
      <c r="B2264" s="100">
        <f>WEEKNUM(BD_ControlRegimen[[#This Row],[FECHA]],2)</f>
        <v>10</v>
      </c>
      <c r="C2264" s="99">
        <v>44988</v>
      </c>
      <c r="D2264" s="3" t="s">
        <v>75</v>
      </c>
      <c r="E2264" s="101"/>
      <c r="F2264" s="101"/>
    </row>
    <row r="2265" spans="1:6" hidden="1" x14ac:dyDescent="0.3">
      <c r="A2265" s="99" t="str">
        <f>BD_ControlRegimen[[#This Row],[FECHA]]&amp;BD_ControlRegimen[[#This Row],[NOMBRE]]</f>
        <v>44989RAMIREZ ROMERO PAUL</v>
      </c>
      <c r="B2265" s="100">
        <f>WEEKNUM(BD_ControlRegimen[[#This Row],[FECHA]],2)</f>
        <v>10</v>
      </c>
      <c r="C2265" s="99">
        <v>44989</v>
      </c>
      <c r="D2265" s="3" t="s">
        <v>75</v>
      </c>
      <c r="E2265" s="101"/>
      <c r="F2265" s="101"/>
    </row>
    <row r="2266" spans="1:6" hidden="1" x14ac:dyDescent="0.3">
      <c r="A2266" s="99" t="str">
        <f>BD_ControlRegimen[[#This Row],[FECHA]]&amp;BD_ControlRegimen[[#This Row],[NOMBRE]]</f>
        <v>44990RAMIREZ ROMERO PAUL</v>
      </c>
      <c r="B2266" s="100">
        <f>WEEKNUM(BD_ControlRegimen[[#This Row],[FECHA]],2)</f>
        <v>10</v>
      </c>
      <c r="C2266" s="99">
        <v>44990</v>
      </c>
      <c r="D2266" s="3" t="s">
        <v>75</v>
      </c>
      <c r="E2266" s="101"/>
      <c r="F2266" s="101"/>
    </row>
    <row r="2267" spans="1:6" hidden="1" x14ac:dyDescent="0.3">
      <c r="A2267" s="99" t="str">
        <f>BD_ControlRegimen[[#This Row],[FECHA]]&amp;BD_ControlRegimen[[#This Row],[NOMBRE]]</f>
        <v>44991RAMIREZ ROMERO PAUL</v>
      </c>
      <c r="B2267" s="100">
        <f>WEEKNUM(BD_ControlRegimen[[#This Row],[FECHA]],2)</f>
        <v>11</v>
      </c>
      <c r="C2267" s="99">
        <v>44991</v>
      </c>
      <c r="D2267" s="3" t="s">
        <v>75</v>
      </c>
      <c r="E2267" s="101"/>
      <c r="F2267" s="101"/>
    </row>
    <row r="2268" spans="1:6" hidden="1" x14ac:dyDescent="0.3">
      <c r="A2268" s="99" t="str">
        <f>BD_ControlRegimen[[#This Row],[FECHA]]&amp;BD_ControlRegimen[[#This Row],[NOMBRE]]</f>
        <v>44992RAMIREZ ROMERO PAUL</v>
      </c>
      <c r="B2268" s="100">
        <f>WEEKNUM(BD_ControlRegimen[[#This Row],[FECHA]],2)</f>
        <v>11</v>
      </c>
      <c r="C2268" s="99">
        <v>44992</v>
      </c>
      <c r="D2268" s="3" t="s">
        <v>75</v>
      </c>
      <c r="E2268" s="101"/>
      <c r="F2268" s="101"/>
    </row>
    <row r="2269" spans="1:6" hidden="1" x14ac:dyDescent="0.3">
      <c r="A2269" s="99" t="str">
        <f>BD_ControlRegimen[[#This Row],[FECHA]]&amp;BD_ControlRegimen[[#This Row],[NOMBRE]]</f>
        <v>44993RAMIREZ ROMERO PAUL</v>
      </c>
      <c r="B2269" s="100">
        <f>WEEKNUM(BD_ControlRegimen[[#This Row],[FECHA]],2)</f>
        <v>11</v>
      </c>
      <c r="C2269" s="99">
        <v>44993</v>
      </c>
      <c r="D2269" s="3" t="s">
        <v>75</v>
      </c>
      <c r="E2269" s="101"/>
      <c r="F2269" s="101"/>
    </row>
    <row r="2270" spans="1:6" hidden="1" x14ac:dyDescent="0.3">
      <c r="A2270" s="99" t="str">
        <f>BD_ControlRegimen[[#This Row],[FECHA]]&amp;BD_ControlRegimen[[#This Row],[NOMBRE]]</f>
        <v>44994RAMIREZ ROMERO PAUL</v>
      </c>
      <c r="B2270" s="100">
        <f>WEEKNUM(BD_ControlRegimen[[#This Row],[FECHA]],2)</f>
        <v>11</v>
      </c>
      <c r="C2270" s="99">
        <v>44994</v>
      </c>
      <c r="D2270" s="3" t="s">
        <v>75</v>
      </c>
      <c r="E2270" s="101"/>
      <c r="F2270" s="101"/>
    </row>
    <row r="2271" spans="1:6" hidden="1" x14ac:dyDescent="0.3">
      <c r="A2271" s="99" t="str">
        <f>BD_ControlRegimen[[#This Row],[FECHA]]&amp;BD_ControlRegimen[[#This Row],[NOMBRE]]</f>
        <v>44995RAMIREZ ROMERO PAUL</v>
      </c>
      <c r="B2271" s="100">
        <f>WEEKNUM(BD_ControlRegimen[[#This Row],[FECHA]],2)</f>
        <v>11</v>
      </c>
      <c r="C2271" s="99">
        <v>44995</v>
      </c>
      <c r="D2271" s="3" t="s">
        <v>75</v>
      </c>
      <c r="E2271" s="101"/>
      <c r="F2271" s="101"/>
    </row>
    <row r="2272" spans="1:6" hidden="1" x14ac:dyDescent="0.3">
      <c r="A2272" s="99" t="str">
        <f>BD_ControlRegimen[[#This Row],[FECHA]]&amp;BD_ControlRegimen[[#This Row],[NOMBRE]]</f>
        <v>44996RAMIREZ ROMERO PAUL</v>
      </c>
      <c r="B2272" s="100">
        <f>WEEKNUM(BD_ControlRegimen[[#This Row],[FECHA]],2)</f>
        <v>11</v>
      </c>
      <c r="C2272" s="99">
        <v>44996</v>
      </c>
      <c r="D2272" s="3" t="s">
        <v>75</v>
      </c>
      <c r="E2272" s="101"/>
      <c r="F2272" s="101"/>
    </row>
    <row r="2273" spans="1:6" hidden="1" x14ac:dyDescent="0.3">
      <c r="A2273" s="99" t="str">
        <f>BD_ControlRegimen[[#This Row],[FECHA]]&amp;BD_ControlRegimen[[#This Row],[NOMBRE]]</f>
        <v>44997RAMIREZ ROMERO PAUL</v>
      </c>
      <c r="B2273" s="100">
        <f>WEEKNUM(BD_ControlRegimen[[#This Row],[FECHA]],2)</f>
        <v>11</v>
      </c>
      <c r="C2273" s="99">
        <v>44997</v>
      </c>
      <c r="D2273" s="3" t="s">
        <v>75</v>
      </c>
      <c r="E2273" s="101"/>
      <c r="F2273" s="101"/>
    </row>
    <row r="2274" spans="1:6" x14ac:dyDescent="0.3">
      <c r="A2274" s="99" t="str">
        <f>BD_ControlRegimen[[#This Row],[FECHA]]&amp;BD_ControlRegimen[[#This Row],[NOMBRE]]</f>
        <v>44998RAMIREZ ROMERO PAUL</v>
      </c>
      <c r="B2274" s="100">
        <f>WEEKNUM(BD_ControlRegimen[[#This Row],[FECHA]],2)</f>
        <v>12</v>
      </c>
      <c r="C2274" s="99">
        <v>44998</v>
      </c>
      <c r="D2274" s="3" t="s">
        <v>75</v>
      </c>
      <c r="E2274" s="3" t="s">
        <v>154</v>
      </c>
      <c r="F2274" s="101"/>
    </row>
    <row r="2275" spans="1:6" x14ac:dyDescent="0.3">
      <c r="A2275" s="99" t="str">
        <f>BD_ControlRegimen[[#This Row],[FECHA]]&amp;BD_ControlRegimen[[#This Row],[NOMBRE]]</f>
        <v>44999RAMIREZ ROMERO PAUL</v>
      </c>
      <c r="B2275" s="100">
        <f>WEEKNUM(BD_ControlRegimen[[#This Row],[FECHA]],2)</f>
        <v>12</v>
      </c>
      <c r="C2275" s="99">
        <v>44999</v>
      </c>
      <c r="D2275" s="3" t="s">
        <v>75</v>
      </c>
      <c r="E2275" s="3" t="s">
        <v>154</v>
      </c>
      <c r="F2275" s="101"/>
    </row>
    <row r="2276" spans="1:6" x14ac:dyDescent="0.3">
      <c r="A2276" s="99" t="str">
        <f>BD_ControlRegimen[[#This Row],[FECHA]]&amp;BD_ControlRegimen[[#This Row],[NOMBRE]]</f>
        <v>45000RAMIREZ ROMERO PAUL</v>
      </c>
      <c r="B2276" s="100">
        <f>WEEKNUM(BD_ControlRegimen[[#This Row],[FECHA]],2)</f>
        <v>12</v>
      </c>
      <c r="C2276" s="99">
        <v>45000</v>
      </c>
      <c r="D2276" s="3" t="s">
        <v>75</v>
      </c>
      <c r="E2276" s="3" t="s">
        <v>154</v>
      </c>
      <c r="F2276" s="101"/>
    </row>
    <row r="2277" spans="1:6" x14ac:dyDescent="0.3">
      <c r="A2277" s="99" t="str">
        <f>BD_ControlRegimen[[#This Row],[FECHA]]&amp;BD_ControlRegimen[[#This Row],[NOMBRE]]</f>
        <v>45001RAMIREZ ROMERO PAUL</v>
      </c>
      <c r="B2277" s="100">
        <f>WEEKNUM(BD_ControlRegimen[[#This Row],[FECHA]],2)</f>
        <v>12</v>
      </c>
      <c r="C2277" s="99">
        <v>45001</v>
      </c>
      <c r="D2277" s="3" t="s">
        <v>75</v>
      </c>
      <c r="E2277" s="3" t="s">
        <v>154</v>
      </c>
      <c r="F2277" s="101"/>
    </row>
    <row r="2278" spans="1:6" x14ac:dyDescent="0.3">
      <c r="A2278" s="99" t="str">
        <f>BD_ControlRegimen[[#This Row],[FECHA]]&amp;BD_ControlRegimen[[#This Row],[NOMBRE]]</f>
        <v>45002RAMIREZ ROMERO PAUL</v>
      </c>
      <c r="B2278" s="100">
        <f>WEEKNUM(BD_ControlRegimen[[#This Row],[FECHA]],2)</f>
        <v>12</v>
      </c>
      <c r="C2278" s="99">
        <v>45002</v>
      </c>
      <c r="D2278" s="3" t="s">
        <v>75</v>
      </c>
      <c r="E2278" s="3" t="s">
        <v>154</v>
      </c>
      <c r="F2278" s="101"/>
    </row>
    <row r="2279" spans="1:6" x14ac:dyDescent="0.3">
      <c r="A2279" s="99" t="str">
        <f>BD_ControlRegimen[[#This Row],[FECHA]]&amp;BD_ControlRegimen[[#This Row],[NOMBRE]]</f>
        <v>45003RAMIREZ ROMERO PAUL</v>
      </c>
      <c r="B2279" s="100">
        <f>WEEKNUM(BD_ControlRegimen[[#This Row],[FECHA]],2)</f>
        <v>12</v>
      </c>
      <c r="C2279" s="99">
        <v>45003</v>
      </c>
      <c r="D2279" s="3" t="s">
        <v>75</v>
      </c>
      <c r="E2279" s="3" t="s">
        <v>154</v>
      </c>
      <c r="F2279" s="101"/>
    </row>
    <row r="2280" spans="1:6" x14ac:dyDescent="0.3">
      <c r="A2280" s="99" t="str">
        <f>BD_ControlRegimen[[#This Row],[FECHA]]&amp;BD_ControlRegimen[[#This Row],[NOMBRE]]</f>
        <v>45004RAMIREZ ROMERO PAUL</v>
      </c>
      <c r="B2280" s="100">
        <f>WEEKNUM(BD_ControlRegimen[[#This Row],[FECHA]],2)</f>
        <v>12</v>
      </c>
      <c r="C2280" s="99">
        <v>45004</v>
      </c>
      <c r="D2280" s="3" t="s">
        <v>75</v>
      </c>
      <c r="E2280" s="3" t="s">
        <v>154</v>
      </c>
      <c r="F2280" s="101"/>
    </row>
    <row r="2281" spans="1:6" x14ac:dyDescent="0.3">
      <c r="A2281" s="99" t="str">
        <f>BD_ControlRegimen[[#This Row],[FECHA]]&amp;BD_ControlRegimen[[#This Row],[NOMBRE]]</f>
        <v>45005RAMIREZ ROMERO PAUL</v>
      </c>
      <c r="B2281" s="100">
        <f>WEEKNUM(BD_ControlRegimen[[#This Row],[FECHA]],2)</f>
        <v>13</v>
      </c>
      <c r="C2281" s="99">
        <v>45005</v>
      </c>
      <c r="D2281" s="3" t="s">
        <v>75</v>
      </c>
      <c r="E2281" s="3" t="s">
        <v>154</v>
      </c>
      <c r="F2281" s="101"/>
    </row>
    <row r="2282" spans="1:6" x14ac:dyDescent="0.3">
      <c r="A2282" s="99" t="str">
        <f>BD_ControlRegimen[[#This Row],[FECHA]]&amp;BD_ControlRegimen[[#This Row],[NOMBRE]]</f>
        <v>45006RAMIREZ ROMERO PAUL</v>
      </c>
      <c r="B2282" s="100">
        <f>WEEKNUM(BD_ControlRegimen[[#This Row],[FECHA]],2)</f>
        <v>13</v>
      </c>
      <c r="C2282" s="99">
        <v>45006</v>
      </c>
      <c r="D2282" s="3" t="s">
        <v>75</v>
      </c>
      <c r="E2282" s="3" t="s">
        <v>154</v>
      </c>
      <c r="F2282" s="101"/>
    </row>
    <row r="2283" spans="1:6" x14ac:dyDescent="0.3">
      <c r="A2283" s="99" t="str">
        <f>BD_ControlRegimen[[#This Row],[FECHA]]&amp;BD_ControlRegimen[[#This Row],[NOMBRE]]</f>
        <v>45007RAMIREZ ROMERO PAUL</v>
      </c>
      <c r="B2283" s="100">
        <f>WEEKNUM(BD_ControlRegimen[[#This Row],[FECHA]],2)</f>
        <v>13</v>
      </c>
      <c r="C2283" s="99">
        <v>45007</v>
      </c>
      <c r="D2283" s="3" t="s">
        <v>75</v>
      </c>
      <c r="E2283" s="3" t="s">
        <v>154</v>
      </c>
      <c r="F2283" s="101"/>
    </row>
    <row r="2284" spans="1:6" x14ac:dyDescent="0.3">
      <c r="A2284" s="99" t="str">
        <f>BD_ControlRegimen[[#This Row],[FECHA]]&amp;BD_ControlRegimen[[#This Row],[NOMBRE]]</f>
        <v>45008RAMIREZ ROMERO PAUL</v>
      </c>
      <c r="B2284" s="100">
        <f>WEEKNUM(BD_ControlRegimen[[#This Row],[FECHA]],2)</f>
        <v>13</v>
      </c>
      <c r="C2284" s="99">
        <v>45008</v>
      </c>
      <c r="D2284" s="3" t="s">
        <v>75</v>
      </c>
      <c r="E2284" s="3" t="s">
        <v>154</v>
      </c>
      <c r="F2284" s="101"/>
    </row>
    <row r="2285" spans="1:6" x14ac:dyDescent="0.3">
      <c r="A2285" s="99" t="str">
        <f>BD_ControlRegimen[[#This Row],[FECHA]]&amp;BD_ControlRegimen[[#This Row],[NOMBRE]]</f>
        <v>45009RAMIREZ ROMERO PAUL</v>
      </c>
      <c r="B2285" s="100">
        <f>WEEKNUM(BD_ControlRegimen[[#This Row],[FECHA]],2)</f>
        <v>13</v>
      </c>
      <c r="C2285" s="99">
        <v>45009</v>
      </c>
      <c r="D2285" s="3" t="s">
        <v>75</v>
      </c>
      <c r="E2285" s="3" t="s">
        <v>154</v>
      </c>
      <c r="F2285" s="101"/>
    </row>
    <row r="2286" spans="1:6" x14ac:dyDescent="0.3">
      <c r="A2286" s="99" t="str">
        <f>BD_ControlRegimen[[#This Row],[FECHA]]&amp;BD_ControlRegimen[[#This Row],[NOMBRE]]</f>
        <v>45010RAMIREZ ROMERO PAUL</v>
      </c>
      <c r="B2286" s="100">
        <f>WEEKNUM(BD_ControlRegimen[[#This Row],[FECHA]],2)</f>
        <v>13</v>
      </c>
      <c r="C2286" s="99">
        <v>45010</v>
      </c>
      <c r="D2286" s="3" t="s">
        <v>75</v>
      </c>
      <c r="E2286" s="3" t="s">
        <v>154</v>
      </c>
      <c r="F2286" s="101"/>
    </row>
    <row r="2287" spans="1:6" x14ac:dyDescent="0.3">
      <c r="A2287" s="99" t="str">
        <f>BD_ControlRegimen[[#This Row],[FECHA]]&amp;BD_ControlRegimen[[#This Row],[NOMBRE]]</f>
        <v>45011RAMIREZ ROMERO PAUL</v>
      </c>
      <c r="B2287" s="100">
        <f>WEEKNUM(BD_ControlRegimen[[#This Row],[FECHA]],2)</f>
        <v>13</v>
      </c>
      <c r="C2287" s="99">
        <v>45011</v>
      </c>
      <c r="D2287" s="3" t="s">
        <v>75</v>
      </c>
      <c r="E2287" s="3" t="s">
        <v>154</v>
      </c>
      <c r="F2287" s="101"/>
    </row>
    <row r="2288" spans="1:6" x14ac:dyDescent="0.3">
      <c r="A2288" s="7" t="str">
        <f>BD_ControlRegimen[[#This Row],[FECHA]]&amp;BD_ControlRegimen[[#This Row],[NOMBRE]]</f>
        <v>45012RAMIREZ ROMERO PAUL</v>
      </c>
      <c r="B2288" s="83">
        <f>WEEKNUM(BD_ControlRegimen[[#This Row],[FECHA]],2)</f>
        <v>14</v>
      </c>
      <c r="C2288" s="7">
        <v>45012</v>
      </c>
      <c r="D2288" s="3" t="s">
        <v>75</v>
      </c>
      <c r="E2288" s="3" t="s">
        <v>154</v>
      </c>
      <c r="F2288" s="3"/>
    </row>
    <row r="2289" spans="1:6" x14ac:dyDescent="0.3">
      <c r="A2289" s="7" t="str">
        <f>BD_ControlRegimen[[#This Row],[FECHA]]&amp;BD_ControlRegimen[[#This Row],[NOMBRE]]</f>
        <v>45013RAMIREZ ROMERO PAUL</v>
      </c>
      <c r="B2289" s="83">
        <f>WEEKNUM(BD_ControlRegimen[[#This Row],[FECHA]],2)</f>
        <v>14</v>
      </c>
      <c r="C2289" s="7">
        <v>45013</v>
      </c>
      <c r="D2289" s="3" t="s">
        <v>75</v>
      </c>
      <c r="E2289" s="3" t="s">
        <v>154</v>
      </c>
      <c r="F2289" s="3"/>
    </row>
    <row r="2290" spans="1:6" x14ac:dyDescent="0.3">
      <c r="A2290" s="7" t="str">
        <f>BD_ControlRegimen[[#This Row],[FECHA]]&amp;BD_ControlRegimen[[#This Row],[NOMBRE]]</f>
        <v>45014RAMIREZ ROMERO PAUL</v>
      </c>
      <c r="B2290" s="83">
        <f>WEEKNUM(BD_ControlRegimen[[#This Row],[FECHA]],2)</f>
        <v>14</v>
      </c>
      <c r="C2290" s="7">
        <v>45014</v>
      </c>
      <c r="D2290" s="3" t="s">
        <v>75</v>
      </c>
      <c r="E2290" s="3" t="s">
        <v>154</v>
      </c>
      <c r="F2290" s="3"/>
    </row>
    <row r="2291" spans="1:6" x14ac:dyDescent="0.3">
      <c r="A2291" s="7" t="str">
        <f>BD_ControlRegimen[[#This Row],[FECHA]]&amp;BD_ControlRegimen[[#This Row],[NOMBRE]]</f>
        <v>45015RAMIREZ ROMERO PAUL</v>
      </c>
      <c r="B2291" s="83">
        <f>WEEKNUM(BD_ControlRegimen[[#This Row],[FECHA]],2)</f>
        <v>14</v>
      </c>
      <c r="C2291" s="7">
        <v>45015</v>
      </c>
      <c r="D2291" s="3" t="s">
        <v>75</v>
      </c>
      <c r="E2291" s="3" t="s">
        <v>154</v>
      </c>
      <c r="F2291" s="3"/>
    </row>
    <row r="2292" spans="1:6" x14ac:dyDescent="0.3">
      <c r="A2292" s="7" t="str">
        <f>BD_ControlRegimen[[#This Row],[FECHA]]&amp;BD_ControlRegimen[[#This Row],[NOMBRE]]</f>
        <v>45016RAMIREZ ROMERO PAUL</v>
      </c>
      <c r="B2292" s="83">
        <f>WEEKNUM(BD_ControlRegimen[[#This Row],[FECHA]],2)</f>
        <v>14</v>
      </c>
      <c r="C2292" s="7">
        <v>45016</v>
      </c>
      <c r="D2292" s="3" t="s">
        <v>75</v>
      </c>
      <c r="E2292" s="3" t="s">
        <v>154</v>
      </c>
      <c r="F2292" s="3"/>
    </row>
    <row r="2293" spans="1:6" x14ac:dyDescent="0.3">
      <c r="A2293" s="7" t="str">
        <f>BD_ControlRegimen[[#This Row],[FECHA]]&amp;BD_ControlRegimen[[#This Row],[NOMBRE]]</f>
        <v>45017RAMIREZ ROMERO PAUL</v>
      </c>
      <c r="B2293" s="83">
        <f>WEEKNUM(BD_ControlRegimen[[#This Row],[FECHA]],2)</f>
        <v>14</v>
      </c>
      <c r="C2293" s="7">
        <v>45017</v>
      </c>
      <c r="D2293" s="3" t="s">
        <v>75</v>
      </c>
      <c r="E2293" s="3" t="s">
        <v>154</v>
      </c>
      <c r="F2293" s="3"/>
    </row>
    <row r="2294" spans="1:6" x14ac:dyDescent="0.3">
      <c r="A2294" s="7" t="str">
        <f>BD_ControlRegimen[[#This Row],[FECHA]]&amp;BD_ControlRegimen[[#This Row],[NOMBRE]]</f>
        <v>45018RAMIREZ ROMERO PAUL</v>
      </c>
      <c r="B2294" s="83">
        <f>WEEKNUM(BD_ControlRegimen[[#This Row],[FECHA]],2)</f>
        <v>14</v>
      </c>
      <c r="C2294" s="7">
        <v>45018</v>
      </c>
      <c r="D2294" s="3" t="s">
        <v>75</v>
      </c>
      <c r="E2294" s="3" t="s">
        <v>154</v>
      </c>
      <c r="F2294" s="3"/>
    </row>
    <row r="2295" spans="1:6" x14ac:dyDescent="0.3">
      <c r="A2295" s="7" t="str">
        <f>BD_ControlRegimen[[#This Row],[FECHA]]&amp;BD_ControlRegimen[[#This Row],[NOMBRE]]</f>
        <v>45019RAMIREZ ROMERO PAUL</v>
      </c>
      <c r="B2295" s="83">
        <f>WEEKNUM(BD_ControlRegimen[[#This Row],[FECHA]],2)</f>
        <v>15</v>
      </c>
      <c r="C2295" s="7">
        <v>45019</v>
      </c>
      <c r="D2295" s="3" t="s">
        <v>75</v>
      </c>
      <c r="E2295" s="3" t="s">
        <v>154</v>
      </c>
      <c r="F2295" s="3"/>
    </row>
    <row r="2296" spans="1:6" x14ac:dyDescent="0.3">
      <c r="A2296" s="7" t="str">
        <f>BD_ControlRegimen[[#This Row],[FECHA]]&amp;BD_ControlRegimen[[#This Row],[NOMBRE]]</f>
        <v>45020RAMIREZ ROMERO PAUL</v>
      </c>
      <c r="B2296" s="83">
        <f>WEEKNUM(BD_ControlRegimen[[#This Row],[FECHA]],2)</f>
        <v>15</v>
      </c>
      <c r="C2296" s="7">
        <v>45020</v>
      </c>
      <c r="D2296" s="3" t="s">
        <v>75</v>
      </c>
      <c r="E2296" s="3" t="s">
        <v>154</v>
      </c>
      <c r="F2296" s="3"/>
    </row>
    <row r="2297" spans="1:6" x14ac:dyDescent="0.3">
      <c r="A2297" s="7" t="str">
        <f>BD_ControlRegimen[[#This Row],[FECHA]]&amp;BD_ControlRegimen[[#This Row],[NOMBRE]]</f>
        <v>45021RAMIREZ ROMERO PAUL</v>
      </c>
      <c r="B2297" s="83">
        <f>WEEKNUM(BD_ControlRegimen[[#This Row],[FECHA]],2)</f>
        <v>15</v>
      </c>
      <c r="C2297" s="7">
        <v>45021</v>
      </c>
      <c r="D2297" s="3" t="s">
        <v>75</v>
      </c>
      <c r="E2297" s="3" t="s">
        <v>154</v>
      </c>
      <c r="F2297" s="3"/>
    </row>
    <row r="2298" spans="1:6" x14ac:dyDescent="0.3">
      <c r="A2298" s="7" t="str">
        <f>BD_ControlRegimen[[#This Row],[FECHA]]&amp;BD_ControlRegimen[[#This Row],[NOMBRE]]</f>
        <v>45022RAMIREZ ROMERO PAUL</v>
      </c>
      <c r="B2298" s="83">
        <f>WEEKNUM(BD_ControlRegimen[[#This Row],[FECHA]],2)</f>
        <v>15</v>
      </c>
      <c r="C2298" s="7">
        <v>45022</v>
      </c>
      <c r="D2298" s="3" t="s">
        <v>75</v>
      </c>
      <c r="E2298" s="3" t="s">
        <v>154</v>
      </c>
      <c r="F2298" s="3"/>
    </row>
    <row r="2299" spans="1:6" x14ac:dyDescent="0.3">
      <c r="A2299" s="7" t="str">
        <f>BD_ControlRegimen[[#This Row],[FECHA]]&amp;BD_ControlRegimen[[#This Row],[NOMBRE]]</f>
        <v>45023RAMIREZ ROMERO PAUL</v>
      </c>
      <c r="B2299" s="83">
        <f>WEEKNUM(BD_ControlRegimen[[#This Row],[FECHA]],2)</f>
        <v>15</v>
      </c>
      <c r="C2299" s="7">
        <v>45023</v>
      </c>
      <c r="D2299" s="3" t="s">
        <v>75</v>
      </c>
      <c r="E2299" s="3" t="s">
        <v>154</v>
      </c>
      <c r="F2299" s="3"/>
    </row>
    <row r="2300" spans="1:6" x14ac:dyDescent="0.3">
      <c r="A2300" s="7" t="str">
        <f>BD_ControlRegimen[[#This Row],[FECHA]]&amp;BD_ControlRegimen[[#This Row],[NOMBRE]]</f>
        <v>45024RAMIREZ ROMERO PAUL</v>
      </c>
      <c r="B2300" s="83">
        <f>WEEKNUM(BD_ControlRegimen[[#This Row],[FECHA]],2)</f>
        <v>15</v>
      </c>
      <c r="C2300" s="7">
        <v>45024</v>
      </c>
      <c r="D2300" s="3" t="s">
        <v>75</v>
      </c>
      <c r="E2300" s="3" t="s">
        <v>154</v>
      </c>
      <c r="F2300" s="3"/>
    </row>
    <row r="2301" spans="1:6" x14ac:dyDescent="0.3">
      <c r="A2301" s="7" t="str">
        <f>BD_ControlRegimen[[#This Row],[FECHA]]&amp;BD_ControlRegimen[[#This Row],[NOMBRE]]</f>
        <v>45025RAMIREZ ROMERO PAUL</v>
      </c>
      <c r="B2301" s="83">
        <f>WEEKNUM(BD_ControlRegimen[[#This Row],[FECHA]],2)</f>
        <v>15</v>
      </c>
      <c r="C2301" s="7">
        <v>45025</v>
      </c>
      <c r="D2301" s="3" t="s">
        <v>75</v>
      </c>
      <c r="E2301" s="3" t="s">
        <v>154</v>
      </c>
      <c r="F2301" s="3"/>
    </row>
    <row r="2302" spans="1:6" x14ac:dyDescent="0.3">
      <c r="A2302" s="7" t="str">
        <f>BD_ControlRegimen[[#This Row],[FECHA]]&amp;BD_ControlRegimen[[#This Row],[NOMBRE]]</f>
        <v>45026RAMIREZ ROMERO PAUL</v>
      </c>
      <c r="B2302" s="83">
        <f>WEEKNUM(BD_ControlRegimen[[#This Row],[FECHA]],2)</f>
        <v>16</v>
      </c>
      <c r="C2302" s="7">
        <v>45026</v>
      </c>
      <c r="D2302" s="3" t="s">
        <v>75</v>
      </c>
      <c r="E2302" s="3" t="s">
        <v>155</v>
      </c>
      <c r="F2302" s="3"/>
    </row>
    <row r="2303" spans="1:6" x14ac:dyDescent="0.3">
      <c r="A2303" s="7" t="str">
        <f>BD_ControlRegimen[[#This Row],[FECHA]]&amp;BD_ControlRegimen[[#This Row],[NOMBRE]]</f>
        <v>45027RAMIREZ ROMERO PAUL</v>
      </c>
      <c r="B2303" s="83">
        <f>WEEKNUM(BD_ControlRegimen[[#This Row],[FECHA]],2)</f>
        <v>16</v>
      </c>
      <c r="C2303" s="7">
        <v>45027</v>
      </c>
      <c r="D2303" s="3" t="s">
        <v>75</v>
      </c>
      <c r="E2303" s="3" t="s">
        <v>155</v>
      </c>
      <c r="F2303" s="3"/>
    </row>
    <row r="2304" spans="1:6" x14ac:dyDescent="0.3">
      <c r="A2304" s="7" t="str">
        <f>BD_ControlRegimen[[#This Row],[FECHA]]&amp;BD_ControlRegimen[[#This Row],[NOMBRE]]</f>
        <v>45028RAMIREZ ROMERO PAUL</v>
      </c>
      <c r="B2304" s="83">
        <f>WEEKNUM(BD_ControlRegimen[[#This Row],[FECHA]],2)</f>
        <v>16</v>
      </c>
      <c r="C2304" s="7">
        <v>45028</v>
      </c>
      <c r="D2304" s="3" t="s">
        <v>75</v>
      </c>
      <c r="E2304" s="3" t="s">
        <v>155</v>
      </c>
      <c r="F2304" s="3"/>
    </row>
    <row r="2305" spans="1:6" x14ac:dyDescent="0.3">
      <c r="A2305" s="7" t="str">
        <f>BD_ControlRegimen[[#This Row],[FECHA]]&amp;BD_ControlRegimen[[#This Row],[NOMBRE]]</f>
        <v>45029RAMIREZ ROMERO PAUL</v>
      </c>
      <c r="B2305" s="83">
        <f>WEEKNUM(BD_ControlRegimen[[#This Row],[FECHA]],2)</f>
        <v>16</v>
      </c>
      <c r="C2305" s="7">
        <v>45029</v>
      </c>
      <c r="D2305" s="3" t="s">
        <v>75</v>
      </c>
      <c r="E2305" s="3" t="s">
        <v>155</v>
      </c>
      <c r="F2305" s="3"/>
    </row>
    <row r="2306" spans="1:6" x14ac:dyDescent="0.3">
      <c r="A2306" s="7" t="str">
        <f>BD_ControlRegimen[[#This Row],[FECHA]]&amp;BD_ControlRegimen[[#This Row],[NOMBRE]]</f>
        <v>45030RAMIREZ ROMERO PAUL</v>
      </c>
      <c r="B2306" s="83">
        <f>WEEKNUM(BD_ControlRegimen[[#This Row],[FECHA]],2)</f>
        <v>16</v>
      </c>
      <c r="C2306" s="7">
        <v>45030</v>
      </c>
      <c r="D2306" s="3" t="s">
        <v>75</v>
      </c>
      <c r="E2306" s="3" t="s">
        <v>155</v>
      </c>
      <c r="F2306" s="3"/>
    </row>
    <row r="2307" spans="1:6" x14ac:dyDescent="0.3">
      <c r="A2307" s="7" t="str">
        <f>BD_ControlRegimen[[#This Row],[FECHA]]&amp;BD_ControlRegimen[[#This Row],[NOMBRE]]</f>
        <v>45031RAMIREZ ROMERO PAUL</v>
      </c>
      <c r="B2307" s="83">
        <f>WEEKNUM(BD_ControlRegimen[[#This Row],[FECHA]],2)</f>
        <v>16</v>
      </c>
      <c r="C2307" s="7">
        <v>45031</v>
      </c>
      <c r="D2307" s="3" t="s">
        <v>75</v>
      </c>
      <c r="E2307" s="3" t="s">
        <v>155</v>
      </c>
      <c r="F2307" s="3"/>
    </row>
    <row r="2308" spans="1:6" x14ac:dyDescent="0.3">
      <c r="A2308" s="7" t="str">
        <f>BD_ControlRegimen[[#This Row],[FECHA]]&amp;BD_ControlRegimen[[#This Row],[NOMBRE]]</f>
        <v>45032RAMIREZ ROMERO PAUL</v>
      </c>
      <c r="B2308" s="83">
        <f>WEEKNUM(BD_ControlRegimen[[#This Row],[FECHA]],2)</f>
        <v>16</v>
      </c>
      <c r="C2308" s="7">
        <v>45032</v>
      </c>
      <c r="D2308" s="3" t="s">
        <v>75</v>
      </c>
      <c r="E2308" s="3" t="s">
        <v>155</v>
      </c>
      <c r="F2308" s="3"/>
    </row>
    <row r="2309" spans="1:6" x14ac:dyDescent="0.3">
      <c r="A2309" s="7" t="str">
        <f>BD_ControlRegimen[[#This Row],[FECHA]]&amp;BD_ControlRegimen[[#This Row],[NOMBRE]]</f>
        <v>45033RAMIREZ ROMERO PAUL</v>
      </c>
      <c r="B2309" s="83">
        <f>WEEKNUM(BD_ControlRegimen[[#This Row],[FECHA]],2)</f>
        <v>17</v>
      </c>
      <c r="C2309" s="7">
        <v>45033</v>
      </c>
      <c r="D2309" s="3" t="s">
        <v>75</v>
      </c>
      <c r="E2309" s="3" t="s">
        <v>154</v>
      </c>
      <c r="F2309" s="3"/>
    </row>
    <row r="2310" spans="1:6" x14ac:dyDescent="0.3">
      <c r="A2310" s="7" t="str">
        <f>BD_ControlRegimen[[#This Row],[FECHA]]&amp;BD_ControlRegimen[[#This Row],[NOMBRE]]</f>
        <v>45034RAMIREZ ROMERO PAUL</v>
      </c>
      <c r="B2310" s="83">
        <f>WEEKNUM(BD_ControlRegimen[[#This Row],[FECHA]],2)</f>
        <v>17</v>
      </c>
      <c r="C2310" s="7">
        <v>45034</v>
      </c>
      <c r="D2310" s="3" t="s">
        <v>75</v>
      </c>
      <c r="E2310" s="3" t="s">
        <v>154</v>
      </c>
      <c r="F2310" s="3"/>
    </row>
    <row r="2311" spans="1:6" x14ac:dyDescent="0.3">
      <c r="A2311" s="7" t="str">
        <f>BD_ControlRegimen[[#This Row],[FECHA]]&amp;BD_ControlRegimen[[#This Row],[NOMBRE]]</f>
        <v>45035RAMIREZ ROMERO PAUL</v>
      </c>
      <c r="B2311" s="83">
        <f>WEEKNUM(BD_ControlRegimen[[#This Row],[FECHA]],2)</f>
        <v>17</v>
      </c>
      <c r="C2311" s="7">
        <v>45035</v>
      </c>
      <c r="D2311" s="3" t="s">
        <v>75</v>
      </c>
      <c r="E2311" s="3" t="s">
        <v>154</v>
      </c>
      <c r="F2311" s="3"/>
    </row>
    <row r="2312" spans="1:6" x14ac:dyDescent="0.3">
      <c r="A2312" s="7" t="str">
        <f>BD_ControlRegimen[[#This Row],[FECHA]]&amp;BD_ControlRegimen[[#This Row],[NOMBRE]]</f>
        <v>45036RAMIREZ ROMERO PAUL</v>
      </c>
      <c r="B2312" s="83">
        <f>WEEKNUM(BD_ControlRegimen[[#This Row],[FECHA]],2)</f>
        <v>17</v>
      </c>
      <c r="C2312" s="7">
        <v>45036</v>
      </c>
      <c r="D2312" s="3" t="s">
        <v>75</v>
      </c>
      <c r="E2312" s="3" t="s">
        <v>154</v>
      </c>
      <c r="F2312" s="3"/>
    </row>
    <row r="2313" spans="1:6" x14ac:dyDescent="0.3">
      <c r="A2313" s="7" t="str">
        <f>BD_ControlRegimen[[#This Row],[FECHA]]&amp;BD_ControlRegimen[[#This Row],[NOMBRE]]</f>
        <v>45037RAMIREZ ROMERO PAUL</v>
      </c>
      <c r="B2313" s="83">
        <f>WEEKNUM(BD_ControlRegimen[[#This Row],[FECHA]],2)</f>
        <v>17</v>
      </c>
      <c r="C2313" s="7">
        <v>45037</v>
      </c>
      <c r="D2313" s="3" t="s">
        <v>75</v>
      </c>
      <c r="E2313" s="3" t="s">
        <v>154</v>
      </c>
      <c r="F2313" s="3"/>
    </row>
    <row r="2314" spans="1:6" x14ac:dyDescent="0.3">
      <c r="A2314" s="7" t="str">
        <f>BD_ControlRegimen[[#This Row],[FECHA]]&amp;BD_ControlRegimen[[#This Row],[NOMBRE]]</f>
        <v>45038RAMIREZ ROMERO PAUL</v>
      </c>
      <c r="B2314" s="83">
        <f>WEEKNUM(BD_ControlRegimen[[#This Row],[FECHA]],2)</f>
        <v>17</v>
      </c>
      <c r="C2314" s="7">
        <v>45038</v>
      </c>
      <c r="D2314" s="3" t="s">
        <v>75</v>
      </c>
      <c r="E2314" s="3" t="s">
        <v>154</v>
      </c>
      <c r="F2314" s="3"/>
    </row>
    <row r="2315" spans="1:6" x14ac:dyDescent="0.3">
      <c r="A2315" s="7" t="str">
        <f>BD_ControlRegimen[[#This Row],[FECHA]]&amp;BD_ControlRegimen[[#This Row],[NOMBRE]]</f>
        <v>45039RAMIREZ ROMERO PAUL</v>
      </c>
      <c r="B2315" s="83">
        <f>WEEKNUM(BD_ControlRegimen[[#This Row],[FECHA]],2)</f>
        <v>17</v>
      </c>
      <c r="C2315" s="7">
        <v>45039</v>
      </c>
      <c r="D2315" s="3" t="s">
        <v>75</v>
      </c>
      <c r="E2315" s="3" t="s">
        <v>154</v>
      </c>
      <c r="F2315" s="3"/>
    </row>
    <row r="2316" spans="1:6" x14ac:dyDescent="0.3">
      <c r="A2316" s="7" t="str">
        <f>BD_ControlRegimen[[#This Row],[FECHA]]&amp;BD_ControlRegimen[[#This Row],[NOMBRE]]</f>
        <v>45040RAMIREZ ROMERO PAUL</v>
      </c>
      <c r="B2316" s="83">
        <f>WEEKNUM(BD_ControlRegimen[[#This Row],[FECHA]],2)</f>
        <v>18</v>
      </c>
      <c r="C2316" s="7">
        <v>45040</v>
      </c>
      <c r="D2316" s="3" t="s">
        <v>75</v>
      </c>
      <c r="E2316" s="3" t="s">
        <v>154</v>
      </c>
      <c r="F2316" s="3"/>
    </row>
    <row r="2317" spans="1:6" x14ac:dyDescent="0.3">
      <c r="A2317" s="7" t="str">
        <f>BD_ControlRegimen[[#This Row],[FECHA]]&amp;BD_ControlRegimen[[#This Row],[NOMBRE]]</f>
        <v>45041RAMIREZ ROMERO PAUL</v>
      </c>
      <c r="B2317" s="83">
        <f>WEEKNUM(BD_ControlRegimen[[#This Row],[FECHA]],2)</f>
        <v>18</v>
      </c>
      <c r="C2317" s="7">
        <v>45041</v>
      </c>
      <c r="D2317" s="3" t="s">
        <v>75</v>
      </c>
      <c r="E2317" s="3" t="s">
        <v>154</v>
      </c>
      <c r="F2317" s="3"/>
    </row>
    <row r="2318" spans="1:6" x14ac:dyDescent="0.3">
      <c r="A2318" s="7" t="str">
        <f>BD_ControlRegimen[[#This Row],[FECHA]]&amp;BD_ControlRegimen[[#This Row],[NOMBRE]]</f>
        <v>45042RAMIREZ ROMERO PAUL</v>
      </c>
      <c r="B2318" s="83">
        <f>WEEKNUM(BD_ControlRegimen[[#This Row],[FECHA]],2)</f>
        <v>18</v>
      </c>
      <c r="C2318" s="7">
        <v>45042</v>
      </c>
      <c r="D2318" s="3" t="s">
        <v>75</v>
      </c>
      <c r="E2318" s="3" t="s">
        <v>154</v>
      </c>
      <c r="F2318" s="3"/>
    </row>
    <row r="2319" spans="1:6" x14ac:dyDescent="0.3">
      <c r="A2319" s="7" t="str">
        <f>BD_ControlRegimen[[#This Row],[FECHA]]&amp;BD_ControlRegimen[[#This Row],[NOMBRE]]</f>
        <v>45043RAMIREZ ROMERO PAUL</v>
      </c>
      <c r="B2319" s="83">
        <f>WEEKNUM(BD_ControlRegimen[[#This Row],[FECHA]],2)</f>
        <v>18</v>
      </c>
      <c r="C2319" s="7">
        <v>45043</v>
      </c>
      <c r="D2319" s="3" t="s">
        <v>75</v>
      </c>
      <c r="E2319" s="3" t="s">
        <v>154</v>
      </c>
      <c r="F2319" s="3"/>
    </row>
    <row r="2320" spans="1:6" x14ac:dyDescent="0.3">
      <c r="A2320" s="7" t="str">
        <f>BD_ControlRegimen[[#This Row],[FECHA]]&amp;BD_ControlRegimen[[#This Row],[NOMBRE]]</f>
        <v>45044RAMIREZ ROMERO PAUL</v>
      </c>
      <c r="B2320" s="83">
        <f>WEEKNUM(BD_ControlRegimen[[#This Row],[FECHA]],2)</f>
        <v>18</v>
      </c>
      <c r="C2320" s="7">
        <v>45044</v>
      </c>
      <c r="D2320" s="3" t="s">
        <v>75</v>
      </c>
      <c r="E2320" s="3" t="s">
        <v>154</v>
      </c>
      <c r="F2320" s="3"/>
    </row>
    <row r="2321" spans="1:6" x14ac:dyDescent="0.3">
      <c r="A2321" s="7" t="str">
        <f>BD_ControlRegimen[[#This Row],[FECHA]]&amp;BD_ControlRegimen[[#This Row],[NOMBRE]]</f>
        <v>45045RAMIREZ ROMERO PAUL</v>
      </c>
      <c r="B2321" s="83">
        <f>WEEKNUM(BD_ControlRegimen[[#This Row],[FECHA]],2)</f>
        <v>18</v>
      </c>
      <c r="C2321" s="7">
        <v>45045</v>
      </c>
      <c r="D2321" s="3" t="s">
        <v>75</v>
      </c>
      <c r="E2321" s="3" t="s">
        <v>154</v>
      </c>
      <c r="F2321" s="3"/>
    </row>
    <row r="2322" spans="1:6" x14ac:dyDescent="0.3">
      <c r="A2322" s="7" t="str">
        <f>BD_ControlRegimen[[#This Row],[FECHA]]&amp;BD_ControlRegimen[[#This Row],[NOMBRE]]</f>
        <v>45046RAMIREZ ROMERO PAUL</v>
      </c>
      <c r="B2322" s="83">
        <f>WEEKNUM(BD_ControlRegimen[[#This Row],[FECHA]],2)</f>
        <v>18</v>
      </c>
      <c r="C2322" s="7">
        <v>45046</v>
      </c>
      <c r="D2322" s="3" t="s">
        <v>75</v>
      </c>
      <c r="E2322" s="3" t="s">
        <v>154</v>
      </c>
      <c r="F2322" s="3"/>
    </row>
    <row r="2323" spans="1:6" x14ac:dyDescent="0.3">
      <c r="A2323" s="7" t="str">
        <f>BD_ControlRegimen[[#This Row],[FECHA]]&amp;BD_ControlRegimen[[#This Row],[NOMBRE]]</f>
        <v>45047RAMIREZ ROMERO PAUL</v>
      </c>
      <c r="B2323" s="83">
        <f>WEEKNUM(BD_ControlRegimen[[#This Row],[FECHA]],2)</f>
        <v>19</v>
      </c>
      <c r="C2323" s="7">
        <v>45047</v>
      </c>
      <c r="D2323" s="3" t="s">
        <v>75</v>
      </c>
      <c r="E2323" s="3" t="s">
        <v>155</v>
      </c>
      <c r="F2323" s="3"/>
    </row>
    <row r="2324" spans="1:6" x14ac:dyDescent="0.3">
      <c r="A2324" s="7" t="str">
        <f>BD_ControlRegimen[[#This Row],[FECHA]]&amp;BD_ControlRegimen[[#This Row],[NOMBRE]]</f>
        <v>45048RAMIREZ ROMERO PAUL</v>
      </c>
      <c r="B2324" s="83">
        <f>WEEKNUM(BD_ControlRegimen[[#This Row],[FECHA]],2)</f>
        <v>19</v>
      </c>
      <c r="C2324" s="7">
        <v>45048</v>
      </c>
      <c r="D2324" s="3" t="s">
        <v>75</v>
      </c>
      <c r="E2324" s="3" t="s">
        <v>155</v>
      </c>
      <c r="F2324" s="3"/>
    </row>
    <row r="2325" spans="1:6" x14ac:dyDescent="0.3">
      <c r="A2325" s="7" t="str">
        <f>BD_ControlRegimen[[#This Row],[FECHA]]&amp;BD_ControlRegimen[[#This Row],[NOMBRE]]</f>
        <v>45049RAMIREZ ROMERO PAUL</v>
      </c>
      <c r="B2325" s="83">
        <f>WEEKNUM(BD_ControlRegimen[[#This Row],[FECHA]],2)</f>
        <v>19</v>
      </c>
      <c r="C2325" s="7">
        <v>45049</v>
      </c>
      <c r="D2325" s="3" t="s">
        <v>75</v>
      </c>
      <c r="E2325" s="3" t="s">
        <v>155</v>
      </c>
      <c r="F2325" s="3"/>
    </row>
    <row r="2326" spans="1:6" x14ac:dyDescent="0.3">
      <c r="A2326" s="7" t="str">
        <f>BD_ControlRegimen[[#This Row],[FECHA]]&amp;BD_ControlRegimen[[#This Row],[NOMBRE]]</f>
        <v>45050RAMIREZ ROMERO PAUL</v>
      </c>
      <c r="B2326" s="83">
        <f>WEEKNUM(BD_ControlRegimen[[#This Row],[FECHA]],2)</f>
        <v>19</v>
      </c>
      <c r="C2326" s="7">
        <v>45050</v>
      </c>
      <c r="D2326" s="3" t="s">
        <v>75</v>
      </c>
      <c r="E2326" s="3" t="s">
        <v>155</v>
      </c>
      <c r="F2326" s="3"/>
    </row>
    <row r="2327" spans="1:6" x14ac:dyDescent="0.3">
      <c r="A2327" s="7" t="str">
        <f>BD_ControlRegimen[[#This Row],[FECHA]]&amp;BD_ControlRegimen[[#This Row],[NOMBRE]]</f>
        <v>45051RAMIREZ ROMERO PAUL</v>
      </c>
      <c r="B2327" s="83">
        <f>WEEKNUM(BD_ControlRegimen[[#This Row],[FECHA]],2)</f>
        <v>19</v>
      </c>
      <c r="C2327" s="7">
        <v>45051</v>
      </c>
      <c r="D2327" s="3" t="s">
        <v>75</v>
      </c>
      <c r="E2327" s="3" t="s">
        <v>155</v>
      </c>
      <c r="F2327" s="3"/>
    </row>
    <row r="2328" spans="1:6" x14ac:dyDescent="0.3">
      <c r="A2328" s="7" t="str">
        <f>BD_ControlRegimen[[#This Row],[FECHA]]&amp;BD_ControlRegimen[[#This Row],[NOMBRE]]</f>
        <v>45052RAMIREZ ROMERO PAUL</v>
      </c>
      <c r="B2328" s="83">
        <f>WEEKNUM(BD_ControlRegimen[[#This Row],[FECHA]],2)</f>
        <v>19</v>
      </c>
      <c r="C2328" s="7">
        <v>45052</v>
      </c>
      <c r="D2328" s="3" t="s">
        <v>75</v>
      </c>
      <c r="E2328" s="3" t="s">
        <v>155</v>
      </c>
      <c r="F2328" s="3"/>
    </row>
    <row r="2329" spans="1:6" x14ac:dyDescent="0.3">
      <c r="A2329" s="7" t="str">
        <f>BD_ControlRegimen[[#This Row],[FECHA]]&amp;BD_ControlRegimen[[#This Row],[NOMBRE]]</f>
        <v>45053RAMIREZ ROMERO PAUL</v>
      </c>
      <c r="B2329" s="83">
        <f>WEEKNUM(BD_ControlRegimen[[#This Row],[FECHA]],2)</f>
        <v>19</v>
      </c>
      <c r="C2329" s="7">
        <v>45053</v>
      </c>
      <c r="D2329" s="3" t="s">
        <v>75</v>
      </c>
      <c r="E2329" s="3" t="s">
        <v>155</v>
      </c>
      <c r="F2329" s="3"/>
    </row>
    <row r="2330" spans="1:6" hidden="1" x14ac:dyDescent="0.3">
      <c r="A2330" s="7" t="str">
        <f>BD_ControlRegimen[[#This Row],[FECHA]]&amp;BD_ControlRegimen[[#This Row],[NOMBRE]]</f>
        <v>45054RAMIREZ ROMERO PAUL</v>
      </c>
      <c r="B2330" s="83">
        <f>WEEKNUM(BD_ControlRegimen[[#This Row],[FECHA]],2)</f>
        <v>20</v>
      </c>
      <c r="C2330" s="7">
        <v>45054</v>
      </c>
      <c r="D2330" s="3" t="s">
        <v>75</v>
      </c>
      <c r="E2330" s="3"/>
      <c r="F2330" s="3"/>
    </row>
    <row r="2331" spans="1:6" hidden="1" x14ac:dyDescent="0.3">
      <c r="A2331" s="7" t="str">
        <f>BD_ControlRegimen[[#This Row],[FECHA]]&amp;BD_ControlRegimen[[#This Row],[NOMBRE]]</f>
        <v>45055RAMIREZ ROMERO PAUL</v>
      </c>
      <c r="B2331" s="83">
        <f>WEEKNUM(BD_ControlRegimen[[#This Row],[FECHA]],2)</f>
        <v>20</v>
      </c>
      <c r="C2331" s="7">
        <v>45055</v>
      </c>
      <c r="D2331" s="3" t="s">
        <v>75</v>
      </c>
      <c r="E2331" s="3"/>
      <c r="F2331" s="3"/>
    </row>
    <row r="2332" spans="1:6" hidden="1" x14ac:dyDescent="0.3">
      <c r="A2332" s="7" t="str">
        <f>BD_ControlRegimen[[#This Row],[FECHA]]&amp;BD_ControlRegimen[[#This Row],[NOMBRE]]</f>
        <v>45056RAMIREZ ROMERO PAUL</v>
      </c>
      <c r="B2332" s="83">
        <f>WEEKNUM(BD_ControlRegimen[[#This Row],[FECHA]],2)</f>
        <v>20</v>
      </c>
      <c r="C2332" s="7">
        <v>45056</v>
      </c>
      <c r="D2332" s="3" t="s">
        <v>75</v>
      </c>
      <c r="E2332" s="3"/>
      <c r="F2332" s="3"/>
    </row>
    <row r="2333" spans="1:6" hidden="1" x14ac:dyDescent="0.3">
      <c r="A2333" s="7" t="str">
        <f>BD_ControlRegimen[[#This Row],[FECHA]]&amp;BD_ControlRegimen[[#This Row],[NOMBRE]]</f>
        <v>45057RAMIREZ ROMERO PAUL</v>
      </c>
      <c r="B2333" s="83">
        <f>WEEKNUM(BD_ControlRegimen[[#This Row],[FECHA]],2)</f>
        <v>20</v>
      </c>
      <c r="C2333" s="7">
        <v>45057</v>
      </c>
      <c r="D2333" s="3" t="s">
        <v>75</v>
      </c>
      <c r="E2333" s="3"/>
      <c r="F2333" s="3"/>
    </row>
    <row r="2334" spans="1:6" hidden="1" x14ac:dyDescent="0.3">
      <c r="A2334" s="7" t="str">
        <f>BD_ControlRegimen[[#This Row],[FECHA]]&amp;BD_ControlRegimen[[#This Row],[NOMBRE]]</f>
        <v>45058RAMIREZ ROMERO PAUL</v>
      </c>
      <c r="B2334" s="83">
        <f>WEEKNUM(BD_ControlRegimen[[#This Row],[FECHA]],2)</f>
        <v>20</v>
      </c>
      <c r="C2334" s="7">
        <v>45058</v>
      </c>
      <c r="D2334" s="3" t="s">
        <v>75</v>
      </c>
      <c r="E2334" s="3"/>
      <c r="F2334" s="3"/>
    </row>
    <row r="2335" spans="1:6" hidden="1" x14ac:dyDescent="0.3">
      <c r="A2335" s="7" t="str">
        <f>BD_ControlRegimen[[#This Row],[FECHA]]&amp;BD_ControlRegimen[[#This Row],[NOMBRE]]</f>
        <v>45059RAMIREZ ROMERO PAUL</v>
      </c>
      <c r="B2335" s="83">
        <f>WEEKNUM(BD_ControlRegimen[[#This Row],[FECHA]],2)</f>
        <v>20</v>
      </c>
      <c r="C2335" s="7">
        <v>45059</v>
      </c>
      <c r="D2335" s="3" t="s">
        <v>75</v>
      </c>
      <c r="E2335" s="3"/>
      <c r="F2335" s="3"/>
    </row>
    <row r="2336" spans="1:6" hidden="1" x14ac:dyDescent="0.3">
      <c r="A2336" s="7" t="str">
        <f>BD_ControlRegimen[[#This Row],[FECHA]]&amp;BD_ControlRegimen[[#This Row],[NOMBRE]]</f>
        <v>45060RAMIREZ ROMERO PAUL</v>
      </c>
      <c r="B2336" s="83">
        <f>WEEKNUM(BD_ControlRegimen[[#This Row],[FECHA]],2)</f>
        <v>20</v>
      </c>
      <c r="C2336" s="7">
        <v>45060</v>
      </c>
      <c r="D2336" s="3" t="s">
        <v>75</v>
      </c>
      <c r="E2336" s="3"/>
      <c r="F2336" s="3"/>
    </row>
    <row r="2337" spans="1:6" hidden="1" x14ac:dyDescent="0.3">
      <c r="A2337" s="7" t="str">
        <f>BD_ControlRegimen[[#This Row],[FECHA]]&amp;BD_ControlRegimen[[#This Row],[NOMBRE]]</f>
        <v>45061RAMIREZ ROMERO PAUL</v>
      </c>
      <c r="B2337" s="83">
        <f>WEEKNUM(BD_ControlRegimen[[#This Row],[FECHA]],2)</f>
        <v>21</v>
      </c>
      <c r="C2337" s="7">
        <v>45061</v>
      </c>
      <c r="D2337" s="3" t="s">
        <v>75</v>
      </c>
      <c r="E2337" s="3"/>
      <c r="F2337" s="3"/>
    </row>
    <row r="2338" spans="1:6" hidden="1" x14ac:dyDescent="0.3">
      <c r="A2338" s="7" t="str">
        <f>BD_ControlRegimen[[#This Row],[FECHA]]&amp;BD_ControlRegimen[[#This Row],[NOMBRE]]</f>
        <v>45062RAMIREZ ROMERO PAUL</v>
      </c>
      <c r="B2338" s="83">
        <f>WEEKNUM(BD_ControlRegimen[[#This Row],[FECHA]],2)</f>
        <v>21</v>
      </c>
      <c r="C2338" s="7">
        <v>45062</v>
      </c>
      <c r="D2338" s="3" t="s">
        <v>75</v>
      </c>
      <c r="E2338" s="3"/>
      <c r="F2338" s="3"/>
    </row>
    <row r="2339" spans="1:6" hidden="1" x14ac:dyDescent="0.3">
      <c r="A2339" s="7" t="str">
        <f>BD_ControlRegimen[[#This Row],[FECHA]]&amp;BD_ControlRegimen[[#This Row],[NOMBRE]]</f>
        <v>45063RAMIREZ ROMERO PAUL</v>
      </c>
      <c r="B2339" s="83">
        <f>WEEKNUM(BD_ControlRegimen[[#This Row],[FECHA]],2)</f>
        <v>21</v>
      </c>
      <c r="C2339" s="7">
        <v>45063</v>
      </c>
      <c r="D2339" s="3" t="s">
        <v>75</v>
      </c>
      <c r="E2339" s="3"/>
      <c r="F2339" s="3"/>
    </row>
    <row r="2340" spans="1:6" hidden="1" x14ac:dyDescent="0.3">
      <c r="A2340" s="7" t="str">
        <f>BD_ControlRegimen[[#This Row],[FECHA]]&amp;BD_ControlRegimen[[#This Row],[NOMBRE]]</f>
        <v>45064RAMIREZ ROMERO PAUL</v>
      </c>
      <c r="B2340" s="83">
        <f>WEEKNUM(BD_ControlRegimen[[#This Row],[FECHA]],2)</f>
        <v>21</v>
      </c>
      <c r="C2340" s="7">
        <v>45064</v>
      </c>
      <c r="D2340" s="3" t="s">
        <v>75</v>
      </c>
      <c r="E2340" s="3"/>
      <c r="F2340" s="3"/>
    </row>
    <row r="2341" spans="1:6" hidden="1" x14ac:dyDescent="0.3">
      <c r="A2341" s="7" t="str">
        <f>BD_ControlRegimen[[#This Row],[FECHA]]&amp;BD_ControlRegimen[[#This Row],[NOMBRE]]</f>
        <v>45065RAMIREZ ROMERO PAUL</v>
      </c>
      <c r="B2341" s="83">
        <f>WEEKNUM(BD_ControlRegimen[[#This Row],[FECHA]],2)</f>
        <v>21</v>
      </c>
      <c r="C2341" s="7">
        <v>45065</v>
      </c>
      <c r="D2341" s="3" t="s">
        <v>75</v>
      </c>
      <c r="E2341" s="3"/>
      <c r="F2341" s="3"/>
    </row>
    <row r="2342" spans="1:6" hidden="1" x14ac:dyDescent="0.3">
      <c r="A2342" s="7" t="str">
        <f>BD_ControlRegimen[[#This Row],[FECHA]]&amp;BD_ControlRegimen[[#This Row],[NOMBRE]]</f>
        <v>45066RAMIREZ ROMERO PAUL</v>
      </c>
      <c r="B2342" s="83">
        <f>WEEKNUM(BD_ControlRegimen[[#This Row],[FECHA]],2)</f>
        <v>21</v>
      </c>
      <c r="C2342" s="7">
        <v>45066</v>
      </c>
      <c r="D2342" s="3" t="s">
        <v>75</v>
      </c>
      <c r="E2342" s="3"/>
      <c r="F2342" s="3"/>
    </row>
    <row r="2343" spans="1:6" hidden="1" x14ac:dyDescent="0.3">
      <c r="A2343" s="7" t="str">
        <f>BD_ControlRegimen[[#This Row],[FECHA]]&amp;BD_ControlRegimen[[#This Row],[NOMBRE]]</f>
        <v>45067RAMIREZ ROMERO PAUL</v>
      </c>
      <c r="B2343" s="83">
        <f>WEEKNUM(BD_ControlRegimen[[#This Row],[FECHA]],2)</f>
        <v>21</v>
      </c>
      <c r="C2343" s="7">
        <v>45067</v>
      </c>
      <c r="D2343" s="3" t="s">
        <v>75</v>
      </c>
      <c r="E2343" s="3"/>
      <c r="F2343" s="3"/>
    </row>
    <row r="2344" spans="1:6" hidden="1" x14ac:dyDescent="0.3">
      <c r="A2344" s="7" t="str">
        <f>BD_ControlRegimen[[#This Row],[FECHA]]&amp;BD_ControlRegimen[[#This Row],[NOMBRE]]</f>
        <v>45068RAMIREZ ROMERO PAUL</v>
      </c>
      <c r="B2344" s="83">
        <f>WEEKNUM(BD_ControlRegimen[[#This Row],[FECHA]],2)</f>
        <v>22</v>
      </c>
      <c r="C2344" s="7">
        <v>45068</v>
      </c>
      <c r="D2344" s="3" t="s">
        <v>75</v>
      </c>
      <c r="E2344" s="3"/>
      <c r="F2344" s="3"/>
    </row>
    <row r="2345" spans="1:6" hidden="1" x14ac:dyDescent="0.3">
      <c r="A2345" s="7" t="str">
        <f>BD_ControlRegimen[[#This Row],[FECHA]]&amp;BD_ControlRegimen[[#This Row],[NOMBRE]]</f>
        <v>45069RAMIREZ ROMERO PAUL</v>
      </c>
      <c r="B2345" s="83">
        <f>WEEKNUM(BD_ControlRegimen[[#This Row],[FECHA]],2)</f>
        <v>22</v>
      </c>
      <c r="C2345" s="7">
        <v>45069</v>
      </c>
      <c r="D2345" s="3" t="s">
        <v>75</v>
      </c>
      <c r="E2345" s="3"/>
      <c r="F2345" s="3"/>
    </row>
    <row r="2346" spans="1:6" hidden="1" x14ac:dyDescent="0.3">
      <c r="A2346" s="7" t="str">
        <f>BD_ControlRegimen[[#This Row],[FECHA]]&amp;BD_ControlRegimen[[#This Row],[NOMBRE]]</f>
        <v>45070RAMIREZ ROMERO PAUL</v>
      </c>
      <c r="B2346" s="83">
        <f>WEEKNUM(BD_ControlRegimen[[#This Row],[FECHA]],2)</f>
        <v>22</v>
      </c>
      <c r="C2346" s="7">
        <v>45070</v>
      </c>
      <c r="D2346" s="3" t="s">
        <v>75</v>
      </c>
      <c r="E2346" s="3"/>
      <c r="F2346" s="3"/>
    </row>
    <row r="2347" spans="1:6" hidden="1" x14ac:dyDescent="0.3">
      <c r="A2347" s="7" t="str">
        <f>BD_ControlRegimen[[#This Row],[FECHA]]&amp;BD_ControlRegimen[[#This Row],[NOMBRE]]</f>
        <v>45071RAMIREZ ROMERO PAUL</v>
      </c>
      <c r="B2347" s="83">
        <f>WEEKNUM(BD_ControlRegimen[[#This Row],[FECHA]],2)</f>
        <v>22</v>
      </c>
      <c r="C2347" s="7">
        <v>45071</v>
      </c>
      <c r="D2347" s="3" t="s">
        <v>75</v>
      </c>
      <c r="E2347" s="3"/>
      <c r="F2347" s="3"/>
    </row>
    <row r="2348" spans="1:6" hidden="1" x14ac:dyDescent="0.3">
      <c r="A2348" s="7" t="str">
        <f>BD_ControlRegimen[[#This Row],[FECHA]]&amp;BD_ControlRegimen[[#This Row],[NOMBRE]]</f>
        <v>45072RAMIREZ ROMERO PAUL</v>
      </c>
      <c r="B2348" s="83">
        <f>WEEKNUM(BD_ControlRegimen[[#This Row],[FECHA]],2)</f>
        <v>22</v>
      </c>
      <c r="C2348" s="7">
        <v>45072</v>
      </c>
      <c r="D2348" s="3" t="s">
        <v>75</v>
      </c>
      <c r="E2348" s="3"/>
      <c r="F2348" s="3"/>
    </row>
    <row r="2349" spans="1:6" hidden="1" x14ac:dyDescent="0.3">
      <c r="A2349" s="7" t="str">
        <f>BD_ControlRegimen[[#This Row],[FECHA]]&amp;BD_ControlRegimen[[#This Row],[NOMBRE]]</f>
        <v>45073RAMIREZ ROMERO PAUL</v>
      </c>
      <c r="B2349" s="83">
        <f>WEEKNUM(BD_ControlRegimen[[#This Row],[FECHA]],2)</f>
        <v>22</v>
      </c>
      <c r="C2349" s="7">
        <v>45073</v>
      </c>
      <c r="D2349" s="3" t="s">
        <v>75</v>
      </c>
      <c r="E2349" s="3"/>
      <c r="F2349" s="3"/>
    </row>
    <row r="2350" spans="1:6" hidden="1" x14ac:dyDescent="0.3">
      <c r="A2350" s="7" t="str">
        <f>BD_ControlRegimen[[#This Row],[FECHA]]&amp;BD_ControlRegimen[[#This Row],[NOMBRE]]</f>
        <v>45074RAMIREZ ROMERO PAUL</v>
      </c>
      <c r="B2350" s="83">
        <f>WEEKNUM(BD_ControlRegimen[[#This Row],[FECHA]],2)</f>
        <v>22</v>
      </c>
      <c r="C2350" s="7">
        <v>45074</v>
      </c>
      <c r="D2350" s="3" t="s">
        <v>75</v>
      </c>
      <c r="E2350" s="3"/>
      <c r="F2350" s="3"/>
    </row>
    <row r="2351" spans="1:6" hidden="1" x14ac:dyDescent="0.3">
      <c r="A2351" s="7" t="str">
        <f>BD_ControlRegimen[[#This Row],[FECHA]]&amp;BD_ControlRegimen[[#This Row],[NOMBRE]]</f>
        <v>45075RAMIREZ ROMERO PAUL</v>
      </c>
      <c r="B2351" s="83">
        <f>WEEKNUM(BD_ControlRegimen[[#This Row],[FECHA]],2)</f>
        <v>23</v>
      </c>
      <c r="C2351" s="7">
        <v>45075</v>
      </c>
      <c r="D2351" s="3" t="s">
        <v>75</v>
      </c>
      <c r="E2351" s="3"/>
      <c r="F2351" s="3"/>
    </row>
    <row r="2352" spans="1:6" hidden="1" x14ac:dyDescent="0.3">
      <c r="A2352" s="7" t="str">
        <f>BD_ControlRegimen[[#This Row],[FECHA]]&amp;BD_ControlRegimen[[#This Row],[NOMBRE]]</f>
        <v>45076RAMIREZ ROMERO PAUL</v>
      </c>
      <c r="B2352" s="83">
        <f>WEEKNUM(BD_ControlRegimen[[#This Row],[FECHA]],2)</f>
        <v>23</v>
      </c>
      <c r="C2352" s="7">
        <v>45076</v>
      </c>
      <c r="D2352" s="3" t="s">
        <v>75</v>
      </c>
      <c r="E2352" s="3"/>
      <c r="F2352" s="3"/>
    </row>
    <row r="2353" spans="1:6" hidden="1" x14ac:dyDescent="0.3">
      <c r="A2353" s="7" t="str">
        <f>BD_ControlRegimen[[#This Row],[FECHA]]&amp;BD_ControlRegimen[[#This Row],[NOMBRE]]</f>
        <v>45077RAMIREZ ROMERO PAUL</v>
      </c>
      <c r="B2353" s="83">
        <f>WEEKNUM(BD_ControlRegimen[[#This Row],[FECHA]],2)</f>
        <v>23</v>
      </c>
      <c r="C2353" s="7">
        <v>45077</v>
      </c>
      <c r="D2353" s="3" t="s">
        <v>75</v>
      </c>
      <c r="E2353" s="3"/>
      <c r="F2353" s="3"/>
    </row>
    <row r="2354" spans="1:6" hidden="1" x14ac:dyDescent="0.3">
      <c r="A2354" s="7" t="str">
        <f>BD_ControlRegimen[[#This Row],[FECHA]]&amp;BD_ControlRegimen[[#This Row],[NOMBRE]]</f>
        <v>45078RAMIREZ ROMERO PAUL</v>
      </c>
      <c r="B2354" s="83">
        <f>WEEKNUM(BD_ControlRegimen[[#This Row],[FECHA]],2)</f>
        <v>23</v>
      </c>
      <c r="C2354" s="7">
        <v>45078</v>
      </c>
      <c r="D2354" s="3" t="s">
        <v>75</v>
      </c>
      <c r="E2354" s="3"/>
      <c r="F2354" s="3"/>
    </row>
    <row r="2355" spans="1:6" hidden="1" x14ac:dyDescent="0.3">
      <c r="A2355" s="7" t="str">
        <f>BD_ControlRegimen[[#This Row],[FECHA]]&amp;BD_ControlRegimen[[#This Row],[NOMBRE]]</f>
        <v>45079RAMIREZ ROMERO PAUL</v>
      </c>
      <c r="B2355" s="83">
        <f>WEEKNUM(BD_ControlRegimen[[#This Row],[FECHA]],2)</f>
        <v>23</v>
      </c>
      <c r="C2355" s="7">
        <v>45079</v>
      </c>
      <c r="D2355" s="3" t="s">
        <v>75</v>
      </c>
      <c r="E2355" s="3"/>
      <c r="F2355" s="3"/>
    </row>
    <row r="2356" spans="1:6" hidden="1" x14ac:dyDescent="0.3">
      <c r="A2356" s="7" t="str">
        <f>BD_ControlRegimen[[#This Row],[FECHA]]&amp;BD_ControlRegimen[[#This Row],[NOMBRE]]</f>
        <v>45080RAMIREZ ROMERO PAUL</v>
      </c>
      <c r="B2356" s="83">
        <f>WEEKNUM(BD_ControlRegimen[[#This Row],[FECHA]],2)</f>
        <v>23</v>
      </c>
      <c r="C2356" s="7">
        <v>45080</v>
      </c>
      <c r="D2356" s="3" t="s">
        <v>75</v>
      </c>
      <c r="E2356" s="3"/>
      <c r="F2356" s="3"/>
    </row>
    <row r="2357" spans="1:6" hidden="1" x14ac:dyDescent="0.3">
      <c r="A2357" s="7" t="str">
        <f>BD_ControlRegimen[[#This Row],[FECHA]]&amp;BD_ControlRegimen[[#This Row],[NOMBRE]]</f>
        <v>45081RAMIREZ ROMERO PAUL</v>
      </c>
      <c r="B2357" s="83">
        <f>WEEKNUM(BD_ControlRegimen[[#This Row],[FECHA]],2)</f>
        <v>23</v>
      </c>
      <c r="C2357" s="7">
        <v>45081</v>
      </c>
      <c r="D2357" s="3" t="s">
        <v>75</v>
      </c>
      <c r="E2357" s="3"/>
      <c r="F2357" s="3"/>
    </row>
    <row r="2358" spans="1:6" hidden="1" x14ac:dyDescent="0.3">
      <c r="A2358" s="7" t="str">
        <f>BD_ControlRegimen[[#This Row],[FECHA]]&amp;BD_ControlRegimen[[#This Row],[NOMBRE]]</f>
        <v>45082RAMIREZ ROMERO PAUL</v>
      </c>
      <c r="B2358" s="83">
        <f>WEEKNUM(BD_ControlRegimen[[#This Row],[FECHA]],2)</f>
        <v>24</v>
      </c>
      <c r="C2358" s="7">
        <v>45082</v>
      </c>
      <c r="D2358" s="3" t="s">
        <v>75</v>
      </c>
      <c r="E2358" s="3"/>
      <c r="F2358" s="3"/>
    </row>
    <row r="2359" spans="1:6" hidden="1" x14ac:dyDescent="0.3">
      <c r="A2359" s="7" t="str">
        <f>BD_ControlRegimen[[#This Row],[FECHA]]&amp;BD_ControlRegimen[[#This Row],[NOMBRE]]</f>
        <v>45083RAMIREZ ROMERO PAUL</v>
      </c>
      <c r="B2359" s="83">
        <f>WEEKNUM(BD_ControlRegimen[[#This Row],[FECHA]],2)</f>
        <v>24</v>
      </c>
      <c r="C2359" s="7">
        <v>45083</v>
      </c>
      <c r="D2359" s="3" t="s">
        <v>75</v>
      </c>
      <c r="E2359" s="3"/>
      <c r="F2359" s="3"/>
    </row>
    <row r="2360" spans="1:6" hidden="1" x14ac:dyDescent="0.3">
      <c r="A2360" s="7" t="str">
        <f>BD_ControlRegimen[[#This Row],[FECHA]]&amp;BD_ControlRegimen[[#This Row],[NOMBRE]]</f>
        <v>45084RAMIREZ ROMERO PAUL</v>
      </c>
      <c r="B2360" s="83">
        <f>WEEKNUM(BD_ControlRegimen[[#This Row],[FECHA]],2)</f>
        <v>24</v>
      </c>
      <c r="C2360" s="7">
        <v>45084</v>
      </c>
      <c r="D2360" s="3" t="s">
        <v>75</v>
      </c>
      <c r="E2360" s="3"/>
      <c r="F2360" s="3"/>
    </row>
    <row r="2361" spans="1:6" hidden="1" x14ac:dyDescent="0.3">
      <c r="A2361" s="7" t="str">
        <f>BD_ControlRegimen[[#This Row],[FECHA]]&amp;BD_ControlRegimen[[#This Row],[NOMBRE]]</f>
        <v>45085RAMIREZ ROMERO PAUL</v>
      </c>
      <c r="B2361" s="83">
        <f>WEEKNUM(BD_ControlRegimen[[#This Row],[FECHA]],2)</f>
        <v>24</v>
      </c>
      <c r="C2361" s="7">
        <v>45085</v>
      </c>
      <c r="D2361" s="3" t="s">
        <v>75</v>
      </c>
      <c r="E2361" s="3"/>
      <c r="F2361" s="3"/>
    </row>
    <row r="2362" spans="1:6" hidden="1" x14ac:dyDescent="0.3">
      <c r="A2362" s="7" t="str">
        <f>BD_ControlRegimen[[#This Row],[FECHA]]&amp;BD_ControlRegimen[[#This Row],[NOMBRE]]</f>
        <v>45086RAMIREZ ROMERO PAUL</v>
      </c>
      <c r="B2362" s="83">
        <f>WEEKNUM(BD_ControlRegimen[[#This Row],[FECHA]],2)</f>
        <v>24</v>
      </c>
      <c r="C2362" s="7">
        <v>45086</v>
      </c>
      <c r="D2362" s="3" t="s">
        <v>75</v>
      </c>
      <c r="E2362" s="3"/>
      <c r="F2362" s="3"/>
    </row>
    <row r="2363" spans="1:6" hidden="1" x14ac:dyDescent="0.3">
      <c r="A2363" s="7" t="str">
        <f>BD_ControlRegimen[[#This Row],[FECHA]]&amp;BD_ControlRegimen[[#This Row],[NOMBRE]]</f>
        <v>45087RAMIREZ ROMERO PAUL</v>
      </c>
      <c r="B2363" s="83">
        <f>WEEKNUM(BD_ControlRegimen[[#This Row],[FECHA]],2)</f>
        <v>24</v>
      </c>
      <c r="C2363" s="7">
        <v>45087</v>
      </c>
      <c r="D2363" s="3" t="s">
        <v>75</v>
      </c>
      <c r="E2363" s="3"/>
      <c r="F2363" s="3"/>
    </row>
    <row r="2364" spans="1:6" hidden="1" x14ac:dyDescent="0.3">
      <c r="A2364" s="7" t="str">
        <f>BD_ControlRegimen[[#This Row],[FECHA]]&amp;BD_ControlRegimen[[#This Row],[NOMBRE]]</f>
        <v>45088RAMIREZ ROMERO PAUL</v>
      </c>
      <c r="B2364" s="83">
        <f>WEEKNUM(BD_ControlRegimen[[#This Row],[FECHA]],2)</f>
        <v>24</v>
      </c>
      <c r="C2364" s="7">
        <v>45088</v>
      </c>
      <c r="D2364" s="3" t="s">
        <v>75</v>
      </c>
      <c r="E2364" s="3"/>
      <c r="F2364" s="3"/>
    </row>
    <row r="2365" spans="1:6" hidden="1" x14ac:dyDescent="0.3">
      <c r="A2365" s="7" t="str">
        <f>BD_ControlRegimen[[#This Row],[FECHA]]&amp;BD_ControlRegimen[[#This Row],[NOMBRE]]</f>
        <v>45089RAMIREZ ROMERO PAUL</v>
      </c>
      <c r="B2365" s="83">
        <f>WEEKNUM(BD_ControlRegimen[[#This Row],[FECHA]],2)</f>
        <v>25</v>
      </c>
      <c r="C2365" s="7">
        <v>45089</v>
      </c>
      <c r="D2365" s="3" t="s">
        <v>75</v>
      </c>
      <c r="E2365" s="3"/>
      <c r="F2365" s="3"/>
    </row>
    <row r="2366" spans="1:6" hidden="1" x14ac:dyDescent="0.3">
      <c r="A2366" s="7" t="str">
        <f>BD_ControlRegimen[[#This Row],[FECHA]]&amp;BD_ControlRegimen[[#This Row],[NOMBRE]]</f>
        <v>45090RAMIREZ ROMERO PAUL</v>
      </c>
      <c r="B2366" s="83">
        <f>WEEKNUM(BD_ControlRegimen[[#This Row],[FECHA]],2)</f>
        <v>25</v>
      </c>
      <c r="C2366" s="7">
        <v>45090</v>
      </c>
      <c r="D2366" s="3" t="s">
        <v>75</v>
      </c>
      <c r="E2366" s="3"/>
      <c r="F2366" s="3"/>
    </row>
    <row r="2367" spans="1:6" hidden="1" x14ac:dyDescent="0.3">
      <c r="A2367" s="7" t="str">
        <f>BD_ControlRegimen[[#This Row],[FECHA]]&amp;BD_ControlRegimen[[#This Row],[NOMBRE]]</f>
        <v>45091RAMIREZ ROMERO PAUL</v>
      </c>
      <c r="B2367" s="83">
        <f>WEEKNUM(BD_ControlRegimen[[#This Row],[FECHA]],2)</f>
        <v>25</v>
      </c>
      <c r="C2367" s="7">
        <v>45091</v>
      </c>
      <c r="D2367" s="3" t="s">
        <v>75</v>
      </c>
      <c r="E2367" s="3"/>
      <c r="F2367" s="3"/>
    </row>
    <row r="2368" spans="1:6" hidden="1" x14ac:dyDescent="0.3">
      <c r="A2368" s="7" t="str">
        <f>BD_ControlRegimen[[#This Row],[FECHA]]&amp;BD_ControlRegimen[[#This Row],[NOMBRE]]</f>
        <v>45092RAMIREZ ROMERO PAUL</v>
      </c>
      <c r="B2368" s="83">
        <f>WEEKNUM(BD_ControlRegimen[[#This Row],[FECHA]],2)</f>
        <v>25</v>
      </c>
      <c r="C2368" s="7">
        <v>45092</v>
      </c>
      <c r="D2368" s="3" t="s">
        <v>75</v>
      </c>
      <c r="E2368" s="3"/>
      <c r="F2368" s="3"/>
    </row>
    <row r="2369" spans="1:6" hidden="1" x14ac:dyDescent="0.3">
      <c r="A2369" s="7" t="str">
        <f>BD_ControlRegimen[[#This Row],[FECHA]]&amp;BD_ControlRegimen[[#This Row],[NOMBRE]]</f>
        <v>45093RAMIREZ ROMERO PAUL</v>
      </c>
      <c r="B2369" s="83">
        <f>WEEKNUM(BD_ControlRegimen[[#This Row],[FECHA]],2)</f>
        <v>25</v>
      </c>
      <c r="C2369" s="7">
        <v>45093</v>
      </c>
      <c r="D2369" s="3" t="s">
        <v>75</v>
      </c>
      <c r="E2369" s="3"/>
      <c r="F2369" s="3"/>
    </row>
    <row r="2370" spans="1:6" hidden="1" x14ac:dyDescent="0.3">
      <c r="A2370" s="7" t="str">
        <f>BD_ControlRegimen[[#This Row],[FECHA]]&amp;BD_ControlRegimen[[#This Row],[NOMBRE]]</f>
        <v>45094RAMIREZ ROMERO PAUL</v>
      </c>
      <c r="B2370" s="83">
        <f>WEEKNUM(BD_ControlRegimen[[#This Row],[FECHA]],2)</f>
        <v>25</v>
      </c>
      <c r="C2370" s="7">
        <v>45094</v>
      </c>
      <c r="D2370" s="3" t="s">
        <v>75</v>
      </c>
      <c r="E2370" s="3"/>
      <c r="F2370" s="3"/>
    </row>
    <row r="2371" spans="1:6" hidden="1" x14ac:dyDescent="0.3">
      <c r="A2371" s="7" t="str">
        <f>BD_ControlRegimen[[#This Row],[FECHA]]&amp;BD_ControlRegimen[[#This Row],[NOMBRE]]</f>
        <v>45095RAMIREZ ROMERO PAUL</v>
      </c>
      <c r="B2371" s="83">
        <f>WEEKNUM(BD_ControlRegimen[[#This Row],[FECHA]],2)</f>
        <v>25</v>
      </c>
      <c r="C2371" s="7">
        <v>45095</v>
      </c>
      <c r="D2371" s="3" t="s">
        <v>75</v>
      </c>
      <c r="E2371" s="3"/>
      <c r="F2371" s="3"/>
    </row>
    <row r="2372" spans="1:6" hidden="1" x14ac:dyDescent="0.3">
      <c r="A2372" s="7" t="str">
        <f>BD_ControlRegimen[[#This Row],[FECHA]]&amp;BD_ControlRegimen[[#This Row],[NOMBRE]]</f>
        <v>45096RAMIREZ ROMERO PAUL</v>
      </c>
      <c r="B2372" s="83">
        <f>WEEKNUM(BD_ControlRegimen[[#This Row],[FECHA]],2)</f>
        <v>26</v>
      </c>
      <c r="C2372" s="7">
        <v>45096</v>
      </c>
      <c r="D2372" s="3" t="s">
        <v>75</v>
      </c>
      <c r="E2372" s="3"/>
      <c r="F2372" s="3"/>
    </row>
    <row r="2373" spans="1:6" hidden="1" x14ac:dyDescent="0.3">
      <c r="A2373" s="7" t="str">
        <f>BD_ControlRegimen[[#This Row],[FECHA]]&amp;BD_ControlRegimen[[#This Row],[NOMBRE]]</f>
        <v>45097RAMIREZ ROMERO PAUL</v>
      </c>
      <c r="B2373" s="83">
        <f>WEEKNUM(BD_ControlRegimen[[#This Row],[FECHA]],2)</f>
        <v>26</v>
      </c>
      <c r="C2373" s="7">
        <v>45097</v>
      </c>
      <c r="D2373" s="3" t="s">
        <v>75</v>
      </c>
      <c r="E2373" s="3"/>
      <c r="F2373" s="3"/>
    </row>
    <row r="2374" spans="1:6" hidden="1" x14ac:dyDescent="0.3">
      <c r="A2374" s="7" t="str">
        <f>BD_ControlRegimen[[#This Row],[FECHA]]&amp;BD_ControlRegimen[[#This Row],[NOMBRE]]</f>
        <v>45098RAMIREZ ROMERO PAUL</v>
      </c>
      <c r="B2374" s="83">
        <f>WEEKNUM(BD_ControlRegimen[[#This Row],[FECHA]],2)</f>
        <v>26</v>
      </c>
      <c r="C2374" s="7">
        <v>45098</v>
      </c>
      <c r="D2374" s="3" t="s">
        <v>75</v>
      </c>
      <c r="E2374" s="3"/>
      <c r="F2374" s="3"/>
    </row>
    <row r="2375" spans="1:6" hidden="1" x14ac:dyDescent="0.3">
      <c r="A2375" s="7" t="str">
        <f>BD_ControlRegimen[[#This Row],[FECHA]]&amp;BD_ControlRegimen[[#This Row],[NOMBRE]]</f>
        <v>45099RAMIREZ ROMERO PAUL</v>
      </c>
      <c r="B2375" s="83">
        <f>WEEKNUM(BD_ControlRegimen[[#This Row],[FECHA]],2)</f>
        <v>26</v>
      </c>
      <c r="C2375" s="7">
        <v>45099</v>
      </c>
      <c r="D2375" s="3" t="s">
        <v>75</v>
      </c>
      <c r="E2375" s="3"/>
      <c r="F2375" s="3"/>
    </row>
    <row r="2376" spans="1:6" hidden="1" x14ac:dyDescent="0.3">
      <c r="A2376" s="7" t="str">
        <f>BD_ControlRegimen[[#This Row],[FECHA]]&amp;BD_ControlRegimen[[#This Row],[NOMBRE]]</f>
        <v>45100RAMIREZ ROMERO PAUL</v>
      </c>
      <c r="B2376" s="83">
        <f>WEEKNUM(BD_ControlRegimen[[#This Row],[FECHA]],2)</f>
        <v>26</v>
      </c>
      <c r="C2376" s="7">
        <v>45100</v>
      </c>
      <c r="D2376" s="3" t="s">
        <v>75</v>
      </c>
      <c r="E2376" s="3"/>
      <c r="F2376" s="3"/>
    </row>
    <row r="2377" spans="1:6" hidden="1" x14ac:dyDescent="0.3">
      <c r="A2377" s="7" t="str">
        <f>BD_ControlRegimen[[#This Row],[FECHA]]&amp;BD_ControlRegimen[[#This Row],[NOMBRE]]</f>
        <v>45101RAMIREZ ROMERO PAUL</v>
      </c>
      <c r="B2377" s="83">
        <f>WEEKNUM(BD_ControlRegimen[[#This Row],[FECHA]],2)</f>
        <v>26</v>
      </c>
      <c r="C2377" s="7">
        <v>45101</v>
      </c>
      <c r="D2377" s="3" t="s">
        <v>75</v>
      </c>
      <c r="E2377" s="3"/>
      <c r="F2377" s="3"/>
    </row>
    <row r="2378" spans="1:6" hidden="1" x14ac:dyDescent="0.3">
      <c r="A2378" s="7" t="str">
        <f>BD_ControlRegimen[[#This Row],[FECHA]]&amp;BD_ControlRegimen[[#This Row],[NOMBRE]]</f>
        <v>45102RAMIREZ ROMERO PAUL</v>
      </c>
      <c r="B2378" s="83">
        <f>WEEKNUM(BD_ControlRegimen[[#This Row],[FECHA]],2)</f>
        <v>26</v>
      </c>
      <c r="C2378" s="7">
        <v>45102</v>
      </c>
      <c r="D2378" s="3" t="s">
        <v>75</v>
      </c>
      <c r="E2378" s="3"/>
      <c r="F2378" s="3"/>
    </row>
    <row r="2379" spans="1:6" hidden="1" x14ac:dyDescent="0.3">
      <c r="A2379" s="7" t="str">
        <f>BD_ControlRegimen[[#This Row],[FECHA]]&amp;BD_ControlRegimen[[#This Row],[NOMBRE]]</f>
        <v>45103RAMIREZ ROMERO PAUL</v>
      </c>
      <c r="B2379" s="83">
        <f>WEEKNUM(BD_ControlRegimen[[#This Row],[FECHA]],2)</f>
        <v>27</v>
      </c>
      <c r="C2379" s="7">
        <v>45103</v>
      </c>
      <c r="D2379" s="3" t="s">
        <v>75</v>
      </c>
      <c r="E2379" s="3"/>
      <c r="F2379" s="3"/>
    </row>
    <row r="2380" spans="1:6" hidden="1" x14ac:dyDescent="0.3">
      <c r="A2380" s="7" t="str">
        <f>BD_ControlRegimen[[#This Row],[FECHA]]&amp;BD_ControlRegimen[[#This Row],[NOMBRE]]</f>
        <v>45104RAMIREZ ROMERO PAUL</v>
      </c>
      <c r="B2380" s="83">
        <f>WEEKNUM(BD_ControlRegimen[[#This Row],[FECHA]],2)</f>
        <v>27</v>
      </c>
      <c r="C2380" s="7">
        <v>45104</v>
      </c>
      <c r="D2380" s="3" t="s">
        <v>75</v>
      </c>
      <c r="E2380" s="3"/>
      <c r="F2380" s="3"/>
    </row>
    <row r="2381" spans="1:6" hidden="1" x14ac:dyDescent="0.3">
      <c r="A2381" s="7" t="str">
        <f>BD_ControlRegimen[[#This Row],[FECHA]]&amp;BD_ControlRegimen[[#This Row],[NOMBRE]]</f>
        <v>45105RAMIREZ ROMERO PAUL</v>
      </c>
      <c r="B2381" s="83">
        <f>WEEKNUM(BD_ControlRegimen[[#This Row],[FECHA]],2)</f>
        <v>27</v>
      </c>
      <c r="C2381" s="7">
        <v>45105</v>
      </c>
      <c r="D2381" s="3" t="s">
        <v>75</v>
      </c>
      <c r="E2381" s="3"/>
      <c r="F2381" s="3"/>
    </row>
    <row r="2382" spans="1:6" hidden="1" x14ac:dyDescent="0.3">
      <c r="A2382" s="7" t="str">
        <f>BD_ControlRegimen[[#This Row],[FECHA]]&amp;BD_ControlRegimen[[#This Row],[NOMBRE]]</f>
        <v>45106RAMIREZ ROMERO PAUL</v>
      </c>
      <c r="B2382" s="83">
        <f>WEEKNUM(BD_ControlRegimen[[#This Row],[FECHA]],2)</f>
        <v>27</v>
      </c>
      <c r="C2382" s="7">
        <v>45106</v>
      </c>
      <c r="D2382" s="3" t="s">
        <v>75</v>
      </c>
      <c r="E2382" s="3"/>
      <c r="F2382" s="3"/>
    </row>
    <row r="2383" spans="1:6" hidden="1" x14ac:dyDescent="0.3">
      <c r="A2383" s="7" t="str">
        <f>BD_ControlRegimen[[#This Row],[FECHA]]&amp;BD_ControlRegimen[[#This Row],[NOMBRE]]</f>
        <v>45107RAMIREZ ROMERO PAUL</v>
      </c>
      <c r="B2383" s="83">
        <f>WEEKNUM(BD_ControlRegimen[[#This Row],[FECHA]],2)</f>
        <v>27</v>
      </c>
      <c r="C2383" s="7">
        <v>45107</v>
      </c>
      <c r="D2383" s="3" t="s">
        <v>75</v>
      </c>
      <c r="E2383" s="3"/>
      <c r="F2383" s="3"/>
    </row>
    <row r="2384" spans="1:6" hidden="1" x14ac:dyDescent="0.3">
      <c r="A2384" s="7" t="str">
        <f>BD_ControlRegimen[[#This Row],[FECHA]]&amp;BD_ControlRegimen[[#This Row],[NOMBRE]]</f>
        <v>45108RAMIREZ ROMERO PAUL</v>
      </c>
      <c r="B2384" s="83">
        <f>WEEKNUM(BD_ControlRegimen[[#This Row],[FECHA]],2)</f>
        <v>27</v>
      </c>
      <c r="C2384" s="7">
        <v>45108</v>
      </c>
      <c r="D2384" s="3" t="s">
        <v>75</v>
      </c>
      <c r="E2384" s="3"/>
      <c r="F2384" s="3"/>
    </row>
    <row r="2385" spans="1:6" hidden="1" x14ac:dyDescent="0.3">
      <c r="A2385" s="7" t="str">
        <f>BD_ControlRegimen[[#This Row],[FECHA]]&amp;BD_ControlRegimen[[#This Row],[NOMBRE]]</f>
        <v>45109RAMIREZ ROMERO PAUL</v>
      </c>
      <c r="B2385" s="83">
        <f>WEEKNUM(BD_ControlRegimen[[#This Row],[FECHA]],2)</f>
        <v>27</v>
      </c>
      <c r="C2385" s="7">
        <v>45109</v>
      </c>
      <c r="D2385" s="3" t="s">
        <v>75</v>
      </c>
      <c r="E2385" s="3"/>
      <c r="F2385" s="3"/>
    </row>
    <row r="2386" spans="1:6" hidden="1" x14ac:dyDescent="0.3">
      <c r="A2386" s="7" t="str">
        <f>BD_ControlRegimen[[#This Row],[FECHA]]&amp;BD_ControlRegimen[[#This Row],[NOMBRE]]</f>
        <v>45110RAMIREZ ROMERO PAUL</v>
      </c>
      <c r="B2386" s="83">
        <f>WEEKNUM(BD_ControlRegimen[[#This Row],[FECHA]],2)</f>
        <v>28</v>
      </c>
      <c r="C2386" s="7">
        <v>45110</v>
      </c>
      <c r="D2386" s="3" t="s">
        <v>75</v>
      </c>
      <c r="E2386" s="3"/>
      <c r="F2386" s="3"/>
    </row>
    <row r="2387" spans="1:6" hidden="1" x14ac:dyDescent="0.3">
      <c r="A2387" s="7" t="str">
        <f>BD_ControlRegimen[[#This Row],[FECHA]]&amp;BD_ControlRegimen[[#This Row],[NOMBRE]]</f>
        <v>45111RAMIREZ ROMERO PAUL</v>
      </c>
      <c r="B2387" s="83">
        <f>WEEKNUM(BD_ControlRegimen[[#This Row],[FECHA]],2)</f>
        <v>28</v>
      </c>
      <c r="C2387" s="7">
        <v>45111</v>
      </c>
      <c r="D2387" s="3" t="s">
        <v>75</v>
      </c>
      <c r="E2387" s="3"/>
      <c r="F2387" s="3"/>
    </row>
    <row r="2388" spans="1:6" hidden="1" x14ac:dyDescent="0.3">
      <c r="A2388" s="7" t="str">
        <f>BD_ControlRegimen[[#This Row],[FECHA]]&amp;BD_ControlRegimen[[#This Row],[NOMBRE]]</f>
        <v>45112RAMIREZ ROMERO PAUL</v>
      </c>
      <c r="B2388" s="83">
        <f>WEEKNUM(BD_ControlRegimen[[#This Row],[FECHA]],2)</f>
        <v>28</v>
      </c>
      <c r="C2388" s="7">
        <v>45112</v>
      </c>
      <c r="D2388" s="3" t="s">
        <v>75</v>
      </c>
      <c r="E2388" s="3"/>
      <c r="F2388" s="3"/>
    </row>
    <row r="2389" spans="1:6" hidden="1" x14ac:dyDescent="0.3">
      <c r="A2389" s="7" t="str">
        <f>BD_ControlRegimen[[#This Row],[FECHA]]&amp;BD_ControlRegimen[[#This Row],[NOMBRE]]</f>
        <v>45113RAMIREZ ROMERO PAUL</v>
      </c>
      <c r="B2389" s="83">
        <f>WEEKNUM(BD_ControlRegimen[[#This Row],[FECHA]],2)</f>
        <v>28</v>
      </c>
      <c r="C2389" s="7">
        <v>45113</v>
      </c>
      <c r="D2389" s="3" t="s">
        <v>75</v>
      </c>
      <c r="E2389" s="3"/>
      <c r="F2389" s="3"/>
    </row>
    <row r="2390" spans="1:6" hidden="1" x14ac:dyDescent="0.3">
      <c r="A2390" s="7" t="str">
        <f>BD_ControlRegimen[[#This Row],[FECHA]]&amp;BD_ControlRegimen[[#This Row],[NOMBRE]]</f>
        <v>45114RAMIREZ ROMERO PAUL</v>
      </c>
      <c r="B2390" s="83">
        <f>WEEKNUM(BD_ControlRegimen[[#This Row],[FECHA]],2)</f>
        <v>28</v>
      </c>
      <c r="C2390" s="7">
        <v>45114</v>
      </c>
      <c r="D2390" s="3" t="s">
        <v>75</v>
      </c>
      <c r="E2390" s="3"/>
      <c r="F2390" s="3"/>
    </row>
    <row r="2391" spans="1:6" hidden="1" x14ac:dyDescent="0.3">
      <c r="A2391" s="7" t="str">
        <f>BD_ControlRegimen[[#This Row],[FECHA]]&amp;BD_ControlRegimen[[#This Row],[NOMBRE]]</f>
        <v>45115RAMIREZ ROMERO PAUL</v>
      </c>
      <c r="B2391" s="83">
        <f>WEEKNUM(BD_ControlRegimen[[#This Row],[FECHA]],2)</f>
        <v>28</v>
      </c>
      <c r="C2391" s="7">
        <v>45115</v>
      </c>
      <c r="D2391" s="3" t="s">
        <v>75</v>
      </c>
      <c r="E2391" s="3"/>
      <c r="F2391" s="3"/>
    </row>
    <row r="2392" spans="1:6" hidden="1" x14ac:dyDescent="0.3">
      <c r="A2392" s="7" t="str">
        <f>BD_ControlRegimen[[#This Row],[FECHA]]&amp;BD_ControlRegimen[[#This Row],[NOMBRE]]</f>
        <v>45116RAMIREZ ROMERO PAUL</v>
      </c>
      <c r="B2392" s="83">
        <f>WEEKNUM(BD_ControlRegimen[[#This Row],[FECHA]],2)</f>
        <v>28</v>
      </c>
      <c r="C2392" s="7">
        <v>45116</v>
      </c>
      <c r="D2392" s="3" t="s">
        <v>75</v>
      </c>
      <c r="E2392" s="3"/>
      <c r="F2392" s="3"/>
    </row>
    <row r="2393" spans="1:6" hidden="1" x14ac:dyDescent="0.3">
      <c r="A2393" s="7" t="str">
        <f>BD_ControlRegimen[[#This Row],[FECHA]]&amp;BD_ControlRegimen[[#This Row],[NOMBRE]]</f>
        <v>45117RAMIREZ ROMERO PAUL</v>
      </c>
      <c r="B2393" s="83">
        <f>WEEKNUM(BD_ControlRegimen[[#This Row],[FECHA]],2)</f>
        <v>29</v>
      </c>
      <c r="C2393" s="7">
        <v>45117</v>
      </c>
      <c r="D2393" s="3" t="s">
        <v>75</v>
      </c>
      <c r="E2393" s="3"/>
      <c r="F2393" s="3"/>
    </row>
    <row r="2394" spans="1:6" hidden="1" x14ac:dyDescent="0.3">
      <c r="A2394" s="7" t="str">
        <f>BD_ControlRegimen[[#This Row],[FECHA]]&amp;BD_ControlRegimen[[#This Row],[NOMBRE]]</f>
        <v>45118RAMIREZ ROMERO PAUL</v>
      </c>
      <c r="B2394" s="83">
        <f>WEEKNUM(BD_ControlRegimen[[#This Row],[FECHA]],2)</f>
        <v>29</v>
      </c>
      <c r="C2394" s="7">
        <v>45118</v>
      </c>
      <c r="D2394" s="3" t="s">
        <v>75</v>
      </c>
      <c r="E2394" s="3"/>
      <c r="F2394" s="3"/>
    </row>
    <row r="2395" spans="1:6" hidden="1" x14ac:dyDescent="0.3">
      <c r="A2395" s="7" t="str">
        <f>BD_ControlRegimen[[#This Row],[FECHA]]&amp;BD_ControlRegimen[[#This Row],[NOMBRE]]</f>
        <v>45119RAMIREZ ROMERO PAUL</v>
      </c>
      <c r="B2395" s="83">
        <f>WEEKNUM(BD_ControlRegimen[[#This Row],[FECHA]],2)</f>
        <v>29</v>
      </c>
      <c r="C2395" s="7">
        <v>45119</v>
      </c>
      <c r="D2395" s="3" t="s">
        <v>75</v>
      </c>
      <c r="E2395" s="3"/>
      <c r="F2395" s="3"/>
    </row>
    <row r="2396" spans="1:6" hidden="1" x14ac:dyDescent="0.3">
      <c r="A2396" s="7" t="str">
        <f>BD_ControlRegimen[[#This Row],[FECHA]]&amp;BD_ControlRegimen[[#This Row],[NOMBRE]]</f>
        <v>45120RAMIREZ ROMERO PAUL</v>
      </c>
      <c r="B2396" s="83">
        <f>WEEKNUM(BD_ControlRegimen[[#This Row],[FECHA]],2)</f>
        <v>29</v>
      </c>
      <c r="C2396" s="7">
        <v>45120</v>
      </c>
      <c r="D2396" s="3" t="s">
        <v>75</v>
      </c>
      <c r="E2396" s="3"/>
      <c r="F2396" s="3"/>
    </row>
    <row r="2397" spans="1:6" hidden="1" x14ac:dyDescent="0.3">
      <c r="A2397" s="7" t="str">
        <f>BD_ControlRegimen[[#This Row],[FECHA]]&amp;BD_ControlRegimen[[#This Row],[NOMBRE]]</f>
        <v>45121RAMIREZ ROMERO PAUL</v>
      </c>
      <c r="B2397" s="83">
        <f>WEEKNUM(BD_ControlRegimen[[#This Row],[FECHA]],2)</f>
        <v>29</v>
      </c>
      <c r="C2397" s="7">
        <v>45121</v>
      </c>
      <c r="D2397" s="3" t="s">
        <v>75</v>
      </c>
      <c r="E2397" s="3"/>
      <c r="F2397" s="3"/>
    </row>
    <row r="2398" spans="1:6" hidden="1" x14ac:dyDescent="0.3">
      <c r="A2398" s="7" t="str">
        <f>BD_ControlRegimen[[#This Row],[FECHA]]&amp;BD_ControlRegimen[[#This Row],[NOMBRE]]</f>
        <v>45122RAMIREZ ROMERO PAUL</v>
      </c>
      <c r="B2398" s="83">
        <f>WEEKNUM(BD_ControlRegimen[[#This Row],[FECHA]],2)</f>
        <v>29</v>
      </c>
      <c r="C2398" s="7">
        <v>45122</v>
      </c>
      <c r="D2398" s="3" t="s">
        <v>75</v>
      </c>
      <c r="E2398" s="3"/>
      <c r="F2398" s="3"/>
    </row>
    <row r="2399" spans="1:6" hidden="1" x14ac:dyDescent="0.3">
      <c r="A2399" s="7" t="str">
        <f>BD_ControlRegimen[[#This Row],[FECHA]]&amp;BD_ControlRegimen[[#This Row],[NOMBRE]]</f>
        <v>45123RAMIREZ ROMERO PAUL</v>
      </c>
      <c r="B2399" s="83">
        <f>WEEKNUM(BD_ControlRegimen[[#This Row],[FECHA]],2)</f>
        <v>29</v>
      </c>
      <c r="C2399" s="7">
        <v>45123</v>
      </c>
      <c r="D2399" s="3" t="s">
        <v>75</v>
      </c>
      <c r="E2399" s="3"/>
      <c r="F2399" s="3"/>
    </row>
    <row r="2400" spans="1:6" hidden="1" x14ac:dyDescent="0.3">
      <c r="A2400" s="7" t="str">
        <f>BD_ControlRegimen[[#This Row],[FECHA]]&amp;BD_ControlRegimen[[#This Row],[NOMBRE]]</f>
        <v>45124RAMIREZ ROMERO PAUL</v>
      </c>
      <c r="B2400" s="83">
        <f>WEEKNUM(BD_ControlRegimen[[#This Row],[FECHA]],2)</f>
        <v>30</v>
      </c>
      <c r="C2400" s="7">
        <v>45124</v>
      </c>
      <c r="D2400" s="3" t="s">
        <v>75</v>
      </c>
      <c r="E2400" s="3"/>
      <c r="F2400" s="3"/>
    </row>
    <row r="2401" spans="1:6" hidden="1" x14ac:dyDescent="0.3">
      <c r="A2401" s="7" t="str">
        <f>BD_ControlRegimen[[#This Row],[FECHA]]&amp;BD_ControlRegimen[[#This Row],[NOMBRE]]</f>
        <v>45125RAMIREZ ROMERO PAUL</v>
      </c>
      <c r="B2401" s="83">
        <f>WEEKNUM(BD_ControlRegimen[[#This Row],[FECHA]],2)</f>
        <v>30</v>
      </c>
      <c r="C2401" s="7">
        <v>45125</v>
      </c>
      <c r="D2401" s="3" t="s">
        <v>75</v>
      </c>
      <c r="E2401" s="3"/>
      <c r="F2401" s="3"/>
    </row>
    <row r="2402" spans="1:6" hidden="1" x14ac:dyDescent="0.3">
      <c r="A2402" s="7" t="str">
        <f>BD_ControlRegimen[[#This Row],[FECHA]]&amp;BD_ControlRegimen[[#This Row],[NOMBRE]]</f>
        <v>45126RAMIREZ ROMERO PAUL</v>
      </c>
      <c r="B2402" s="83">
        <f>WEEKNUM(BD_ControlRegimen[[#This Row],[FECHA]],2)</f>
        <v>30</v>
      </c>
      <c r="C2402" s="7">
        <v>45126</v>
      </c>
      <c r="D2402" s="3" t="s">
        <v>75</v>
      </c>
      <c r="E2402" s="3"/>
      <c r="F2402" s="3"/>
    </row>
    <row r="2403" spans="1:6" hidden="1" x14ac:dyDescent="0.3">
      <c r="A2403" s="7" t="str">
        <f>BD_ControlRegimen[[#This Row],[FECHA]]&amp;BD_ControlRegimen[[#This Row],[NOMBRE]]</f>
        <v>45127RAMIREZ ROMERO PAUL</v>
      </c>
      <c r="B2403" s="83">
        <f>WEEKNUM(BD_ControlRegimen[[#This Row],[FECHA]],2)</f>
        <v>30</v>
      </c>
      <c r="C2403" s="7">
        <v>45127</v>
      </c>
      <c r="D2403" s="3" t="s">
        <v>75</v>
      </c>
      <c r="E2403" s="3"/>
      <c r="F2403" s="3"/>
    </row>
    <row r="2404" spans="1:6" hidden="1" x14ac:dyDescent="0.3">
      <c r="A2404" s="7" t="str">
        <f>BD_ControlRegimen[[#This Row],[FECHA]]&amp;BD_ControlRegimen[[#This Row],[NOMBRE]]</f>
        <v>45128RAMIREZ ROMERO PAUL</v>
      </c>
      <c r="B2404" s="83">
        <f>WEEKNUM(BD_ControlRegimen[[#This Row],[FECHA]],2)</f>
        <v>30</v>
      </c>
      <c r="C2404" s="7">
        <v>45128</v>
      </c>
      <c r="D2404" s="3" t="s">
        <v>75</v>
      </c>
      <c r="E2404" s="3"/>
      <c r="F2404" s="3"/>
    </row>
    <row r="2405" spans="1:6" hidden="1" x14ac:dyDescent="0.3">
      <c r="A2405" s="7" t="str">
        <f>BD_ControlRegimen[[#This Row],[FECHA]]&amp;BD_ControlRegimen[[#This Row],[NOMBRE]]</f>
        <v>45129RAMIREZ ROMERO PAUL</v>
      </c>
      <c r="B2405" s="83">
        <f>WEEKNUM(BD_ControlRegimen[[#This Row],[FECHA]],2)</f>
        <v>30</v>
      </c>
      <c r="C2405" s="7">
        <v>45129</v>
      </c>
      <c r="D2405" s="3" t="s">
        <v>75</v>
      </c>
      <c r="E2405" s="3"/>
      <c r="F2405" s="3"/>
    </row>
    <row r="2406" spans="1:6" hidden="1" x14ac:dyDescent="0.3">
      <c r="A2406" s="7" t="str">
        <f>BD_ControlRegimen[[#This Row],[FECHA]]&amp;BD_ControlRegimen[[#This Row],[NOMBRE]]</f>
        <v>45130RAMIREZ ROMERO PAUL</v>
      </c>
      <c r="B2406" s="83">
        <f>WEEKNUM(BD_ControlRegimen[[#This Row],[FECHA]],2)</f>
        <v>30</v>
      </c>
      <c r="C2406" s="7">
        <v>45130</v>
      </c>
      <c r="D2406" s="3" t="s">
        <v>75</v>
      </c>
      <c r="E2406" s="3"/>
      <c r="F2406" s="3"/>
    </row>
    <row r="2407" spans="1:6" hidden="1" x14ac:dyDescent="0.3">
      <c r="A2407" s="7" t="str">
        <f>BD_ControlRegimen[[#This Row],[FECHA]]&amp;BD_ControlRegimen[[#This Row],[NOMBRE]]</f>
        <v>45131RAMIREZ ROMERO PAUL</v>
      </c>
      <c r="B2407" s="83">
        <f>WEEKNUM(BD_ControlRegimen[[#This Row],[FECHA]],2)</f>
        <v>31</v>
      </c>
      <c r="C2407" s="7">
        <v>45131</v>
      </c>
      <c r="D2407" s="3" t="s">
        <v>75</v>
      </c>
      <c r="E2407" s="3"/>
      <c r="F2407" s="3"/>
    </row>
    <row r="2408" spans="1:6" hidden="1" x14ac:dyDescent="0.3">
      <c r="A2408" s="7" t="str">
        <f>BD_ControlRegimen[[#This Row],[FECHA]]&amp;BD_ControlRegimen[[#This Row],[NOMBRE]]</f>
        <v>45132RAMIREZ ROMERO PAUL</v>
      </c>
      <c r="B2408" s="83">
        <f>WEEKNUM(BD_ControlRegimen[[#This Row],[FECHA]],2)</f>
        <v>31</v>
      </c>
      <c r="C2408" s="7">
        <v>45132</v>
      </c>
      <c r="D2408" s="3" t="s">
        <v>75</v>
      </c>
      <c r="E2408" s="3"/>
      <c r="F2408" s="3"/>
    </row>
    <row r="2409" spans="1:6" hidden="1" x14ac:dyDescent="0.3">
      <c r="A2409" s="7" t="str">
        <f>BD_ControlRegimen[[#This Row],[FECHA]]&amp;BD_ControlRegimen[[#This Row],[NOMBRE]]</f>
        <v>45133RAMIREZ ROMERO PAUL</v>
      </c>
      <c r="B2409" s="83">
        <f>WEEKNUM(BD_ControlRegimen[[#This Row],[FECHA]],2)</f>
        <v>31</v>
      </c>
      <c r="C2409" s="7">
        <v>45133</v>
      </c>
      <c r="D2409" s="3" t="s">
        <v>75</v>
      </c>
      <c r="E2409" s="3"/>
      <c r="F2409" s="3"/>
    </row>
    <row r="2410" spans="1:6" hidden="1" x14ac:dyDescent="0.3">
      <c r="A2410" s="7" t="str">
        <f>BD_ControlRegimen[[#This Row],[FECHA]]&amp;BD_ControlRegimen[[#This Row],[NOMBRE]]</f>
        <v>45134RAMIREZ ROMERO PAUL</v>
      </c>
      <c r="B2410" s="83">
        <f>WEEKNUM(BD_ControlRegimen[[#This Row],[FECHA]],2)</f>
        <v>31</v>
      </c>
      <c r="C2410" s="7">
        <v>45134</v>
      </c>
      <c r="D2410" s="3" t="s">
        <v>75</v>
      </c>
      <c r="E2410" s="3"/>
      <c r="F2410" s="3"/>
    </row>
    <row r="2411" spans="1:6" hidden="1" x14ac:dyDescent="0.3">
      <c r="A2411" s="7" t="str">
        <f>BD_ControlRegimen[[#This Row],[FECHA]]&amp;BD_ControlRegimen[[#This Row],[NOMBRE]]</f>
        <v>45135RAMIREZ ROMERO PAUL</v>
      </c>
      <c r="B2411" s="83">
        <f>WEEKNUM(BD_ControlRegimen[[#This Row],[FECHA]],2)</f>
        <v>31</v>
      </c>
      <c r="C2411" s="7">
        <v>45135</v>
      </c>
      <c r="D2411" s="3" t="s">
        <v>75</v>
      </c>
      <c r="E2411" s="3"/>
      <c r="F2411" s="3"/>
    </row>
    <row r="2412" spans="1:6" hidden="1" x14ac:dyDescent="0.3">
      <c r="A2412" s="7" t="str">
        <f>BD_ControlRegimen[[#This Row],[FECHA]]&amp;BD_ControlRegimen[[#This Row],[NOMBRE]]</f>
        <v>45136RAMIREZ ROMERO PAUL</v>
      </c>
      <c r="B2412" s="83">
        <f>WEEKNUM(BD_ControlRegimen[[#This Row],[FECHA]],2)</f>
        <v>31</v>
      </c>
      <c r="C2412" s="7">
        <v>45136</v>
      </c>
      <c r="D2412" s="3" t="s">
        <v>75</v>
      </c>
      <c r="E2412" s="3"/>
      <c r="F2412" s="3"/>
    </row>
    <row r="2413" spans="1:6" hidden="1" x14ac:dyDescent="0.3">
      <c r="A2413" s="7" t="str">
        <f>BD_ControlRegimen[[#This Row],[FECHA]]&amp;BD_ControlRegimen[[#This Row],[NOMBRE]]</f>
        <v>45137RAMIREZ ROMERO PAUL</v>
      </c>
      <c r="B2413" s="83">
        <f>WEEKNUM(BD_ControlRegimen[[#This Row],[FECHA]],2)</f>
        <v>31</v>
      </c>
      <c r="C2413" s="7">
        <v>45137</v>
      </c>
      <c r="D2413" s="3" t="s">
        <v>75</v>
      </c>
      <c r="E2413" s="3"/>
      <c r="F2413" s="3"/>
    </row>
    <row r="2414" spans="1:6" hidden="1" x14ac:dyDescent="0.3">
      <c r="A2414" s="7" t="str">
        <f>BD_ControlRegimen[[#This Row],[FECHA]]&amp;BD_ControlRegimen[[#This Row],[NOMBRE]]</f>
        <v>45138RAMIREZ ROMERO PAUL</v>
      </c>
      <c r="B2414" s="83">
        <f>WEEKNUM(BD_ControlRegimen[[#This Row],[FECHA]],2)</f>
        <v>32</v>
      </c>
      <c r="C2414" s="7">
        <v>45138</v>
      </c>
      <c r="D2414" s="3" t="s">
        <v>75</v>
      </c>
      <c r="E2414" s="3"/>
      <c r="F2414" s="3"/>
    </row>
    <row r="2415" spans="1:6" hidden="1" x14ac:dyDescent="0.3">
      <c r="A2415" s="7" t="str">
        <f>BD_ControlRegimen[[#This Row],[FECHA]]&amp;BD_ControlRegimen[[#This Row],[NOMBRE]]</f>
        <v>45139RAMIREZ ROMERO PAUL</v>
      </c>
      <c r="B2415" s="83">
        <f>WEEKNUM(BD_ControlRegimen[[#This Row],[FECHA]],2)</f>
        <v>32</v>
      </c>
      <c r="C2415" s="7">
        <v>45139</v>
      </c>
      <c r="D2415" s="3" t="s">
        <v>75</v>
      </c>
      <c r="E2415" s="3"/>
      <c r="F2415" s="3"/>
    </row>
    <row r="2416" spans="1:6" hidden="1" x14ac:dyDescent="0.3">
      <c r="A2416" s="7" t="str">
        <f>BD_ControlRegimen[[#This Row],[FECHA]]&amp;BD_ControlRegimen[[#This Row],[NOMBRE]]</f>
        <v>45140RAMIREZ ROMERO PAUL</v>
      </c>
      <c r="B2416" s="83">
        <f>WEEKNUM(BD_ControlRegimen[[#This Row],[FECHA]],2)</f>
        <v>32</v>
      </c>
      <c r="C2416" s="7">
        <v>45140</v>
      </c>
      <c r="D2416" s="3" t="s">
        <v>75</v>
      </c>
      <c r="E2416" s="3"/>
      <c r="F2416" s="3"/>
    </row>
    <row r="2417" spans="1:6" hidden="1" x14ac:dyDescent="0.3">
      <c r="A2417" s="7" t="str">
        <f>BD_ControlRegimen[[#This Row],[FECHA]]&amp;BD_ControlRegimen[[#This Row],[NOMBRE]]</f>
        <v>45141RAMIREZ ROMERO PAUL</v>
      </c>
      <c r="B2417" s="83">
        <f>WEEKNUM(BD_ControlRegimen[[#This Row],[FECHA]],2)</f>
        <v>32</v>
      </c>
      <c r="C2417" s="7">
        <v>45141</v>
      </c>
      <c r="D2417" s="3" t="s">
        <v>75</v>
      </c>
      <c r="E2417" s="3"/>
      <c r="F2417" s="3"/>
    </row>
    <row r="2418" spans="1:6" hidden="1" x14ac:dyDescent="0.3">
      <c r="A2418" s="7" t="str">
        <f>BD_ControlRegimen[[#This Row],[FECHA]]&amp;BD_ControlRegimen[[#This Row],[NOMBRE]]</f>
        <v>45142RAMIREZ ROMERO PAUL</v>
      </c>
      <c r="B2418" s="83">
        <f>WEEKNUM(BD_ControlRegimen[[#This Row],[FECHA]],2)</f>
        <v>32</v>
      </c>
      <c r="C2418" s="7">
        <v>45142</v>
      </c>
      <c r="D2418" s="3" t="s">
        <v>75</v>
      </c>
      <c r="E2418" s="3"/>
      <c r="F2418" s="3"/>
    </row>
    <row r="2419" spans="1:6" hidden="1" x14ac:dyDescent="0.3">
      <c r="A2419" s="7" t="str">
        <f>BD_ControlRegimen[[#This Row],[FECHA]]&amp;BD_ControlRegimen[[#This Row],[NOMBRE]]</f>
        <v>45143RAMIREZ ROMERO PAUL</v>
      </c>
      <c r="B2419" s="83">
        <f>WEEKNUM(BD_ControlRegimen[[#This Row],[FECHA]],2)</f>
        <v>32</v>
      </c>
      <c r="C2419" s="7">
        <v>45143</v>
      </c>
      <c r="D2419" s="3" t="s">
        <v>75</v>
      </c>
      <c r="E2419" s="3"/>
      <c r="F2419" s="3"/>
    </row>
    <row r="2420" spans="1:6" hidden="1" x14ac:dyDescent="0.3">
      <c r="A2420" s="7" t="str">
        <f>BD_ControlRegimen[[#This Row],[FECHA]]&amp;BD_ControlRegimen[[#This Row],[NOMBRE]]</f>
        <v>45144RAMIREZ ROMERO PAUL</v>
      </c>
      <c r="B2420" s="83">
        <f>WEEKNUM(BD_ControlRegimen[[#This Row],[FECHA]],2)</f>
        <v>32</v>
      </c>
      <c r="C2420" s="7">
        <v>45144</v>
      </c>
      <c r="D2420" s="3" t="s">
        <v>75</v>
      </c>
      <c r="E2420" s="3"/>
      <c r="F2420" s="3"/>
    </row>
    <row r="2421" spans="1:6" hidden="1" x14ac:dyDescent="0.3">
      <c r="A2421" s="7" t="str">
        <f>BD_ControlRegimen[[#This Row],[FECHA]]&amp;BD_ControlRegimen[[#This Row],[NOMBRE]]</f>
        <v>45145RAMIREZ ROMERO PAUL</v>
      </c>
      <c r="B2421" s="83">
        <f>WEEKNUM(BD_ControlRegimen[[#This Row],[FECHA]],2)</f>
        <v>33</v>
      </c>
      <c r="C2421" s="7">
        <v>45145</v>
      </c>
      <c r="D2421" s="3" t="s">
        <v>75</v>
      </c>
      <c r="E2421" s="3"/>
      <c r="F2421" s="3"/>
    </row>
    <row r="2422" spans="1:6" hidden="1" x14ac:dyDescent="0.3">
      <c r="A2422" s="7" t="str">
        <f>BD_ControlRegimen[[#This Row],[FECHA]]&amp;BD_ControlRegimen[[#This Row],[NOMBRE]]</f>
        <v>45146RAMIREZ ROMERO PAUL</v>
      </c>
      <c r="B2422" s="83">
        <f>WEEKNUM(BD_ControlRegimen[[#This Row],[FECHA]],2)</f>
        <v>33</v>
      </c>
      <c r="C2422" s="7">
        <v>45146</v>
      </c>
      <c r="D2422" s="3" t="s">
        <v>75</v>
      </c>
      <c r="E2422" s="3"/>
      <c r="F2422" s="3"/>
    </row>
    <row r="2423" spans="1:6" hidden="1" x14ac:dyDescent="0.3">
      <c r="A2423" s="7" t="str">
        <f>BD_ControlRegimen[[#This Row],[FECHA]]&amp;BD_ControlRegimen[[#This Row],[NOMBRE]]</f>
        <v>45147RAMIREZ ROMERO PAUL</v>
      </c>
      <c r="B2423" s="83">
        <f>WEEKNUM(BD_ControlRegimen[[#This Row],[FECHA]],2)</f>
        <v>33</v>
      </c>
      <c r="C2423" s="7">
        <v>45147</v>
      </c>
      <c r="D2423" s="3" t="s">
        <v>75</v>
      </c>
      <c r="E2423" s="3"/>
      <c r="F2423" s="3"/>
    </row>
    <row r="2424" spans="1:6" hidden="1" x14ac:dyDescent="0.3">
      <c r="A2424" s="7" t="str">
        <f>BD_ControlRegimen[[#This Row],[FECHA]]&amp;BD_ControlRegimen[[#This Row],[NOMBRE]]</f>
        <v>45148RAMIREZ ROMERO PAUL</v>
      </c>
      <c r="B2424" s="83">
        <f>WEEKNUM(BD_ControlRegimen[[#This Row],[FECHA]],2)</f>
        <v>33</v>
      </c>
      <c r="C2424" s="7">
        <v>45148</v>
      </c>
      <c r="D2424" s="3" t="s">
        <v>75</v>
      </c>
      <c r="E2424" s="3"/>
      <c r="F2424" s="3"/>
    </row>
    <row r="2425" spans="1:6" hidden="1" x14ac:dyDescent="0.3">
      <c r="A2425" s="7" t="str">
        <f>BD_ControlRegimen[[#This Row],[FECHA]]&amp;BD_ControlRegimen[[#This Row],[NOMBRE]]</f>
        <v>45149RAMIREZ ROMERO PAUL</v>
      </c>
      <c r="B2425" s="83">
        <f>WEEKNUM(BD_ControlRegimen[[#This Row],[FECHA]],2)</f>
        <v>33</v>
      </c>
      <c r="C2425" s="7">
        <v>45149</v>
      </c>
      <c r="D2425" s="3" t="s">
        <v>75</v>
      </c>
      <c r="E2425" s="3"/>
      <c r="F2425" s="3"/>
    </row>
    <row r="2426" spans="1:6" hidden="1" x14ac:dyDescent="0.3">
      <c r="A2426" s="7" t="str">
        <f>BD_ControlRegimen[[#This Row],[FECHA]]&amp;BD_ControlRegimen[[#This Row],[NOMBRE]]</f>
        <v>45150RAMIREZ ROMERO PAUL</v>
      </c>
      <c r="B2426" s="83">
        <f>WEEKNUM(BD_ControlRegimen[[#This Row],[FECHA]],2)</f>
        <v>33</v>
      </c>
      <c r="C2426" s="7">
        <v>45150</v>
      </c>
      <c r="D2426" s="3" t="s">
        <v>75</v>
      </c>
      <c r="E2426" s="3"/>
      <c r="F2426" s="3"/>
    </row>
    <row r="2427" spans="1:6" hidden="1" x14ac:dyDescent="0.3">
      <c r="A2427" s="7" t="str">
        <f>BD_ControlRegimen[[#This Row],[FECHA]]&amp;BD_ControlRegimen[[#This Row],[NOMBRE]]</f>
        <v>45151RAMIREZ ROMERO PAUL</v>
      </c>
      <c r="B2427" s="83">
        <f>WEEKNUM(BD_ControlRegimen[[#This Row],[FECHA]],2)</f>
        <v>33</v>
      </c>
      <c r="C2427" s="7">
        <v>45151</v>
      </c>
      <c r="D2427" s="3" t="s">
        <v>75</v>
      </c>
      <c r="E2427" s="3"/>
      <c r="F2427" s="3"/>
    </row>
    <row r="2428" spans="1:6" hidden="1" x14ac:dyDescent="0.3">
      <c r="A2428" s="7" t="str">
        <f>BD_ControlRegimen[[#This Row],[FECHA]]&amp;BD_ControlRegimen[[#This Row],[NOMBRE]]</f>
        <v>45152RAMIREZ ROMERO PAUL</v>
      </c>
      <c r="B2428" s="83">
        <f>WEEKNUM(BD_ControlRegimen[[#This Row],[FECHA]],2)</f>
        <v>34</v>
      </c>
      <c r="C2428" s="7">
        <v>45152</v>
      </c>
      <c r="D2428" s="3" t="s">
        <v>75</v>
      </c>
      <c r="E2428" s="3"/>
      <c r="F2428" s="3"/>
    </row>
    <row r="2429" spans="1:6" hidden="1" x14ac:dyDescent="0.3">
      <c r="A2429" s="7" t="str">
        <f>BD_ControlRegimen[[#This Row],[FECHA]]&amp;BD_ControlRegimen[[#This Row],[NOMBRE]]</f>
        <v>45153RAMIREZ ROMERO PAUL</v>
      </c>
      <c r="B2429" s="83">
        <f>WEEKNUM(BD_ControlRegimen[[#This Row],[FECHA]],2)</f>
        <v>34</v>
      </c>
      <c r="C2429" s="7">
        <v>45153</v>
      </c>
      <c r="D2429" s="3" t="s">
        <v>75</v>
      </c>
      <c r="E2429" s="3"/>
      <c r="F2429" s="3"/>
    </row>
    <row r="2430" spans="1:6" hidden="1" x14ac:dyDescent="0.3">
      <c r="A2430" s="7" t="str">
        <f>BD_ControlRegimen[[#This Row],[FECHA]]&amp;BD_ControlRegimen[[#This Row],[NOMBRE]]</f>
        <v>45154RAMIREZ ROMERO PAUL</v>
      </c>
      <c r="B2430" s="83">
        <f>WEEKNUM(BD_ControlRegimen[[#This Row],[FECHA]],2)</f>
        <v>34</v>
      </c>
      <c r="C2430" s="7">
        <v>45154</v>
      </c>
      <c r="D2430" s="3" t="s">
        <v>75</v>
      </c>
      <c r="E2430" s="3"/>
      <c r="F2430" s="3"/>
    </row>
    <row r="2431" spans="1:6" hidden="1" x14ac:dyDescent="0.3">
      <c r="A2431" s="7" t="str">
        <f>BD_ControlRegimen[[#This Row],[FECHA]]&amp;BD_ControlRegimen[[#This Row],[NOMBRE]]</f>
        <v>45155RAMIREZ ROMERO PAUL</v>
      </c>
      <c r="B2431" s="83">
        <f>WEEKNUM(BD_ControlRegimen[[#This Row],[FECHA]],2)</f>
        <v>34</v>
      </c>
      <c r="C2431" s="7">
        <v>45155</v>
      </c>
      <c r="D2431" s="3" t="s">
        <v>75</v>
      </c>
      <c r="E2431" s="3"/>
      <c r="F2431" s="3"/>
    </row>
    <row r="2432" spans="1:6" hidden="1" x14ac:dyDescent="0.3">
      <c r="A2432" s="7" t="str">
        <f>BD_ControlRegimen[[#This Row],[FECHA]]&amp;BD_ControlRegimen[[#This Row],[NOMBRE]]</f>
        <v>45156RAMIREZ ROMERO PAUL</v>
      </c>
      <c r="B2432" s="83">
        <f>WEEKNUM(BD_ControlRegimen[[#This Row],[FECHA]],2)</f>
        <v>34</v>
      </c>
      <c r="C2432" s="7">
        <v>45156</v>
      </c>
      <c r="D2432" s="3" t="s">
        <v>75</v>
      </c>
      <c r="E2432" s="3"/>
      <c r="F2432" s="3"/>
    </row>
    <row r="2433" spans="1:6" hidden="1" x14ac:dyDescent="0.3">
      <c r="A2433" s="7" t="str">
        <f>BD_ControlRegimen[[#This Row],[FECHA]]&amp;BD_ControlRegimen[[#This Row],[NOMBRE]]</f>
        <v>45157RAMIREZ ROMERO PAUL</v>
      </c>
      <c r="B2433" s="83">
        <f>WEEKNUM(BD_ControlRegimen[[#This Row],[FECHA]],2)</f>
        <v>34</v>
      </c>
      <c r="C2433" s="7">
        <v>45157</v>
      </c>
      <c r="D2433" s="3" t="s">
        <v>75</v>
      </c>
      <c r="E2433" s="3"/>
      <c r="F2433" s="3"/>
    </row>
    <row r="2434" spans="1:6" hidden="1" x14ac:dyDescent="0.3">
      <c r="A2434" s="7" t="str">
        <f>BD_ControlRegimen[[#This Row],[FECHA]]&amp;BD_ControlRegimen[[#This Row],[NOMBRE]]</f>
        <v>45158RAMIREZ ROMERO PAUL</v>
      </c>
      <c r="B2434" s="83">
        <f>WEEKNUM(BD_ControlRegimen[[#This Row],[FECHA]],2)</f>
        <v>34</v>
      </c>
      <c r="C2434" s="7">
        <v>45158</v>
      </c>
      <c r="D2434" s="3" t="s">
        <v>75</v>
      </c>
      <c r="E2434" s="3"/>
      <c r="F2434" s="3"/>
    </row>
    <row r="2435" spans="1:6" hidden="1" x14ac:dyDescent="0.3">
      <c r="A2435" s="7" t="str">
        <f>BD_ControlRegimen[[#This Row],[FECHA]]&amp;BD_ControlRegimen[[#This Row],[NOMBRE]]</f>
        <v>45159RAMIREZ ROMERO PAUL</v>
      </c>
      <c r="B2435" s="83">
        <f>WEEKNUM(BD_ControlRegimen[[#This Row],[FECHA]],2)</f>
        <v>35</v>
      </c>
      <c r="C2435" s="7">
        <v>45159</v>
      </c>
      <c r="D2435" s="3" t="s">
        <v>75</v>
      </c>
      <c r="E2435" s="3"/>
      <c r="F2435" s="3"/>
    </row>
    <row r="2436" spans="1:6" hidden="1" x14ac:dyDescent="0.3">
      <c r="A2436" s="7" t="str">
        <f>BD_ControlRegimen[[#This Row],[FECHA]]&amp;BD_ControlRegimen[[#This Row],[NOMBRE]]</f>
        <v>45160RAMIREZ ROMERO PAUL</v>
      </c>
      <c r="B2436" s="83">
        <f>WEEKNUM(BD_ControlRegimen[[#This Row],[FECHA]],2)</f>
        <v>35</v>
      </c>
      <c r="C2436" s="7">
        <v>45160</v>
      </c>
      <c r="D2436" s="3" t="s">
        <v>75</v>
      </c>
      <c r="E2436" s="3"/>
      <c r="F2436" s="3"/>
    </row>
    <row r="2437" spans="1:6" hidden="1" x14ac:dyDescent="0.3">
      <c r="A2437" s="7" t="str">
        <f>BD_ControlRegimen[[#This Row],[FECHA]]&amp;BD_ControlRegimen[[#This Row],[NOMBRE]]</f>
        <v>45161RAMIREZ ROMERO PAUL</v>
      </c>
      <c r="B2437" s="83">
        <f>WEEKNUM(BD_ControlRegimen[[#This Row],[FECHA]],2)</f>
        <v>35</v>
      </c>
      <c r="C2437" s="7">
        <v>45161</v>
      </c>
      <c r="D2437" s="3" t="s">
        <v>75</v>
      </c>
      <c r="E2437" s="3"/>
      <c r="F2437" s="3"/>
    </row>
    <row r="2438" spans="1:6" hidden="1" x14ac:dyDescent="0.3">
      <c r="A2438" s="7" t="str">
        <f>BD_ControlRegimen[[#This Row],[FECHA]]&amp;BD_ControlRegimen[[#This Row],[NOMBRE]]</f>
        <v>45162RAMIREZ ROMERO PAUL</v>
      </c>
      <c r="B2438" s="83">
        <f>WEEKNUM(BD_ControlRegimen[[#This Row],[FECHA]],2)</f>
        <v>35</v>
      </c>
      <c r="C2438" s="7">
        <v>45162</v>
      </c>
      <c r="D2438" s="3" t="s">
        <v>75</v>
      </c>
      <c r="E2438" s="3"/>
      <c r="F2438" s="3"/>
    </row>
    <row r="2439" spans="1:6" hidden="1" x14ac:dyDescent="0.3">
      <c r="A2439" s="7" t="str">
        <f>BD_ControlRegimen[[#This Row],[FECHA]]&amp;BD_ControlRegimen[[#This Row],[NOMBRE]]</f>
        <v>45163RAMIREZ ROMERO PAUL</v>
      </c>
      <c r="B2439" s="83">
        <f>WEEKNUM(BD_ControlRegimen[[#This Row],[FECHA]],2)</f>
        <v>35</v>
      </c>
      <c r="C2439" s="7">
        <v>45163</v>
      </c>
      <c r="D2439" s="3" t="s">
        <v>75</v>
      </c>
      <c r="E2439" s="3"/>
      <c r="F2439" s="3"/>
    </row>
    <row r="2440" spans="1:6" hidden="1" x14ac:dyDescent="0.3">
      <c r="A2440" s="7" t="str">
        <f>BD_ControlRegimen[[#This Row],[FECHA]]&amp;BD_ControlRegimen[[#This Row],[NOMBRE]]</f>
        <v>45164RAMIREZ ROMERO PAUL</v>
      </c>
      <c r="B2440" s="83">
        <f>WEEKNUM(BD_ControlRegimen[[#This Row],[FECHA]],2)</f>
        <v>35</v>
      </c>
      <c r="C2440" s="7">
        <v>45164</v>
      </c>
      <c r="D2440" s="3" t="s">
        <v>75</v>
      </c>
      <c r="E2440" s="3"/>
      <c r="F2440" s="3"/>
    </row>
    <row r="2441" spans="1:6" hidden="1" x14ac:dyDescent="0.3">
      <c r="A2441" s="7" t="str">
        <f>BD_ControlRegimen[[#This Row],[FECHA]]&amp;BD_ControlRegimen[[#This Row],[NOMBRE]]</f>
        <v>45165RAMIREZ ROMERO PAUL</v>
      </c>
      <c r="B2441" s="83">
        <f>WEEKNUM(BD_ControlRegimen[[#This Row],[FECHA]],2)</f>
        <v>35</v>
      </c>
      <c r="C2441" s="7">
        <v>45165</v>
      </c>
      <c r="D2441" s="3" t="s">
        <v>75</v>
      </c>
      <c r="E2441" s="3"/>
      <c r="F2441" s="3"/>
    </row>
    <row r="2442" spans="1:6" hidden="1" x14ac:dyDescent="0.3">
      <c r="A2442" s="7" t="str">
        <f>BD_ControlRegimen[[#This Row],[FECHA]]&amp;BD_ControlRegimen[[#This Row],[NOMBRE]]</f>
        <v>45166RAMIREZ ROMERO PAUL</v>
      </c>
      <c r="B2442" s="83">
        <f>WEEKNUM(BD_ControlRegimen[[#This Row],[FECHA]],2)</f>
        <v>36</v>
      </c>
      <c r="C2442" s="7">
        <v>45166</v>
      </c>
      <c r="D2442" s="3" t="s">
        <v>75</v>
      </c>
      <c r="E2442" s="3"/>
      <c r="F2442" s="3"/>
    </row>
    <row r="2443" spans="1:6" hidden="1" x14ac:dyDescent="0.3">
      <c r="A2443" s="7" t="str">
        <f>BD_ControlRegimen[[#This Row],[FECHA]]&amp;BD_ControlRegimen[[#This Row],[NOMBRE]]</f>
        <v>45167RAMIREZ ROMERO PAUL</v>
      </c>
      <c r="B2443" s="83">
        <f>WEEKNUM(BD_ControlRegimen[[#This Row],[FECHA]],2)</f>
        <v>36</v>
      </c>
      <c r="C2443" s="7">
        <v>45167</v>
      </c>
      <c r="D2443" s="3" t="s">
        <v>75</v>
      </c>
      <c r="E2443" s="3"/>
      <c r="F2443" s="3"/>
    </row>
    <row r="2444" spans="1:6" hidden="1" x14ac:dyDescent="0.3">
      <c r="A2444" s="7" t="str">
        <f>BD_ControlRegimen[[#This Row],[FECHA]]&amp;BD_ControlRegimen[[#This Row],[NOMBRE]]</f>
        <v>45168RAMIREZ ROMERO PAUL</v>
      </c>
      <c r="B2444" s="83">
        <f>WEEKNUM(BD_ControlRegimen[[#This Row],[FECHA]],2)</f>
        <v>36</v>
      </c>
      <c r="C2444" s="7">
        <v>45168</v>
      </c>
      <c r="D2444" s="3" t="s">
        <v>75</v>
      </c>
      <c r="E2444" s="3"/>
      <c r="F2444" s="3"/>
    </row>
    <row r="2445" spans="1:6" hidden="1" x14ac:dyDescent="0.3">
      <c r="A2445" s="7" t="str">
        <f>BD_ControlRegimen[[#This Row],[FECHA]]&amp;BD_ControlRegimen[[#This Row],[NOMBRE]]</f>
        <v>45169RAMIREZ ROMERO PAUL</v>
      </c>
      <c r="B2445" s="83">
        <f>WEEKNUM(BD_ControlRegimen[[#This Row],[FECHA]],2)</f>
        <v>36</v>
      </c>
      <c r="C2445" s="7">
        <v>45169</v>
      </c>
      <c r="D2445" s="3" t="s">
        <v>75</v>
      </c>
      <c r="E2445" s="3"/>
      <c r="F2445" s="3"/>
    </row>
    <row r="2446" spans="1:6" hidden="1" x14ac:dyDescent="0.3">
      <c r="A2446" s="7" t="str">
        <f>BD_ControlRegimen[[#This Row],[FECHA]]&amp;BD_ControlRegimen[[#This Row],[NOMBRE]]</f>
        <v>45170RAMIREZ ROMERO PAUL</v>
      </c>
      <c r="B2446" s="83">
        <f>WEEKNUM(BD_ControlRegimen[[#This Row],[FECHA]],2)</f>
        <v>36</v>
      </c>
      <c r="C2446" s="7">
        <v>45170</v>
      </c>
      <c r="D2446" s="3" t="s">
        <v>75</v>
      </c>
      <c r="E2446" s="3"/>
      <c r="F2446" s="3"/>
    </row>
    <row r="2447" spans="1:6" hidden="1" x14ac:dyDescent="0.3">
      <c r="A2447" s="7" t="str">
        <f>BD_ControlRegimen[[#This Row],[FECHA]]&amp;BD_ControlRegimen[[#This Row],[NOMBRE]]</f>
        <v>45171RAMIREZ ROMERO PAUL</v>
      </c>
      <c r="B2447" s="83">
        <f>WEEKNUM(BD_ControlRegimen[[#This Row],[FECHA]],2)</f>
        <v>36</v>
      </c>
      <c r="C2447" s="7">
        <v>45171</v>
      </c>
      <c r="D2447" s="3" t="s">
        <v>75</v>
      </c>
      <c r="E2447" s="3"/>
      <c r="F2447" s="3"/>
    </row>
    <row r="2448" spans="1:6" hidden="1" x14ac:dyDescent="0.3">
      <c r="A2448" s="7" t="str">
        <f>BD_ControlRegimen[[#This Row],[FECHA]]&amp;BD_ControlRegimen[[#This Row],[NOMBRE]]</f>
        <v>45172RAMIREZ ROMERO PAUL</v>
      </c>
      <c r="B2448" s="83">
        <f>WEEKNUM(BD_ControlRegimen[[#This Row],[FECHA]],2)</f>
        <v>36</v>
      </c>
      <c r="C2448" s="7">
        <v>45172</v>
      </c>
      <c r="D2448" s="3" t="s">
        <v>75</v>
      </c>
      <c r="E2448" s="3"/>
      <c r="F2448" s="3"/>
    </row>
    <row r="2449" spans="1:6" hidden="1" x14ac:dyDescent="0.3">
      <c r="A2449" s="7" t="str">
        <f>BD_ControlRegimen[[#This Row],[FECHA]]&amp;BD_ControlRegimen[[#This Row],[NOMBRE]]</f>
        <v>45173RAMIREZ ROMERO PAUL</v>
      </c>
      <c r="B2449" s="83">
        <f>WEEKNUM(BD_ControlRegimen[[#This Row],[FECHA]],2)</f>
        <v>37</v>
      </c>
      <c r="C2449" s="7">
        <v>45173</v>
      </c>
      <c r="D2449" s="3" t="s">
        <v>75</v>
      </c>
      <c r="E2449" s="3"/>
      <c r="F2449" s="3"/>
    </row>
    <row r="2450" spans="1:6" hidden="1" x14ac:dyDescent="0.3">
      <c r="A2450" s="7" t="str">
        <f>BD_ControlRegimen[[#This Row],[FECHA]]&amp;BD_ControlRegimen[[#This Row],[NOMBRE]]</f>
        <v>45174RAMIREZ ROMERO PAUL</v>
      </c>
      <c r="B2450" s="83">
        <f>WEEKNUM(BD_ControlRegimen[[#This Row],[FECHA]],2)</f>
        <v>37</v>
      </c>
      <c r="C2450" s="7">
        <v>45174</v>
      </c>
      <c r="D2450" s="3" t="s">
        <v>75</v>
      </c>
      <c r="E2450" s="3"/>
      <c r="F2450" s="3"/>
    </row>
    <row r="2451" spans="1:6" hidden="1" x14ac:dyDescent="0.3">
      <c r="A2451" s="7" t="str">
        <f>BD_ControlRegimen[[#This Row],[FECHA]]&amp;BD_ControlRegimen[[#This Row],[NOMBRE]]</f>
        <v>45175RAMIREZ ROMERO PAUL</v>
      </c>
      <c r="B2451" s="83">
        <f>WEEKNUM(BD_ControlRegimen[[#This Row],[FECHA]],2)</f>
        <v>37</v>
      </c>
      <c r="C2451" s="7">
        <v>45175</v>
      </c>
      <c r="D2451" s="3" t="s">
        <v>75</v>
      </c>
      <c r="E2451" s="3"/>
      <c r="F2451" s="3"/>
    </row>
    <row r="2452" spans="1:6" hidden="1" x14ac:dyDescent="0.3">
      <c r="A2452" s="7" t="str">
        <f>BD_ControlRegimen[[#This Row],[FECHA]]&amp;BD_ControlRegimen[[#This Row],[NOMBRE]]</f>
        <v>45176RAMIREZ ROMERO PAUL</v>
      </c>
      <c r="B2452" s="83">
        <f>WEEKNUM(BD_ControlRegimen[[#This Row],[FECHA]],2)</f>
        <v>37</v>
      </c>
      <c r="C2452" s="7">
        <v>45176</v>
      </c>
      <c r="D2452" s="3" t="s">
        <v>75</v>
      </c>
      <c r="E2452" s="3"/>
      <c r="F2452" s="3"/>
    </row>
    <row r="2453" spans="1:6" hidden="1" x14ac:dyDescent="0.3">
      <c r="A2453" s="7" t="str">
        <f>BD_ControlRegimen[[#This Row],[FECHA]]&amp;BD_ControlRegimen[[#This Row],[NOMBRE]]</f>
        <v>45177RAMIREZ ROMERO PAUL</v>
      </c>
      <c r="B2453" s="83">
        <f>WEEKNUM(BD_ControlRegimen[[#This Row],[FECHA]],2)</f>
        <v>37</v>
      </c>
      <c r="C2453" s="7">
        <v>45177</v>
      </c>
      <c r="D2453" s="3" t="s">
        <v>75</v>
      </c>
      <c r="E2453" s="3"/>
      <c r="F2453" s="3"/>
    </row>
    <row r="2454" spans="1:6" hidden="1" x14ac:dyDescent="0.3">
      <c r="A2454" s="7" t="str">
        <f>BD_ControlRegimen[[#This Row],[FECHA]]&amp;BD_ControlRegimen[[#This Row],[NOMBRE]]</f>
        <v>45178RAMIREZ ROMERO PAUL</v>
      </c>
      <c r="B2454" s="83">
        <f>WEEKNUM(BD_ControlRegimen[[#This Row],[FECHA]],2)</f>
        <v>37</v>
      </c>
      <c r="C2454" s="7">
        <v>45178</v>
      </c>
      <c r="D2454" s="3" t="s">
        <v>75</v>
      </c>
      <c r="E2454" s="3"/>
      <c r="F2454" s="3"/>
    </row>
    <row r="2455" spans="1:6" hidden="1" x14ac:dyDescent="0.3">
      <c r="A2455" s="7" t="str">
        <f>BD_ControlRegimen[[#This Row],[FECHA]]&amp;BD_ControlRegimen[[#This Row],[NOMBRE]]</f>
        <v>45179RAMIREZ ROMERO PAUL</v>
      </c>
      <c r="B2455" s="83">
        <f>WEEKNUM(BD_ControlRegimen[[#This Row],[FECHA]],2)</f>
        <v>37</v>
      </c>
      <c r="C2455" s="7">
        <v>45179</v>
      </c>
      <c r="D2455" s="3" t="s">
        <v>75</v>
      </c>
      <c r="E2455" s="3"/>
      <c r="F2455" s="3"/>
    </row>
    <row r="2456" spans="1:6" hidden="1" x14ac:dyDescent="0.3">
      <c r="A2456" s="7" t="str">
        <f>BD_ControlRegimen[[#This Row],[FECHA]]&amp;BD_ControlRegimen[[#This Row],[NOMBRE]]</f>
        <v>45180RAMIREZ ROMERO PAUL</v>
      </c>
      <c r="B2456" s="83">
        <f>WEEKNUM(BD_ControlRegimen[[#This Row],[FECHA]],2)</f>
        <v>38</v>
      </c>
      <c r="C2456" s="7">
        <v>45180</v>
      </c>
      <c r="D2456" s="3" t="s">
        <v>75</v>
      </c>
      <c r="E2456" s="3"/>
      <c r="F2456" s="3"/>
    </row>
    <row r="2457" spans="1:6" hidden="1" x14ac:dyDescent="0.3">
      <c r="A2457" s="7" t="str">
        <f>BD_ControlRegimen[[#This Row],[FECHA]]&amp;BD_ControlRegimen[[#This Row],[NOMBRE]]</f>
        <v>45181RAMIREZ ROMERO PAUL</v>
      </c>
      <c r="B2457" s="83">
        <f>WEEKNUM(BD_ControlRegimen[[#This Row],[FECHA]],2)</f>
        <v>38</v>
      </c>
      <c r="C2457" s="7">
        <v>45181</v>
      </c>
      <c r="D2457" s="3" t="s">
        <v>75</v>
      </c>
      <c r="E2457" s="3"/>
      <c r="F2457" s="3"/>
    </row>
    <row r="2458" spans="1:6" hidden="1" x14ac:dyDescent="0.3">
      <c r="A2458" s="7" t="str">
        <f>BD_ControlRegimen[[#This Row],[FECHA]]&amp;BD_ControlRegimen[[#This Row],[NOMBRE]]</f>
        <v>45182RAMIREZ ROMERO PAUL</v>
      </c>
      <c r="B2458" s="83">
        <f>WEEKNUM(BD_ControlRegimen[[#This Row],[FECHA]],2)</f>
        <v>38</v>
      </c>
      <c r="C2458" s="7">
        <v>45182</v>
      </c>
      <c r="D2458" s="3" t="s">
        <v>75</v>
      </c>
      <c r="E2458" s="3"/>
      <c r="F2458" s="3"/>
    </row>
    <row r="2459" spans="1:6" hidden="1" x14ac:dyDescent="0.3">
      <c r="A2459" s="7" t="str">
        <f>BD_ControlRegimen[[#This Row],[FECHA]]&amp;BD_ControlRegimen[[#This Row],[NOMBRE]]</f>
        <v>45183RAMIREZ ROMERO PAUL</v>
      </c>
      <c r="B2459" s="83">
        <f>WEEKNUM(BD_ControlRegimen[[#This Row],[FECHA]],2)</f>
        <v>38</v>
      </c>
      <c r="C2459" s="7">
        <v>45183</v>
      </c>
      <c r="D2459" s="3" t="s">
        <v>75</v>
      </c>
      <c r="E2459" s="3"/>
      <c r="F2459" s="3"/>
    </row>
    <row r="2460" spans="1:6" hidden="1" x14ac:dyDescent="0.3">
      <c r="A2460" s="7" t="str">
        <f>BD_ControlRegimen[[#This Row],[FECHA]]&amp;BD_ControlRegimen[[#This Row],[NOMBRE]]</f>
        <v>45184RAMIREZ ROMERO PAUL</v>
      </c>
      <c r="B2460" s="83">
        <f>WEEKNUM(BD_ControlRegimen[[#This Row],[FECHA]],2)</f>
        <v>38</v>
      </c>
      <c r="C2460" s="7">
        <v>45184</v>
      </c>
      <c r="D2460" s="3" t="s">
        <v>75</v>
      </c>
      <c r="E2460" s="3"/>
      <c r="F2460" s="3"/>
    </row>
    <row r="2461" spans="1:6" hidden="1" x14ac:dyDescent="0.3">
      <c r="A2461" s="7" t="str">
        <f>BD_ControlRegimen[[#This Row],[FECHA]]&amp;BD_ControlRegimen[[#This Row],[NOMBRE]]</f>
        <v>45185RAMIREZ ROMERO PAUL</v>
      </c>
      <c r="B2461" s="83">
        <f>WEEKNUM(BD_ControlRegimen[[#This Row],[FECHA]],2)</f>
        <v>38</v>
      </c>
      <c r="C2461" s="7">
        <v>45185</v>
      </c>
      <c r="D2461" s="3" t="s">
        <v>75</v>
      </c>
      <c r="E2461" s="3"/>
      <c r="F2461" s="3"/>
    </row>
    <row r="2462" spans="1:6" hidden="1" x14ac:dyDescent="0.3">
      <c r="A2462" s="7" t="str">
        <f>BD_ControlRegimen[[#This Row],[FECHA]]&amp;BD_ControlRegimen[[#This Row],[NOMBRE]]</f>
        <v>45186RAMIREZ ROMERO PAUL</v>
      </c>
      <c r="B2462" s="83">
        <f>WEEKNUM(BD_ControlRegimen[[#This Row],[FECHA]],2)</f>
        <v>38</v>
      </c>
      <c r="C2462" s="7">
        <v>45186</v>
      </c>
      <c r="D2462" s="3" t="s">
        <v>75</v>
      </c>
      <c r="E2462" s="3"/>
      <c r="F2462" s="3"/>
    </row>
    <row r="2463" spans="1:6" hidden="1" x14ac:dyDescent="0.3">
      <c r="A2463" s="7" t="str">
        <f>BD_ControlRegimen[[#This Row],[FECHA]]&amp;BD_ControlRegimen[[#This Row],[NOMBRE]]</f>
        <v>45187RAMIREZ ROMERO PAUL</v>
      </c>
      <c r="B2463" s="83">
        <f>WEEKNUM(BD_ControlRegimen[[#This Row],[FECHA]],2)</f>
        <v>39</v>
      </c>
      <c r="C2463" s="7">
        <v>45187</v>
      </c>
      <c r="D2463" s="3" t="s">
        <v>75</v>
      </c>
      <c r="E2463" s="3"/>
      <c r="F2463" s="3"/>
    </row>
    <row r="2464" spans="1:6" hidden="1" x14ac:dyDescent="0.3">
      <c r="A2464" s="7" t="str">
        <f>BD_ControlRegimen[[#This Row],[FECHA]]&amp;BD_ControlRegimen[[#This Row],[NOMBRE]]</f>
        <v>45188RAMIREZ ROMERO PAUL</v>
      </c>
      <c r="B2464" s="83">
        <f>WEEKNUM(BD_ControlRegimen[[#This Row],[FECHA]],2)</f>
        <v>39</v>
      </c>
      <c r="C2464" s="7">
        <v>45188</v>
      </c>
      <c r="D2464" s="3" t="s">
        <v>75</v>
      </c>
      <c r="E2464" s="3"/>
      <c r="F2464" s="3"/>
    </row>
    <row r="2465" spans="1:6" hidden="1" x14ac:dyDescent="0.3">
      <c r="A2465" s="7" t="str">
        <f>BD_ControlRegimen[[#This Row],[FECHA]]&amp;BD_ControlRegimen[[#This Row],[NOMBRE]]</f>
        <v>45189RAMIREZ ROMERO PAUL</v>
      </c>
      <c r="B2465" s="83">
        <f>WEEKNUM(BD_ControlRegimen[[#This Row],[FECHA]],2)</f>
        <v>39</v>
      </c>
      <c r="C2465" s="7">
        <v>45189</v>
      </c>
      <c r="D2465" s="3" t="s">
        <v>75</v>
      </c>
      <c r="E2465" s="3"/>
      <c r="F2465" s="3"/>
    </row>
    <row r="2466" spans="1:6" hidden="1" x14ac:dyDescent="0.3">
      <c r="A2466" s="7" t="str">
        <f>BD_ControlRegimen[[#This Row],[FECHA]]&amp;BD_ControlRegimen[[#This Row],[NOMBRE]]</f>
        <v>45190RAMIREZ ROMERO PAUL</v>
      </c>
      <c r="B2466" s="83">
        <f>WEEKNUM(BD_ControlRegimen[[#This Row],[FECHA]],2)</f>
        <v>39</v>
      </c>
      <c r="C2466" s="7">
        <v>45190</v>
      </c>
      <c r="D2466" s="3" t="s">
        <v>75</v>
      </c>
      <c r="E2466" s="3"/>
      <c r="F2466" s="3"/>
    </row>
    <row r="2467" spans="1:6" hidden="1" x14ac:dyDescent="0.3">
      <c r="A2467" s="7" t="str">
        <f>BD_ControlRegimen[[#This Row],[FECHA]]&amp;BD_ControlRegimen[[#This Row],[NOMBRE]]</f>
        <v>45191RAMIREZ ROMERO PAUL</v>
      </c>
      <c r="B2467" s="83">
        <f>WEEKNUM(BD_ControlRegimen[[#This Row],[FECHA]],2)</f>
        <v>39</v>
      </c>
      <c r="C2467" s="7">
        <v>45191</v>
      </c>
      <c r="D2467" s="3" t="s">
        <v>75</v>
      </c>
      <c r="E2467" s="3"/>
      <c r="F2467" s="3"/>
    </row>
    <row r="2468" spans="1:6" hidden="1" x14ac:dyDescent="0.3">
      <c r="A2468" s="7" t="str">
        <f>BD_ControlRegimen[[#This Row],[FECHA]]&amp;BD_ControlRegimen[[#This Row],[NOMBRE]]</f>
        <v>45192RAMIREZ ROMERO PAUL</v>
      </c>
      <c r="B2468" s="83">
        <f>WEEKNUM(BD_ControlRegimen[[#This Row],[FECHA]],2)</f>
        <v>39</v>
      </c>
      <c r="C2468" s="7">
        <v>45192</v>
      </c>
      <c r="D2468" s="3" t="s">
        <v>75</v>
      </c>
      <c r="E2468" s="3"/>
      <c r="F2468" s="3"/>
    </row>
    <row r="2469" spans="1:6" hidden="1" x14ac:dyDescent="0.3">
      <c r="A2469" s="7" t="str">
        <f>BD_ControlRegimen[[#This Row],[FECHA]]&amp;BD_ControlRegimen[[#This Row],[NOMBRE]]</f>
        <v>45193RAMIREZ ROMERO PAUL</v>
      </c>
      <c r="B2469" s="83">
        <f>WEEKNUM(BD_ControlRegimen[[#This Row],[FECHA]],2)</f>
        <v>39</v>
      </c>
      <c r="C2469" s="7">
        <v>45193</v>
      </c>
      <c r="D2469" s="3" t="s">
        <v>75</v>
      </c>
      <c r="E2469" s="3"/>
      <c r="F2469" s="3"/>
    </row>
    <row r="2470" spans="1:6" hidden="1" x14ac:dyDescent="0.3">
      <c r="A2470" s="7" t="str">
        <f>BD_ControlRegimen[[#This Row],[FECHA]]&amp;BD_ControlRegimen[[#This Row],[NOMBRE]]</f>
        <v>45194RAMIREZ ROMERO PAUL</v>
      </c>
      <c r="B2470" s="83">
        <f>WEEKNUM(BD_ControlRegimen[[#This Row],[FECHA]],2)</f>
        <v>40</v>
      </c>
      <c r="C2470" s="7">
        <v>45194</v>
      </c>
      <c r="D2470" s="3" t="s">
        <v>75</v>
      </c>
      <c r="E2470" s="3"/>
      <c r="F2470" s="3"/>
    </row>
    <row r="2471" spans="1:6" hidden="1" x14ac:dyDescent="0.3">
      <c r="A2471" s="7" t="str">
        <f>BD_ControlRegimen[[#This Row],[FECHA]]&amp;BD_ControlRegimen[[#This Row],[NOMBRE]]</f>
        <v>45195RAMIREZ ROMERO PAUL</v>
      </c>
      <c r="B2471" s="83">
        <f>WEEKNUM(BD_ControlRegimen[[#This Row],[FECHA]],2)</f>
        <v>40</v>
      </c>
      <c r="C2471" s="7">
        <v>45195</v>
      </c>
      <c r="D2471" s="3" t="s">
        <v>75</v>
      </c>
      <c r="E2471" s="3"/>
      <c r="F2471" s="3"/>
    </row>
    <row r="2472" spans="1:6" hidden="1" x14ac:dyDescent="0.3">
      <c r="A2472" s="7" t="str">
        <f>BD_ControlRegimen[[#This Row],[FECHA]]&amp;BD_ControlRegimen[[#This Row],[NOMBRE]]</f>
        <v>45196RAMIREZ ROMERO PAUL</v>
      </c>
      <c r="B2472" s="83">
        <f>WEEKNUM(BD_ControlRegimen[[#This Row],[FECHA]],2)</f>
        <v>40</v>
      </c>
      <c r="C2472" s="7">
        <v>45196</v>
      </c>
      <c r="D2472" s="3" t="s">
        <v>75</v>
      </c>
      <c r="E2472" s="3"/>
      <c r="F2472" s="3"/>
    </row>
    <row r="2473" spans="1:6" hidden="1" x14ac:dyDescent="0.3">
      <c r="A2473" s="7" t="str">
        <f>BD_ControlRegimen[[#This Row],[FECHA]]&amp;BD_ControlRegimen[[#This Row],[NOMBRE]]</f>
        <v>45197RAMIREZ ROMERO PAUL</v>
      </c>
      <c r="B2473" s="83">
        <f>WEEKNUM(BD_ControlRegimen[[#This Row],[FECHA]],2)</f>
        <v>40</v>
      </c>
      <c r="C2473" s="7">
        <v>45197</v>
      </c>
      <c r="D2473" s="3" t="s">
        <v>75</v>
      </c>
      <c r="E2473" s="3"/>
      <c r="F2473" s="3"/>
    </row>
    <row r="2474" spans="1:6" hidden="1" x14ac:dyDescent="0.3">
      <c r="A2474" s="7" t="str">
        <f>BD_ControlRegimen[[#This Row],[FECHA]]&amp;BD_ControlRegimen[[#This Row],[NOMBRE]]</f>
        <v>45198RAMIREZ ROMERO PAUL</v>
      </c>
      <c r="B2474" s="83">
        <f>WEEKNUM(BD_ControlRegimen[[#This Row],[FECHA]],2)</f>
        <v>40</v>
      </c>
      <c r="C2474" s="7">
        <v>45198</v>
      </c>
      <c r="D2474" s="3" t="s">
        <v>75</v>
      </c>
      <c r="E2474" s="3"/>
      <c r="F2474" s="3"/>
    </row>
    <row r="2475" spans="1:6" hidden="1" x14ac:dyDescent="0.3">
      <c r="A2475" s="7" t="str">
        <f>BD_ControlRegimen[[#This Row],[FECHA]]&amp;BD_ControlRegimen[[#This Row],[NOMBRE]]</f>
        <v>45199RAMIREZ ROMERO PAUL</v>
      </c>
      <c r="B2475" s="83">
        <f>WEEKNUM(BD_ControlRegimen[[#This Row],[FECHA]],2)</f>
        <v>40</v>
      </c>
      <c r="C2475" s="7">
        <v>45199</v>
      </c>
      <c r="D2475" s="3" t="s">
        <v>75</v>
      </c>
      <c r="E2475" s="3"/>
      <c r="F2475" s="3"/>
    </row>
    <row r="2476" spans="1:6" hidden="1" x14ac:dyDescent="0.3">
      <c r="A2476" s="7" t="str">
        <f>BD_ControlRegimen[[#This Row],[FECHA]]&amp;BD_ControlRegimen[[#This Row],[NOMBRE]]</f>
        <v>45200RAMIREZ ROMERO PAUL</v>
      </c>
      <c r="B2476" s="83">
        <f>WEEKNUM(BD_ControlRegimen[[#This Row],[FECHA]],2)</f>
        <v>40</v>
      </c>
      <c r="C2476" s="7">
        <v>45200</v>
      </c>
      <c r="D2476" s="3" t="s">
        <v>75</v>
      </c>
      <c r="E2476" s="3"/>
      <c r="F2476" s="3"/>
    </row>
    <row r="2477" spans="1:6" hidden="1" x14ac:dyDescent="0.3">
      <c r="A2477" s="7" t="str">
        <f>BD_ControlRegimen[[#This Row],[FECHA]]&amp;BD_ControlRegimen[[#This Row],[NOMBRE]]</f>
        <v>45201RAMIREZ ROMERO PAUL</v>
      </c>
      <c r="B2477" s="83">
        <f>WEEKNUM(BD_ControlRegimen[[#This Row],[FECHA]],2)</f>
        <v>41</v>
      </c>
      <c r="C2477" s="7">
        <v>45201</v>
      </c>
      <c r="D2477" s="3" t="s">
        <v>75</v>
      </c>
      <c r="E2477" s="3"/>
      <c r="F2477" s="3"/>
    </row>
    <row r="2478" spans="1:6" hidden="1" x14ac:dyDescent="0.3">
      <c r="A2478" s="7" t="str">
        <f>BD_ControlRegimen[[#This Row],[FECHA]]&amp;BD_ControlRegimen[[#This Row],[NOMBRE]]</f>
        <v>45202RAMIREZ ROMERO PAUL</v>
      </c>
      <c r="B2478" s="83">
        <f>WEEKNUM(BD_ControlRegimen[[#This Row],[FECHA]],2)</f>
        <v>41</v>
      </c>
      <c r="C2478" s="7">
        <v>45202</v>
      </c>
      <c r="D2478" s="3" t="s">
        <v>75</v>
      </c>
      <c r="E2478" s="3"/>
      <c r="F2478" s="3"/>
    </row>
    <row r="2479" spans="1:6" hidden="1" x14ac:dyDescent="0.3">
      <c r="A2479" s="7" t="str">
        <f>BD_ControlRegimen[[#This Row],[FECHA]]&amp;BD_ControlRegimen[[#This Row],[NOMBRE]]</f>
        <v>45203RAMIREZ ROMERO PAUL</v>
      </c>
      <c r="B2479" s="83">
        <f>WEEKNUM(BD_ControlRegimen[[#This Row],[FECHA]],2)</f>
        <v>41</v>
      </c>
      <c r="C2479" s="7">
        <v>45203</v>
      </c>
      <c r="D2479" s="3" t="s">
        <v>75</v>
      </c>
      <c r="E2479" s="3"/>
      <c r="F2479" s="3"/>
    </row>
    <row r="2480" spans="1:6" hidden="1" x14ac:dyDescent="0.3">
      <c r="A2480" s="7" t="str">
        <f>BD_ControlRegimen[[#This Row],[FECHA]]&amp;BD_ControlRegimen[[#This Row],[NOMBRE]]</f>
        <v>45204RAMIREZ ROMERO PAUL</v>
      </c>
      <c r="B2480" s="83">
        <f>WEEKNUM(BD_ControlRegimen[[#This Row],[FECHA]],2)</f>
        <v>41</v>
      </c>
      <c r="C2480" s="7">
        <v>45204</v>
      </c>
      <c r="D2480" s="3" t="s">
        <v>75</v>
      </c>
      <c r="E2480" s="3"/>
      <c r="F2480" s="3"/>
    </row>
    <row r="2481" spans="1:6" hidden="1" x14ac:dyDescent="0.3">
      <c r="A2481" s="7" t="str">
        <f>BD_ControlRegimen[[#This Row],[FECHA]]&amp;BD_ControlRegimen[[#This Row],[NOMBRE]]</f>
        <v>45205RAMIREZ ROMERO PAUL</v>
      </c>
      <c r="B2481" s="83">
        <f>WEEKNUM(BD_ControlRegimen[[#This Row],[FECHA]],2)</f>
        <v>41</v>
      </c>
      <c r="C2481" s="7">
        <v>45205</v>
      </c>
      <c r="D2481" s="3" t="s">
        <v>75</v>
      </c>
      <c r="E2481" s="3"/>
      <c r="F2481" s="3"/>
    </row>
    <row r="2482" spans="1:6" hidden="1" x14ac:dyDescent="0.3">
      <c r="A2482" s="7" t="str">
        <f>BD_ControlRegimen[[#This Row],[FECHA]]&amp;BD_ControlRegimen[[#This Row],[NOMBRE]]</f>
        <v>45206RAMIREZ ROMERO PAUL</v>
      </c>
      <c r="B2482" s="83">
        <f>WEEKNUM(BD_ControlRegimen[[#This Row],[FECHA]],2)</f>
        <v>41</v>
      </c>
      <c r="C2482" s="7">
        <v>45206</v>
      </c>
      <c r="D2482" s="3" t="s">
        <v>75</v>
      </c>
      <c r="E2482" s="3"/>
      <c r="F2482" s="3"/>
    </row>
    <row r="2483" spans="1:6" hidden="1" x14ac:dyDescent="0.3">
      <c r="A2483" s="7" t="str">
        <f>BD_ControlRegimen[[#This Row],[FECHA]]&amp;BD_ControlRegimen[[#This Row],[NOMBRE]]</f>
        <v>45207RAMIREZ ROMERO PAUL</v>
      </c>
      <c r="B2483" s="83">
        <f>WEEKNUM(BD_ControlRegimen[[#This Row],[FECHA]],2)</f>
        <v>41</v>
      </c>
      <c r="C2483" s="7">
        <v>45207</v>
      </c>
      <c r="D2483" s="3" t="s">
        <v>75</v>
      </c>
      <c r="E2483" s="3"/>
      <c r="F2483" s="3"/>
    </row>
    <row r="2484" spans="1:6" hidden="1" x14ac:dyDescent="0.3">
      <c r="A2484" s="7" t="str">
        <f>BD_ControlRegimen[[#This Row],[FECHA]]&amp;BD_ControlRegimen[[#This Row],[NOMBRE]]</f>
        <v>45208RAMIREZ ROMERO PAUL</v>
      </c>
      <c r="B2484" s="83">
        <f>WEEKNUM(BD_ControlRegimen[[#This Row],[FECHA]],2)</f>
        <v>42</v>
      </c>
      <c r="C2484" s="7">
        <v>45208</v>
      </c>
      <c r="D2484" s="3" t="s">
        <v>75</v>
      </c>
      <c r="E2484" s="3"/>
      <c r="F2484" s="3"/>
    </row>
    <row r="2485" spans="1:6" hidden="1" x14ac:dyDescent="0.3">
      <c r="A2485" s="7" t="str">
        <f>BD_ControlRegimen[[#This Row],[FECHA]]&amp;BD_ControlRegimen[[#This Row],[NOMBRE]]</f>
        <v>45209RAMIREZ ROMERO PAUL</v>
      </c>
      <c r="B2485" s="83">
        <f>WEEKNUM(BD_ControlRegimen[[#This Row],[FECHA]],2)</f>
        <v>42</v>
      </c>
      <c r="C2485" s="7">
        <v>45209</v>
      </c>
      <c r="D2485" s="3" t="s">
        <v>75</v>
      </c>
      <c r="E2485" s="3"/>
      <c r="F2485" s="3"/>
    </row>
    <row r="2486" spans="1:6" hidden="1" x14ac:dyDescent="0.3">
      <c r="A2486" s="7" t="str">
        <f>BD_ControlRegimen[[#This Row],[FECHA]]&amp;BD_ControlRegimen[[#This Row],[NOMBRE]]</f>
        <v>45210RAMIREZ ROMERO PAUL</v>
      </c>
      <c r="B2486" s="83">
        <f>WEEKNUM(BD_ControlRegimen[[#This Row],[FECHA]],2)</f>
        <v>42</v>
      </c>
      <c r="C2486" s="7">
        <v>45210</v>
      </c>
      <c r="D2486" s="3" t="s">
        <v>75</v>
      </c>
      <c r="E2486" s="3"/>
      <c r="F2486" s="3"/>
    </row>
    <row r="2487" spans="1:6" hidden="1" x14ac:dyDescent="0.3">
      <c r="A2487" s="7" t="str">
        <f>BD_ControlRegimen[[#This Row],[FECHA]]&amp;BD_ControlRegimen[[#This Row],[NOMBRE]]</f>
        <v>45211RAMIREZ ROMERO PAUL</v>
      </c>
      <c r="B2487" s="83">
        <f>WEEKNUM(BD_ControlRegimen[[#This Row],[FECHA]],2)</f>
        <v>42</v>
      </c>
      <c r="C2487" s="7">
        <v>45211</v>
      </c>
      <c r="D2487" s="3" t="s">
        <v>75</v>
      </c>
      <c r="E2487" s="3"/>
      <c r="F2487" s="3"/>
    </row>
    <row r="2488" spans="1:6" hidden="1" x14ac:dyDescent="0.3">
      <c r="A2488" s="7" t="str">
        <f>BD_ControlRegimen[[#This Row],[FECHA]]&amp;BD_ControlRegimen[[#This Row],[NOMBRE]]</f>
        <v>45212RAMIREZ ROMERO PAUL</v>
      </c>
      <c r="B2488" s="83">
        <f>WEEKNUM(BD_ControlRegimen[[#This Row],[FECHA]],2)</f>
        <v>42</v>
      </c>
      <c r="C2488" s="7">
        <v>45212</v>
      </c>
      <c r="D2488" s="3" t="s">
        <v>75</v>
      </c>
      <c r="E2488" s="3"/>
      <c r="F2488" s="3"/>
    </row>
    <row r="2489" spans="1:6" hidden="1" x14ac:dyDescent="0.3">
      <c r="A2489" s="7" t="str">
        <f>BD_ControlRegimen[[#This Row],[FECHA]]&amp;BD_ControlRegimen[[#This Row],[NOMBRE]]</f>
        <v>45213RAMIREZ ROMERO PAUL</v>
      </c>
      <c r="B2489" s="83">
        <f>WEEKNUM(BD_ControlRegimen[[#This Row],[FECHA]],2)</f>
        <v>42</v>
      </c>
      <c r="C2489" s="7">
        <v>45213</v>
      </c>
      <c r="D2489" s="3" t="s">
        <v>75</v>
      </c>
      <c r="E2489" s="3"/>
      <c r="F2489" s="3"/>
    </row>
    <row r="2490" spans="1:6" hidden="1" x14ac:dyDescent="0.3">
      <c r="A2490" s="7" t="str">
        <f>BD_ControlRegimen[[#This Row],[FECHA]]&amp;BD_ControlRegimen[[#This Row],[NOMBRE]]</f>
        <v>45214RAMIREZ ROMERO PAUL</v>
      </c>
      <c r="B2490" s="83">
        <f>WEEKNUM(BD_ControlRegimen[[#This Row],[FECHA]],2)</f>
        <v>42</v>
      </c>
      <c r="C2490" s="7">
        <v>45214</v>
      </c>
      <c r="D2490" s="3" t="s">
        <v>75</v>
      </c>
      <c r="E2490" s="3"/>
      <c r="F2490" s="3"/>
    </row>
    <row r="2491" spans="1:6" hidden="1" x14ac:dyDescent="0.3">
      <c r="A2491" s="7" t="str">
        <f>BD_ControlRegimen[[#This Row],[FECHA]]&amp;BD_ControlRegimen[[#This Row],[NOMBRE]]</f>
        <v>45215RAMIREZ ROMERO PAUL</v>
      </c>
      <c r="B2491" s="83">
        <f>WEEKNUM(BD_ControlRegimen[[#This Row],[FECHA]],2)</f>
        <v>43</v>
      </c>
      <c r="C2491" s="7">
        <v>45215</v>
      </c>
      <c r="D2491" s="3" t="s">
        <v>75</v>
      </c>
      <c r="E2491" s="3"/>
      <c r="F2491" s="3"/>
    </row>
    <row r="2492" spans="1:6" hidden="1" x14ac:dyDescent="0.3">
      <c r="A2492" s="7" t="str">
        <f>BD_ControlRegimen[[#This Row],[FECHA]]&amp;BD_ControlRegimen[[#This Row],[NOMBRE]]</f>
        <v>45216RAMIREZ ROMERO PAUL</v>
      </c>
      <c r="B2492" s="83">
        <f>WEEKNUM(BD_ControlRegimen[[#This Row],[FECHA]],2)</f>
        <v>43</v>
      </c>
      <c r="C2492" s="7">
        <v>45216</v>
      </c>
      <c r="D2492" s="3" t="s">
        <v>75</v>
      </c>
      <c r="E2492" s="3"/>
      <c r="F2492" s="3"/>
    </row>
    <row r="2493" spans="1:6" hidden="1" x14ac:dyDescent="0.3">
      <c r="A2493" s="7" t="str">
        <f>BD_ControlRegimen[[#This Row],[FECHA]]&amp;BD_ControlRegimen[[#This Row],[NOMBRE]]</f>
        <v>45217RAMIREZ ROMERO PAUL</v>
      </c>
      <c r="B2493" s="83">
        <f>WEEKNUM(BD_ControlRegimen[[#This Row],[FECHA]],2)</f>
        <v>43</v>
      </c>
      <c r="C2493" s="7">
        <v>45217</v>
      </c>
      <c r="D2493" s="3" t="s">
        <v>75</v>
      </c>
      <c r="E2493" s="3"/>
      <c r="F2493" s="3"/>
    </row>
    <row r="2494" spans="1:6" hidden="1" x14ac:dyDescent="0.3">
      <c r="A2494" s="7" t="str">
        <f>BD_ControlRegimen[[#This Row],[FECHA]]&amp;BD_ControlRegimen[[#This Row],[NOMBRE]]</f>
        <v>45218RAMIREZ ROMERO PAUL</v>
      </c>
      <c r="B2494" s="83">
        <f>WEEKNUM(BD_ControlRegimen[[#This Row],[FECHA]],2)</f>
        <v>43</v>
      </c>
      <c r="C2494" s="7">
        <v>45218</v>
      </c>
      <c r="D2494" s="3" t="s">
        <v>75</v>
      </c>
      <c r="E2494" s="3"/>
      <c r="F2494" s="3"/>
    </row>
    <row r="2495" spans="1:6" hidden="1" x14ac:dyDescent="0.3">
      <c r="A2495" s="7" t="str">
        <f>BD_ControlRegimen[[#This Row],[FECHA]]&amp;BD_ControlRegimen[[#This Row],[NOMBRE]]</f>
        <v>45219RAMIREZ ROMERO PAUL</v>
      </c>
      <c r="B2495" s="83">
        <f>WEEKNUM(BD_ControlRegimen[[#This Row],[FECHA]],2)</f>
        <v>43</v>
      </c>
      <c r="C2495" s="7">
        <v>45219</v>
      </c>
      <c r="D2495" s="3" t="s">
        <v>75</v>
      </c>
      <c r="E2495" s="3"/>
      <c r="F2495" s="3"/>
    </row>
    <row r="2496" spans="1:6" hidden="1" x14ac:dyDescent="0.3">
      <c r="A2496" s="7" t="str">
        <f>BD_ControlRegimen[[#This Row],[FECHA]]&amp;BD_ControlRegimen[[#This Row],[NOMBRE]]</f>
        <v>45220RAMIREZ ROMERO PAUL</v>
      </c>
      <c r="B2496" s="83">
        <f>WEEKNUM(BD_ControlRegimen[[#This Row],[FECHA]],2)</f>
        <v>43</v>
      </c>
      <c r="C2496" s="7">
        <v>45220</v>
      </c>
      <c r="D2496" s="3" t="s">
        <v>75</v>
      </c>
      <c r="E2496" s="3"/>
      <c r="F2496" s="3"/>
    </row>
    <row r="2497" spans="1:6" hidden="1" x14ac:dyDescent="0.3">
      <c r="A2497" s="7" t="str">
        <f>BD_ControlRegimen[[#This Row],[FECHA]]&amp;BD_ControlRegimen[[#This Row],[NOMBRE]]</f>
        <v>45221RAMIREZ ROMERO PAUL</v>
      </c>
      <c r="B2497" s="83">
        <f>WEEKNUM(BD_ControlRegimen[[#This Row],[FECHA]],2)</f>
        <v>43</v>
      </c>
      <c r="C2497" s="7">
        <v>45221</v>
      </c>
      <c r="D2497" s="3" t="s">
        <v>75</v>
      </c>
      <c r="E2497" s="3"/>
      <c r="F2497" s="3"/>
    </row>
    <row r="2498" spans="1:6" hidden="1" x14ac:dyDescent="0.3">
      <c r="A2498" s="7" t="str">
        <f>BD_ControlRegimen[[#This Row],[FECHA]]&amp;BD_ControlRegimen[[#This Row],[NOMBRE]]</f>
        <v>45222RAMIREZ ROMERO PAUL</v>
      </c>
      <c r="B2498" s="83">
        <f>WEEKNUM(BD_ControlRegimen[[#This Row],[FECHA]],2)</f>
        <v>44</v>
      </c>
      <c r="C2498" s="7">
        <v>45222</v>
      </c>
      <c r="D2498" s="3" t="s">
        <v>75</v>
      </c>
      <c r="E2498" s="3"/>
      <c r="F2498" s="3"/>
    </row>
    <row r="2499" spans="1:6" hidden="1" x14ac:dyDescent="0.3">
      <c r="A2499" s="7" t="str">
        <f>BD_ControlRegimen[[#This Row],[FECHA]]&amp;BD_ControlRegimen[[#This Row],[NOMBRE]]</f>
        <v>45223RAMIREZ ROMERO PAUL</v>
      </c>
      <c r="B2499" s="83">
        <f>WEEKNUM(BD_ControlRegimen[[#This Row],[FECHA]],2)</f>
        <v>44</v>
      </c>
      <c r="C2499" s="7">
        <v>45223</v>
      </c>
      <c r="D2499" s="3" t="s">
        <v>75</v>
      </c>
      <c r="E2499" s="3"/>
      <c r="F2499" s="3"/>
    </row>
    <row r="2500" spans="1:6" hidden="1" x14ac:dyDescent="0.3">
      <c r="A2500" s="7" t="str">
        <f>BD_ControlRegimen[[#This Row],[FECHA]]&amp;BD_ControlRegimen[[#This Row],[NOMBRE]]</f>
        <v>45224RAMIREZ ROMERO PAUL</v>
      </c>
      <c r="B2500" s="83">
        <f>WEEKNUM(BD_ControlRegimen[[#This Row],[FECHA]],2)</f>
        <v>44</v>
      </c>
      <c r="C2500" s="7">
        <v>45224</v>
      </c>
      <c r="D2500" s="3" t="s">
        <v>75</v>
      </c>
      <c r="E2500" s="3"/>
      <c r="F2500" s="3"/>
    </row>
    <row r="2501" spans="1:6" hidden="1" x14ac:dyDescent="0.3">
      <c r="A2501" s="7" t="str">
        <f>BD_ControlRegimen[[#This Row],[FECHA]]&amp;BD_ControlRegimen[[#This Row],[NOMBRE]]</f>
        <v>45225RAMIREZ ROMERO PAUL</v>
      </c>
      <c r="B2501" s="83">
        <f>WEEKNUM(BD_ControlRegimen[[#This Row],[FECHA]],2)</f>
        <v>44</v>
      </c>
      <c r="C2501" s="7">
        <v>45225</v>
      </c>
      <c r="D2501" s="3" t="s">
        <v>75</v>
      </c>
      <c r="E2501" s="3"/>
      <c r="F2501" s="3"/>
    </row>
    <row r="2502" spans="1:6" hidden="1" x14ac:dyDescent="0.3">
      <c r="A2502" s="7" t="str">
        <f>BD_ControlRegimen[[#This Row],[FECHA]]&amp;BD_ControlRegimen[[#This Row],[NOMBRE]]</f>
        <v>45226RAMIREZ ROMERO PAUL</v>
      </c>
      <c r="B2502" s="83">
        <f>WEEKNUM(BD_ControlRegimen[[#This Row],[FECHA]],2)</f>
        <v>44</v>
      </c>
      <c r="C2502" s="7">
        <v>45226</v>
      </c>
      <c r="D2502" s="3" t="s">
        <v>75</v>
      </c>
      <c r="E2502" s="3"/>
      <c r="F2502" s="3"/>
    </row>
    <row r="2503" spans="1:6" hidden="1" x14ac:dyDescent="0.3">
      <c r="A2503" s="7" t="str">
        <f>BD_ControlRegimen[[#This Row],[FECHA]]&amp;BD_ControlRegimen[[#This Row],[NOMBRE]]</f>
        <v>45227RAMIREZ ROMERO PAUL</v>
      </c>
      <c r="B2503" s="83">
        <f>WEEKNUM(BD_ControlRegimen[[#This Row],[FECHA]],2)</f>
        <v>44</v>
      </c>
      <c r="C2503" s="7">
        <v>45227</v>
      </c>
      <c r="D2503" s="3" t="s">
        <v>75</v>
      </c>
      <c r="E2503" s="3"/>
      <c r="F2503" s="3"/>
    </row>
    <row r="2504" spans="1:6" hidden="1" x14ac:dyDescent="0.3">
      <c r="A2504" s="7" t="str">
        <f>BD_ControlRegimen[[#This Row],[FECHA]]&amp;BD_ControlRegimen[[#This Row],[NOMBRE]]</f>
        <v>45228RAMIREZ ROMERO PAUL</v>
      </c>
      <c r="B2504" s="83">
        <f>WEEKNUM(BD_ControlRegimen[[#This Row],[FECHA]],2)</f>
        <v>44</v>
      </c>
      <c r="C2504" s="7">
        <v>45228</v>
      </c>
      <c r="D2504" s="3" t="s">
        <v>75</v>
      </c>
      <c r="E2504" s="3"/>
      <c r="F2504" s="3"/>
    </row>
    <row r="2505" spans="1:6" hidden="1" x14ac:dyDescent="0.3">
      <c r="A2505" s="7" t="str">
        <f>BD_ControlRegimen[[#This Row],[FECHA]]&amp;BD_ControlRegimen[[#This Row],[NOMBRE]]</f>
        <v>45229RAMIREZ ROMERO PAUL</v>
      </c>
      <c r="B2505" s="83">
        <f>WEEKNUM(BD_ControlRegimen[[#This Row],[FECHA]],2)</f>
        <v>45</v>
      </c>
      <c r="C2505" s="7">
        <v>45229</v>
      </c>
      <c r="D2505" s="3" t="s">
        <v>75</v>
      </c>
      <c r="E2505" s="3"/>
      <c r="F2505" s="3"/>
    </row>
    <row r="2506" spans="1:6" hidden="1" x14ac:dyDescent="0.3">
      <c r="A2506" s="7" t="str">
        <f>BD_ControlRegimen[[#This Row],[FECHA]]&amp;BD_ControlRegimen[[#This Row],[NOMBRE]]</f>
        <v>45230RAMIREZ ROMERO PAUL</v>
      </c>
      <c r="B2506" s="83">
        <f>WEEKNUM(BD_ControlRegimen[[#This Row],[FECHA]],2)</f>
        <v>45</v>
      </c>
      <c r="C2506" s="7">
        <v>45230</v>
      </c>
      <c r="D2506" s="3" t="s">
        <v>75</v>
      </c>
      <c r="E2506" s="3"/>
      <c r="F2506" s="3"/>
    </row>
    <row r="2507" spans="1:6" hidden="1" x14ac:dyDescent="0.3">
      <c r="A2507" s="7" t="str">
        <f>BD_ControlRegimen[[#This Row],[FECHA]]&amp;BD_ControlRegimen[[#This Row],[NOMBRE]]</f>
        <v>45231RAMIREZ ROMERO PAUL</v>
      </c>
      <c r="B2507" s="83">
        <f>WEEKNUM(BD_ControlRegimen[[#This Row],[FECHA]],2)</f>
        <v>45</v>
      </c>
      <c r="C2507" s="7">
        <v>45231</v>
      </c>
      <c r="D2507" s="3" t="s">
        <v>75</v>
      </c>
      <c r="E2507" s="3"/>
      <c r="F2507" s="3"/>
    </row>
    <row r="2508" spans="1:6" hidden="1" x14ac:dyDescent="0.3">
      <c r="A2508" s="7" t="str">
        <f>BD_ControlRegimen[[#This Row],[FECHA]]&amp;BD_ControlRegimen[[#This Row],[NOMBRE]]</f>
        <v>45232RAMIREZ ROMERO PAUL</v>
      </c>
      <c r="B2508" s="83">
        <f>WEEKNUM(BD_ControlRegimen[[#This Row],[FECHA]],2)</f>
        <v>45</v>
      </c>
      <c r="C2508" s="7">
        <v>45232</v>
      </c>
      <c r="D2508" s="3" t="s">
        <v>75</v>
      </c>
      <c r="E2508" s="3"/>
      <c r="F2508" s="3"/>
    </row>
    <row r="2509" spans="1:6" hidden="1" x14ac:dyDescent="0.3">
      <c r="A2509" s="7" t="str">
        <f>BD_ControlRegimen[[#This Row],[FECHA]]&amp;BD_ControlRegimen[[#This Row],[NOMBRE]]</f>
        <v>45233RAMIREZ ROMERO PAUL</v>
      </c>
      <c r="B2509" s="83">
        <f>WEEKNUM(BD_ControlRegimen[[#This Row],[FECHA]],2)</f>
        <v>45</v>
      </c>
      <c r="C2509" s="7">
        <v>45233</v>
      </c>
      <c r="D2509" s="3" t="s">
        <v>75</v>
      </c>
      <c r="E2509" s="3"/>
      <c r="F2509" s="3"/>
    </row>
    <row r="2510" spans="1:6" hidden="1" x14ac:dyDescent="0.3">
      <c r="A2510" s="7" t="str">
        <f>BD_ControlRegimen[[#This Row],[FECHA]]&amp;BD_ControlRegimen[[#This Row],[NOMBRE]]</f>
        <v>45234RAMIREZ ROMERO PAUL</v>
      </c>
      <c r="B2510" s="83">
        <f>WEEKNUM(BD_ControlRegimen[[#This Row],[FECHA]],2)</f>
        <v>45</v>
      </c>
      <c r="C2510" s="7">
        <v>45234</v>
      </c>
      <c r="D2510" s="3" t="s">
        <v>75</v>
      </c>
      <c r="E2510" s="3"/>
      <c r="F2510" s="3"/>
    </row>
    <row r="2511" spans="1:6" hidden="1" x14ac:dyDescent="0.3">
      <c r="A2511" s="7" t="str">
        <f>BD_ControlRegimen[[#This Row],[FECHA]]&amp;BD_ControlRegimen[[#This Row],[NOMBRE]]</f>
        <v>45235RAMIREZ ROMERO PAUL</v>
      </c>
      <c r="B2511" s="83">
        <f>WEEKNUM(BD_ControlRegimen[[#This Row],[FECHA]],2)</f>
        <v>45</v>
      </c>
      <c r="C2511" s="7">
        <v>45235</v>
      </c>
      <c r="D2511" s="3" t="s">
        <v>75</v>
      </c>
      <c r="E2511" s="3"/>
      <c r="F2511" s="3"/>
    </row>
    <row r="2512" spans="1:6" hidden="1" x14ac:dyDescent="0.3">
      <c r="A2512" s="7" t="str">
        <f>BD_ControlRegimen[[#This Row],[FECHA]]&amp;BD_ControlRegimen[[#This Row],[NOMBRE]]</f>
        <v>45236RAMIREZ ROMERO PAUL</v>
      </c>
      <c r="B2512" s="83">
        <f>WEEKNUM(BD_ControlRegimen[[#This Row],[FECHA]],2)</f>
        <v>46</v>
      </c>
      <c r="C2512" s="7">
        <v>45236</v>
      </c>
      <c r="D2512" s="3" t="s">
        <v>75</v>
      </c>
      <c r="E2512" s="3"/>
      <c r="F2512" s="3"/>
    </row>
    <row r="2513" spans="1:6" hidden="1" x14ac:dyDescent="0.3">
      <c r="A2513" s="7" t="str">
        <f>BD_ControlRegimen[[#This Row],[FECHA]]&amp;BD_ControlRegimen[[#This Row],[NOMBRE]]</f>
        <v>45237RAMIREZ ROMERO PAUL</v>
      </c>
      <c r="B2513" s="83">
        <f>WEEKNUM(BD_ControlRegimen[[#This Row],[FECHA]],2)</f>
        <v>46</v>
      </c>
      <c r="C2513" s="7">
        <v>45237</v>
      </c>
      <c r="D2513" s="3" t="s">
        <v>75</v>
      </c>
      <c r="E2513" s="3"/>
      <c r="F2513" s="3"/>
    </row>
    <row r="2514" spans="1:6" hidden="1" x14ac:dyDescent="0.3">
      <c r="A2514" s="7" t="str">
        <f>BD_ControlRegimen[[#This Row],[FECHA]]&amp;BD_ControlRegimen[[#This Row],[NOMBRE]]</f>
        <v>45238RAMIREZ ROMERO PAUL</v>
      </c>
      <c r="B2514" s="83">
        <f>WEEKNUM(BD_ControlRegimen[[#This Row],[FECHA]],2)</f>
        <v>46</v>
      </c>
      <c r="C2514" s="7">
        <v>45238</v>
      </c>
      <c r="D2514" s="3" t="s">
        <v>75</v>
      </c>
      <c r="E2514" s="3"/>
      <c r="F2514" s="3"/>
    </row>
    <row r="2515" spans="1:6" hidden="1" x14ac:dyDescent="0.3">
      <c r="A2515" s="7" t="str">
        <f>BD_ControlRegimen[[#This Row],[FECHA]]&amp;BD_ControlRegimen[[#This Row],[NOMBRE]]</f>
        <v>45239RAMIREZ ROMERO PAUL</v>
      </c>
      <c r="B2515" s="83">
        <f>WEEKNUM(BD_ControlRegimen[[#This Row],[FECHA]],2)</f>
        <v>46</v>
      </c>
      <c r="C2515" s="7">
        <v>45239</v>
      </c>
      <c r="D2515" s="3" t="s">
        <v>75</v>
      </c>
      <c r="E2515" s="3"/>
      <c r="F2515" s="3"/>
    </row>
    <row r="2516" spans="1:6" hidden="1" x14ac:dyDescent="0.3">
      <c r="A2516" s="7" t="str">
        <f>BD_ControlRegimen[[#This Row],[FECHA]]&amp;BD_ControlRegimen[[#This Row],[NOMBRE]]</f>
        <v>45240RAMIREZ ROMERO PAUL</v>
      </c>
      <c r="B2516" s="83">
        <f>WEEKNUM(BD_ControlRegimen[[#This Row],[FECHA]],2)</f>
        <v>46</v>
      </c>
      <c r="C2516" s="7">
        <v>45240</v>
      </c>
      <c r="D2516" s="3" t="s">
        <v>75</v>
      </c>
      <c r="E2516" s="3"/>
      <c r="F2516" s="3"/>
    </row>
    <row r="2517" spans="1:6" hidden="1" x14ac:dyDescent="0.3">
      <c r="A2517" s="7" t="str">
        <f>BD_ControlRegimen[[#This Row],[FECHA]]&amp;BD_ControlRegimen[[#This Row],[NOMBRE]]</f>
        <v>45241RAMIREZ ROMERO PAUL</v>
      </c>
      <c r="B2517" s="83">
        <f>WEEKNUM(BD_ControlRegimen[[#This Row],[FECHA]],2)</f>
        <v>46</v>
      </c>
      <c r="C2517" s="7">
        <v>45241</v>
      </c>
      <c r="D2517" s="3" t="s">
        <v>75</v>
      </c>
      <c r="E2517" s="3"/>
      <c r="F2517" s="3"/>
    </row>
    <row r="2518" spans="1:6" hidden="1" x14ac:dyDescent="0.3">
      <c r="A2518" s="7" t="str">
        <f>BD_ControlRegimen[[#This Row],[FECHA]]&amp;BD_ControlRegimen[[#This Row],[NOMBRE]]</f>
        <v>45242RAMIREZ ROMERO PAUL</v>
      </c>
      <c r="B2518" s="83">
        <f>WEEKNUM(BD_ControlRegimen[[#This Row],[FECHA]],2)</f>
        <v>46</v>
      </c>
      <c r="C2518" s="7">
        <v>45242</v>
      </c>
      <c r="D2518" s="3" t="s">
        <v>75</v>
      </c>
      <c r="E2518" s="3"/>
      <c r="F2518" s="3"/>
    </row>
    <row r="2519" spans="1:6" hidden="1" x14ac:dyDescent="0.3">
      <c r="A2519" s="7" t="str">
        <f>BD_ControlRegimen[[#This Row],[FECHA]]&amp;BD_ControlRegimen[[#This Row],[NOMBRE]]</f>
        <v>45243RAMIREZ ROMERO PAUL</v>
      </c>
      <c r="B2519" s="83">
        <f>WEEKNUM(BD_ControlRegimen[[#This Row],[FECHA]],2)</f>
        <v>47</v>
      </c>
      <c r="C2519" s="7">
        <v>45243</v>
      </c>
      <c r="D2519" s="3" t="s">
        <v>75</v>
      </c>
      <c r="E2519" s="3"/>
      <c r="F2519" s="3"/>
    </row>
    <row r="2520" spans="1:6" hidden="1" x14ac:dyDescent="0.3">
      <c r="A2520" s="7" t="str">
        <f>BD_ControlRegimen[[#This Row],[FECHA]]&amp;BD_ControlRegimen[[#This Row],[NOMBRE]]</f>
        <v>45244RAMIREZ ROMERO PAUL</v>
      </c>
      <c r="B2520" s="83">
        <f>WEEKNUM(BD_ControlRegimen[[#This Row],[FECHA]],2)</f>
        <v>47</v>
      </c>
      <c r="C2520" s="7">
        <v>45244</v>
      </c>
      <c r="D2520" s="3" t="s">
        <v>75</v>
      </c>
      <c r="E2520" s="3"/>
      <c r="F2520" s="3"/>
    </row>
    <row r="2521" spans="1:6" hidden="1" x14ac:dyDescent="0.3">
      <c r="A2521" s="7" t="str">
        <f>BD_ControlRegimen[[#This Row],[FECHA]]&amp;BD_ControlRegimen[[#This Row],[NOMBRE]]</f>
        <v>45245RAMIREZ ROMERO PAUL</v>
      </c>
      <c r="B2521" s="83">
        <f>WEEKNUM(BD_ControlRegimen[[#This Row],[FECHA]],2)</f>
        <v>47</v>
      </c>
      <c r="C2521" s="7">
        <v>45245</v>
      </c>
      <c r="D2521" s="3" t="s">
        <v>75</v>
      </c>
      <c r="E2521" s="3"/>
      <c r="F2521" s="3"/>
    </row>
    <row r="2522" spans="1:6" hidden="1" x14ac:dyDescent="0.3">
      <c r="A2522" s="7" t="str">
        <f>BD_ControlRegimen[[#This Row],[FECHA]]&amp;BD_ControlRegimen[[#This Row],[NOMBRE]]</f>
        <v>45246RAMIREZ ROMERO PAUL</v>
      </c>
      <c r="B2522" s="83">
        <f>WEEKNUM(BD_ControlRegimen[[#This Row],[FECHA]],2)</f>
        <v>47</v>
      </c>
      <c r="C2522" s="7">
        <v>45246</v>
      </c>
      <c r="D2522" s="3" t="s">
        <v>75</v>
      </c>
      <c r="E2522" s="3"/>
      <c r="F2522" s="3"/>
    </row>
    <row r="2523" spans="1:6" hidden="1" x14ac:dyDescent="0.3">
      <c r="A2523" s="7" t="str">
        <f>BD_ControlRegimen[[#This Row],[FECHA]]&amp;BD_ControlRegimen[[#This Row],[NOMBRE]]</f>
        <v>45247RAMIREZ ROMERO PAUL</v>
      </c>
      <c r="B2523" s="83">
        <f>WEEKNUM(BD_ControlRegimen[[#This Row],[FECHA]],2)</f>
        <v>47</v>
      </c>
      <c r="C2523" s="7">
        <v>45247</v>
      </c>
      <c r="D2523" s="3" t="s">
        <v>75</v>
      </c>
      <c r="E2523" s="3"/>
      <c r="F2523" s="3"/>
    </row>
    <row r="2524" spans="1:6" hidden="1" x14ac:dyDescent="0.3">
      <c r="A2524" s="7" t="str">
        <f>BD_ControlRegimen[[#This Row],[FECHA]]&amp;BD_ControlRegimen[[#This Row],[NOMBRE]]</f>
        <v>45248RAMIREZ ROMERO PAUL</v>
      </c>
      <c r="B2524" s="83">
        <f>WEEKNUM(BD_ControlRegimen[[#This Row],[FECHA]],2)</f>
        <v>47</v>
      </c>
      <c r="C2524" s="7">
        <v>45248</v>
      </c>
      <c r="D2524" s="3" t="s">
        <v>75</v>
      </c>
      <c r="E2524" s="3"/>
      <c r="F2524" s="3"/>
    </row>
    <row r="2525" spans="1:6" hidden="1" x14ac:dyDescent="0.3">
      <c r="A2525" s="7" t="str">
        <f>BD_ControlRegimen[[#This Row],[FECHA]]&amp;BD_ControlRegimen[[#This Row],[NOMBRE]]</f>
        <v>45249RAMIREZ ROMERO PAUL</v>
      </c>
      <c r="B2525" s="83">
        <f>WEEKNUM(BD_ControlRegimen[[#This Row],[FECHA]],2)</f>
        <v>47</v>
      </c>
      <c r="C2525" s="7">
        <v>45249</v>
      </c>
      <c r="D2525" s="3" t="s">
        <v>75</v>
      </c>
      <c r="E2525" s="3"/>
      <c r="F2525" s="3"/>
    </row>
    <row r="2526" spans="1:6" hidden="1" x14ac:dyDescent="0.3">
      <c r="A2526" s="7" t="str">
        <f>BD_ControlRegimen[[#This Row],[FECHA]]&amp;BD_ControlRegimen[[#This Row],[NOMBRE]]</f>
        <v>45250RAMIREZ ROMERO PAUL</v>
      </c>
      <c r="B2526" s="83">
        <f>WEEKNUM(BD_ControlRegimen[[#This Row],[FECHA]],2)</f>
        <v>48</v>
      </c>
      <c r="C2526" s="7">
        <v>45250</v>
      </c>
      <c r="D2526" s="3" t="s">
        <v>75</v>
      </c>
      <c r="E2526" s="3"/>
      <c r="F2526" s="3"/>
    </row>
    <row r="2527" spans="1:6" hidden="1" x14ac:dyDescent="0.3">
      <c r="A2527" s="7" t="str">
        <f>BD_ControlRegimen[[#This Row],[FECHA]]&amp;BD_ControlRegimen[[#This Row],[NOMBRE]]</f>
        <v>45251RAMIREZ ROMERO PAUL</v>
      </c>
      <c r="B2527" s="83">
        <f>WEEKNUM(BD_ControlRegimen[[#This Row],[FECHA]],2)</f>
        <v>48</v>
      </c>
      <c r="C2527" s="7">
        <v>45251</v>
      </c>
      <c r="D2527" s="3" t="s">
        <v>75</v>
      </c>
      <c r="E2527" s="3"/>
      <c r="F2527" s="3"/>
    </row>
    <row r="2528" spans="1:6" hidden="1" x14ac:dyDescent="0.3">
      <c r="A2528" s="7" t="str">
        <f>BD_ControlRegimen[[#This Row],[FECHA]]&amp;BD_ControlRegimen[[#This Row],[NOMBRE]]</f>
        <v>45252RAMIREZ ROMERO PAUL</v>
      </c>
      <c r="B2528" s="83">
        <f>WEEKNUM(BD_ControlRegimen[[#This Row],[FECHA]],2)</f>
        <v>48</v>
      </c>
      <c r="C2528" s="7">
        <v>45252</v>
      </c>
      <c r="D2528" s="3" t="s">
        <v>75</v>
      </c>
      <c r="E2528" s="3"/>
      <c r="F2528" s="3"/>
    </row>
    <row r="2529" spans="1:6" hidden="1" x14ac:dyDescent="0.3">
      <c r="A2529" s="7" t="str">
        <f>BD_ControlRegimen[[#This Row],[FECHA]]&amp;BD_ControlRegimen[[#This Row],[NOMBRE]]</f>
        <v>45253RAMIREZ ROMERO PAUL</v>
      </c>
      <c r="B2529" s="83">
        <f>WEEKNUM(BD_ControlRegimen[[#This Row],[FECHA]],2)</f>
        <v>48</v>
      </c>
      <c r="C2529" s="7">
        <v>45253</v>
      </c>
      <c r="D2529" s="3" t="s">
        <v>75</v>
      </c>
      <c r="E2529" s="3"/>
      <c r="F2529" s="3"/>
    </row>
    <row r="2530" spans="1:6" hidden="1" x14ac:dyDescent="0.3">
      <c r="A2530" s="7" t="str">
        <f>BD_ControlRegimen[[#This Row],[FECHA]]&amp;BD_ControlRegimen[[#This Row],[NOMBRE]]</f>
        <v>45254RAMIREZ ROMERO PAUL</v>
      </c>
      <c r="B2530" s="83">
        <f>WEEKNUM(BD_ControlRegimen[[#This Row],[FECHA]],2)</f>
        <v>48</v>
      </c>
      <c r="C2530" s="7">
        <v>45254</v>
      </c>
      <c r="D2530" s="3" t="s">
        <v>75</v>
      </c>
      <c r="E2530" s="3"/>
      <c r="F2530" s="3"/>
    </row>
    <row r="2531" spans="1:6" hidden="1" x14ac:dyDescent="0.3">
      <c r="A2531" s="7" t="str">
        <f>BD_ControlRegimen[[#This Row],[FECHA]]&amp;BD_ControlRegimen[[#This Row],[NOMBRE]]</f>
        <v>45255RAMIREZ ROMERO PAUL</v>
      </c>
      <c r="B2531" s="83">
        <f>WEEKNUM(BD_ControlRegimen[[#This Row],[FECHA]],2)</f>
        <v>48</v>
      </c>
      <c r="C2531" s="7">
        <v>45255</v>
      </c>
      <c r="D2531" s="3" t="s">
        <v>75</v>
      </c>
      <c r="E2531" s="3"/>
      <c r="F2531" s="3"/>
    </row>
    <row r="2532" spans="1:6" hidden="1" x14ac:dyDescent="0.3">
      <c r="A2532" s="7" t="str">
        <f>BD_ControlRegimen[[#This Row],[FECHA]]&amp;BD_ControlRegimen[[#This Row],[NOMBRE]]</f>
        <v>45256RAMIREZ ROMERO PAUL</v>
      </c>
      <c r="B2532" s="83">
        <f>WEEKNUM(BD_ControlRegimen[[#This Row],[FECHA]],2)</f>
        <v>48</v>
      </c>
      <c r="C2532" s="7">
        <v>45256</v>
      </c>
      <c r="D2532" s="3" t="s">
        <v>75</v>
      </c>
      <c r="E2532" s="3"/>
      <c r="F2532" s="3"/>
    </row>
    <row r="2533" spans="1:6" hidden="1" x14ac:dyDescent="0.3">
      <c r="A2533" s="7" t="str">
        <f>BD_ControlRegimen[[#This Row],[FECHA]]&amp;BD_ControlRegimen[[#This Row],[NOMBRE]]</f>
        <v>45257RAMIREZ ROMERO PAUL</v>
      </c>
      <c r="B2533" s="83">
        <f>WEEKNUM(BD_ControlRegimen[[#This Row],[FECHA]],2)</f>
        <v>49</v>
      </c>
      <c r="C2533" s="7">
        <v>45257</v>
      </c>
      <c r="D2533" s="3" t="s">
        <v>75</v>
      </c>
      <c r="E2533" s="3"/>
      <c r="F2533" s="3"/>
    </row>
    <row r="2534" spans="1:6" hidden="1" x14ac:dyDescent="0.3">
      <c r="A2534" s="7" t="str">
        <f>BD_ControlRegimen[[#This Row],[FECHA]]&amp;BD_ControlRegimen[[#This Row],[NOMBRE]]</f>
        <v>45258RAMIREZ ROMERO PAUL</v>
      </c>
      <c r="B2534" s="83">
        <f>WEEKNUM(BD_ControlRegimen[[#This Row],[FECHA]],2)</f>
        <v>49</v>
      </c>
      <c r="C2534" s="7">
        <v>45258</v>
      </c>
      <c r="D2534" s="3" t="s">
        <v>75</v>
      </c>
      <c r="E2534" s="3"/>
      <c r="F2534" s="3"/>
    </row>
    <row r="2535" spans="1:6" hidden="1" x14ac:dyDescent="0.3">
      <c r="A2535" s="7" t="str">
        <f>BD_ControlRegimen[[#This Row],[FECHA]]&amp;BD_ControlRegimen[[#This Row],[NOMBRE]]</f>
        <v>45259RAMIREZ ROMERO PAUL</v>
      </c>
      <c r="B2535" s="83">
        <f>WEEKNUM(BD_ControlRegimen[[#This Row],[FECHA]],2)</f>
        <v>49</v>
      </c>
      <c r="C2535" s="7">
        <v>45259</v>
      </c>
      <c r="D2535" s="3" t="s">
        <v>75</v>
      </c>
      <c r="E2535" s="3"/>
      <c r="F2535" s="3"/>
    </row>
    <row r="2536" spans="1:6" hidden="1" x14ac:dyDescent="0.3">
      <c r="A2536" s="7" t="str">
        <f>BD_ControlRegimen[[#This Row],[FECHA]]&amp;BD_ControlRegimen[[#This Row],[NOMBRE]]</f>
        <v>45260RAMIREZ ROMERO PAUL</v>
      </c>
      <c r="B2536" s="83">
        <f>WEEKNUM(BD_ControlRegimen[[#This Row],[FECHA]],2)</f>
        <v>49</v>
      </c>
      <c r="C2536" s="7">
        <v>45260</v>
      </c>
      <c r="D2536" s="3" t="s">
        <v>75</v>
      </c>
      <c r="E2536" s="3"/>
      <c r="F2536" s="3"/>
    </row>
    <row r="2537" spans="1:6" hidden="1" x14ac:dyDescent="0.3">
      <c r="A2537" s="7" t="str">
        <f>BD_ControlRegimen[[#This Row],[FECHA]]&amp;BD_ControlRegimen[[#This Row],[NOMBRE]]</f>
        <v>45261RAMIREZ ROMERO PAUL</v>
      </c>
      <c r="B2537" s="83">
        <f>WEEKNUM(BD_ControlRegimen[[#This Row],[FECHA]],2)</f>
        <v>49</v>
      </c>
      <c r="C2537" s="7">
        <v>45261</v>
      </c>
      <c r="D2537" s="3" t="s">
        <v>75</v>
      </c>
      <c r="E2537" s="3"/>
      <c r="F2537" s="3"/>
    </row>
    <row r="2538" spans="1:6" hidden="1" x14ac:dyDescent="0.3">
      <c r="A2538" s="7" t="str">
        <f>BD_ControlRegimen[[#This Row],[FECHA]]&amp;BD_ControlRegimen[[#This Row],[NOMBRE]]</f>
        <v>45262RAMIREZ ROMERO PAUL</v>
      </c>
      <c r="B2538" s="83">
        <f>WEEKNUM(BD_ControlRegimen[[#This Row],[FECHA]],2)</f>
        <v>49</v>
      </c>
      <c r="C2538" s="7">
        <v>45262</v>
      </c>
      <c r="D2538" s="3" t="s">
        <v>75</v>
      </c>
      <c r="E2538" s="3"/>
      <c r="F2538" s="3"/>
    </row>
    <row r="2539" spans="1:6" hidden="1" x14ac:dyDescent="0.3">
      <c r="A2539" s="7" t="str">
        <f>BD_ControlRegimen[[#This Row],[FECHA]]&amp;BD_ControlRegimen[[#This Row],[NOMBRE]]</f>
        <v>45263RAMIREZ ROMERO PAUL</v>
      </c>
      <c r="B2539" s="83">
        <f>WEEKNUM(BD_ControlRegimen[[#This Row],[FECHA]],2)</f>
        <v>49</v>
      </c>
      <c r="C2539" s="7">
        <v>45263</v>
      </c>
      <c r="D2539" s="3" t="s">
        <v>75</v>
      </c>
      <c r="E2539" s="3"/>
      <c r="F2539" s="3"/>
    </row>
    <row r="2540" spans="1:6" hidden="1" x14ac:dyDescent="0.3">
      <c r="A2540" s="7" t="str">
        <f>BD_ControlRegimen[[#This Row],[FECHA]]&amp;BD_ControlRegimen[[#This Row],[NOMBRE]]</f>
        <v>45264RAMIREZ ROMERO PAUL</v>
      </c>
      <c r="B2540" s="83">
        <f>WEEKNUM(BD_ControlRegimen[[#This Row],[FECHA]],2)</f>
        <v>50</v>
      </c>
      <c r="C2540" s="7">
        <v>45264</v>
      </c>
      <c r="D2540" s="3" t="s">
        <v>75</v>
      </c>
      <c r="E2540" s="3"/>
      <c r="F2540" s="3"/>
    </row>
    <row r="2541" spans="1:6" hidden="1" x14ac:dyDescent="0.3">
      <c r="A2541" s="7" t="str">
        <f>BD_ControlRegimen[[#This Row],[FECHA]]&amp;BD_ControlRegimen[[#This Row],[NOMBRE]]</f>
        <v>45265RAMIREZ ROMERO PAUL</v>
      </c>
      <c r="B2541" s="83">
        <f>WEEKNUM(BD_ControlRegimen[[#This Row],[FECHA]],2)</f>
        <v>50</v>
      </c>
      <c r="C2541" s="7">
        <v>45265</v>
      </c>
      <c r="D2541" s="3" t="s">
        <v>75</v>
      </c>
      <c r="E2541" s="3"/>
      <c r="F2541" s="3"/>
    </row>
    <row r="2542" spans="1:6" hidden="1" x14ac:dyDescent="0.3">
      <c r="A2542" s="7" t="str">
        <f>BD_ControlRegimen[[#This Row],[FECHA]]&amp;BD_ControlRegimen[[#This Row],[NOMBRE]]</f>
        <v>45266RAMIREZ ROMERO PAUL</v>
      </c>
      <c r="B2542" s="83">
        <f>WEEKNUM(BD_ControlRegimen[[#This Row],[FECHA]],2)</f>
        <v>50</v>
      </c>
      <c r="C2542" s="7">
        <v>45266</v>
      </c>
      <c r="D2542" s="3" t="s">
        <v>75</v>
      </c>
      <c r="E2542" s="3"/>
      <c r="F2542" s="3"/>
    </row>
    <row r="2543" spans="1:6" hidden="1" x14ac:dyDescent="0.3">
      <c r="A2543" s="7" t="str">
        <f>BD_ControlRegimen[[#This Row],[FECHA]]&amp;BD_ControlRegimen[[#This Row],[NOMBRE]]</f>
        <v>45267RAMIREZ ROMERO PAUL</v>
      </c>
      <c r="B2543" s="83">
        <f>WEEKNUM(BD_ControlRegimen[[#This Row],[FECHA]],2)</f>
        <v>50</v>
      </c>
      <c r="C2543" s="7">
        <v>45267</v>
      </c>
      <c r="D2543" s="3" t="s">
        <v>75</v>
      </c>
      <c r="E2543" s="3"/>
      <c r="F2543" s="3"/>
    </row>
    <row r="2544" spans="1:6" hidden="1" x14ac:dyDescent="0.3">
      <c r="A2544" s="7" t="str">
        <f>BD_ControlRegimen[[#This Row],[FECHA]]&amp;BD_ControlRegimen[[#This Row],[NOMBRE]]</f>
        <v>45268RAMIREZ ROMERO PAUL</v>
      </c>
      <c r="B2544" s="83">
        <f>WEEKNUM(BD_ControlRegimen[[#This Row],[FECHA]],2)</f>
        <v>50</v>
      </c>
      <c r="C2544" s="7">
        <v>45268</v>
      </c>
      <c r="D2544" s="3" t="s">
        <v>75</v>
      </c>
      <c r="E2544" s="3"/>
      <c r="F2544" s="3"/>
    </row>
    <row r="2545" spans="1:6" hidden="1" x14ac:dyDescent="0.3">
      <c r="A2545" s="7" t="str">
        <f>BD_ControlRegimen[[#This Row],[FECHA]]&amp;BD_ControlRegimen[[#This Row],[NOMBRE]]</f>
        <v>45269RAMIREZ ROMERO PAUL</v>
      </c>
      <c r="B2545" s="83">
        <f>WEEKNUM(BD_ControlRegimen[[#This Row],[FECHA]],2)</f>
        <v>50</v>
      </c>
      <c r="C2545" s="7">
        <v>45269</v>
      </c>
      <c r="D2545" s="3" t="s">
        <v>75</v>
      </c>
      <c r="E2545" s="3"/>
      <c r="F2545" s="3"/>
    </row>
    <row r="2546" spans="1:6" hidden="1" x14ac:dyDescent="0.3">
      <c r="A2546" s="7" t="str">
        <f>BD_ControlRegimen[[#This Row],[FECHA]]&amp;BD_ControlRegimen[[#This Row],[NOMBRE]]</f>
        <v>45270RAMIREZ ROMERO PAUL</v>
      </c>
      <c r="B2546" s="83">
        <f>WEEKNUM(BD_ControlRegimen[[#This Row],[FECHA]],2)</f>
        <v>50</v>
      </c>
      <c r="C2546" s="7">
        <v>45270</v>
      </c>
      <c r="D2546" s="3" t="s">
        <v>75</v>
      </c>
      <c r="E2546" s="3"/>
      <c r="F2546" s="3"/>
    </row>
    <row r="2547" spans="1:6" hidden="1" x14ac:dyDescent="0.3">
      <c r="A2547" s="7" t="str">
        <f>BD_ControlRegimen[[#This Row],[FECHA]]&amp;BD_ControlRegimen[[#This Row],[NOMBRE]]</f>
        <v>45271RAMIREZ ROMERO PAUL</v>
      </c>
      <c r="B2547" s="83">
        <f>WEEKNUM(BD_ControlRegimen[[#This Row],[FECHA]],2)</f>
        <v>51</v>
      </c>
      <c r="C2547" s="7">
        <v>45271</v>
      </c>
      <c r="D2547" s="3" t="s">
        <v>75</v>
      </c>
      <c r="E2547" s="3"/>
      <c r="F2547" s="3"/>
    </row>
    <row r="2548" spans="1:6" hidden="1" x14ac:dyDescent="0.3">
      <c r="A2548" s="7" t="str">
        <f>BD_ControlRegimen[[#This Row],[FECHA]]&amp;BD_ControlRegimen[[#This Row],[NOMBRE]]</f>
        <v>45272RAMIREZ ROMERO PAUL</v>
      </c>
      <c r="B2548" s="83">
        <f>WEEKNUM(BD_ControlRegimen[[#This Row],[FECHA]],2)</f>
        <v>51</v>
      </c>
      <c r="C2548" s="7">
        <v>45272</v>
      </c>
      <c r="D2548" s="3" t="s">
        <v>75</v>
      </c>
      <c r="E2548" s="3"/>
      <c r="F2548" s="3"/>
    </row>
    <row r="2549" spans="1:6" hidden="1" x14ac:dyDescent="0.3">
      <c r="A2549" s="7" t="str">
        <f>BD_ControlRegimen[[#This Row],[FECHA]]&amp;BD_ControlRegimen[[#This Row],[NOMBRE]]</f>
        <v>45273RAMIREZ ROMERO PAUL</v>
      </c>
      <c r="B2549" s="83">
        <f>WEEKNUM(BD_ControlRegimen[[#This Row],[FECHA]],2)</f>
        <v>51</v>
      </c>
      <c r="C2549" s="7">
        <v>45273</v>
      </c>
      <c r="D2549" s="3" t="s">
        <v>75</v>
      </c>
      <c r="E2549" s="3"/>
      <c r="F2549" s="3"/>
    </row>
    <row r="2550" spans="1:6" hidden="1" x14ac:dyDescent="0.3">
      <c r="A2550" s="7" t="str">
        <f>BD_ControlRegimen[[#This Row],[FECHA]]&amp;BD_ControlRegimen[[#This Row],[NOMBRE]]</f>
        <v>45274RAMIREZ ROMERO PAUL</v>
      </c>
      <c r="B2550" s="83">
        <f>WEEKNUM(BD_ControlRegimen[[#This Row],[FECHA]],2)</f>
        <v>51</v>
      </c>
      <c r="C2550" s="7">
        <v>45274</v>
      </c>
      <c r="D2550" s="3" t="s">
        <v>75</v>
      </c>
      <c r="E2550" s="3"/>
      <c r="F2550" s="3"/>
    </row>
    <row r="2551" spans="1:6" hidden="1" x14ac:dyDescent="0.3">
      <c r="A2551" s="7" t="str">
        <f>BD_ControlRegimen[[#This Row],[FECHA]]&amp;BD_ControlRegimen[[#This Row],[NOMBRE]]</f>
        <v>45275RAMIREZ ROMERO PAUL</v>
      </c>
      <c r="B2551" s="83">
        <f>WEEKNUM(BD_ControlRegimen[[#This Row],[FECHA]],2)</f>
        <v>51</v>
      </c>
      <c r="C2551" s="7">
        <v>45275</v>
      </c>
      <c r="D2551" s="3" t="s">
        <v>75</v>
      </c>
      <c r="E2551" s="3"/>
      <c r="F2551" s="3"/>
    </row>
    <row r="2552" spans="1:6" hidden="1" x14ac:dyDescent="0.3">
      <c r="A2552" s="7" t="str">
        <f>BD_ControlRegimen[[#This Row],[FECHA]]&amp;BD_ControlRegimen[[#This Row],[NOMBRE]]</f>
        <v>45276RAMIREZ ROMERO PAUL</v>
      </c>
      <c r="B2552" s="83">
        <f>WEEKNUM(BD_ControlRegimen[[#This Row],[FECHA]],2)</f>
        <v>51</v>
      </c>
      <c r="C2552" s="7">
        <v>45276</v>
      </c>
      <c r="D2552" s="3" t="s">
        <v>75</v>
      </c>
      <c r="E2552" s="3"/>
      <c r="F2552" s="3"/>
    </row>
    <row r="2553" spans="1:6" hidden="1" x14ac:dyDescent="0.3">
      <c r="A2553" s="14" t="str">
        <f>BD_ControlRegimen[[#This Row],[FECHA]]&amp;BD_ControlRegimen[[#This Row],[NOMBRE]]</f>
        <v>45277RAMIREZ ROMERO PAUL</v>
      </c>
      <c r="B2553" s="105">
        <f>WEEKNUM(BD_ControlRegimen[[#This Row],[FECHA]],2)</f>
        <v>51</v>
      </c>
      <c r="C2553" s="14">
        <v>45277</v>
      </c>
      <c r="D2553" s="3" t="s">
        <v>75</v>
      </c>
      <c r="E2553" s="3"/>
      <c r="F2553" s="97"/>
    </row>
    <row r="2554" spans="1:6" hidden="1" x14ac:dyDescent="0.3">
      <c r="A2554" s="7" t="str">
        <f>BD_ControlRegimen[[#This Row],[FECHA]]&amp;BD_ControlRegimen[[#This Row],[NOMBRE]]</f>
        <v>45278RAMIREZ ROMERO PAUL</v>
      </c>
      <c r="B2554" s="83">
        <f>WEEKNUM(BD_ControlRegimen[[#This Row],[FECHA]],2)</f>
        <v>52</v>
      </c>
      <c r="C2554" s="7">
        <v>45278</v>
      </c>
      <c r="D2554" s="3" t="s">
        <v>75</v>
      </c>
      <c r="E2554" s="3"/>
      <c r="F2554" s="3"/>
    </row>
    <row r="2555" spans="1:6" hidden="1" x14ac:dyDescent="0.3">
      <c r="A2555" s="7" t="str">
        <f>BD_ControlRegimen[[#This Row],[FECHA]]&amp;BD_ControlRegimen[[#This Row],[NOMBRE]]</f>
        <v>45279RAMIREZ ROMERO PAUL</v>
      </c>
      <c r="B2555" s="83">
        <f>WEEKNUM(BD_ControlRegimen[[#This Row],[FECHA]],2)</f>
        <v>52</v>
      </c>
      <c r="C2555" s="7">
        <v>45279</v>
      </c>
      <c r="D2555" s="3" t="s">
        <v>75</v>
      </c>
      <c r="E2555" s="3"/>
      <c r="F2555" s="3"/>
    </row>
    <row r="2556" spans="1:6" hidden="1" x14ac:dyDescent="0.3">
      <c r="A2556" s="7" t="str">
        <f>BD_ControlRegimen[[#This Row],[FECHA]]&amp;BD_ControlRegimen[[#This Row],[NOMBRE]]</f>
        <v>45280RAMIREZ ROMERO PAUL</v>
      </c>
      <c r="B2556" s="83">
        <f>WEEKNUM(BD_ControlRegimen[[#This Row],[FECHA]],2)</f>
        <v>52</v>
      </c>
      <c r="C2556" s="7">
        <v>45280</v>
      </c>
      <c r="D2556" s="3" t="s">
        <v>75</v>
      </c>
      <c r="E2556" s="3"/>
      <c r="F2556" s="3"/>
    </row>
    <row r="2557" spans="1:6" hidden="1" x14ac:dyDescent="0.3">
      <c r="A2557" s="7" t="str">
        <f>BD_ControlRegimen[[#This Row],[FECHA]]&amp;BD_ControlRegimen[[#This Row],[NOMBRE]]</f>
        <v>45281RAMIREZ ROMERO PAUL</v>
      </c>
      <c r="B2557" s="83">
        <f>WEEKNUM(BD_ControlRegimen[[#This Row],[FECHA]],2)</f>
        <v>52</v>
      </c>
      <c r="C2557" s="7">
        <v>45281</v>
      </c>
      <c r="D2557" s="3" t="s">
        <v>75</v>
      </c>
      <c r="E2557" s="3"/>
      <c r="F2557" s="3"/>
    </row>
    <row r="2558" spans="1:6" hidden="1" x14ac:dyDescent="0.3">
      <c r="A2558" s="7" t="str">
        <f>BD_ControlRegimen[[#This Row],[FECHA]]&amp;BD_ControlRegimen[[#This Row],[NOMBRE]]</f>
        <v>45282RAMIREZ ROMERO PAUL</v>
      </c>
      <c r="B2558" s="83">
        <f>WEEKNUM(BD_ControlRegimen[[#This Row],[FECHA]],2)</f>
        <v>52</v>
      </c>
      <c r="C2558" s="7">
        <v>45282</v>
      </c>
      <c r="D2558" s="3" t="s">
        <v>75</v>
      </c>
      <c r="E2558" s="3"/>
      <c r="F2558" s="3"/>
    </row>
    <row r="2559" spans="1:6" hidden="1" x14ac:dyDescent="0.3">
      <c r="A2559" s="7" t="str">
        <f>BD_ControlRegimen[[#This Row],[FECHA]]&amp;BD_ControlRegimen[[#This Row],[NOMBRE]]</f>
        <v>45283RAMIREZ ROMERO PAUL</v>
      </c>
      <c r="B2559" s="83">
        <f>WEEKNUM(BD_ControlRegimen[[#This Row],[FECHA]],2)</f>
        <v>52</v>
      </c>
      <c r="C2559" s="7">
        <v>45283</v>
      </c>
      <c r="D2559" s="3" t="s">
        <v>75</v>
      </c>
      <c r="E2559" s="3"/>
      <c r="F2559" s="3"/>
    </row>
    <row r="2560" spans="1:6" hidden="1" x14ac:dyDescent="0.3">
      <c r="A2560" s="7" t="str">
        <f>BD_ControlRegimen[[#This Row],[FECHA]]&amp;BD_ControlRegimen[[#This Row],[NOMBRE]]</f>
        <v>45284RAMIREZ ROMERO PAUL</v>
      </c>
      <c r="B2560" s="83">
        <f>WEEKNUM(BD_ControlRegimen[[#This Row],[FECHA]],2)</f>
        <v>52</v>
      </c>
      <c r="C2560" s="7">
        <v>45284</v>
      </c>
      <c r="D2560" s="3" t="s">
        <v>75</v>
      </c>
      <c r="E2560" s="3"/>
      <c r="F2560" s="3"/>
    </row>
    <row r="2561" spans="1:6" hidden="1" x14ac:dyDescent="0.3">
      <c r="A2561" s="7" t="str">
        <f>BD_ControlRegimen[[#This Row],[FECHA]]&amp;BD_ControlRegimen[[#This Row],[NOMBRE]]</f>
        <v>45285RAMIREZ ROMERO PAUL</v>
      </c>
      <c r="B2561" s="83">
        <f>WEEKNUM(BD_ControlRegimen[[#This Row],[FECHA]],2)</f>
        <v>53</v>
      </c>
      <c r="C2561" s="7">
        <v>45285</v>
      </c>
      <c r="D2561" s="3" t="s">
        <v>75</v>
      </c>
      <c r="E2561" s="3"/>
      <c r="F2561" s="3"/>
    </row>
    <row r="2562" spans="1:6" hidden="1" x14ac:dyDescent="0.3">
      <c r="A2562" s="7" t="str">
        <f>BD_ControlRegimen[[#This Row],[FECHA]]&amp;BD_ControlRegimen[[#This Row],[NOMBRE]]</f>
        <v>45286RAMIREZ ROMERO PAUL</v>
      </c>
      <c r="B2562" s="83">
        <f>WEEKNUM(BD_ControlRegimen[[#This Row],[FECHA]],2)</f>
        <v>53</v>
      </c>
      <c r="C2562" s="7">
        <v>45286</v>
      </c>
      <c r="D2562" s="3" t="s">
        <v>75</v>
      </c>
      <c r="E2562" s="3"/>
      <c r="F2562" s="3"/>
    </row>
    <row r="2563" spans="1:6" hidden="1" x14ac:dyDescent="0.3">
      <c r="A2563" s="7" t="str">
        <f>BD_ControlRegimen[[#This Row],[FECHA]]&amp;BD_ControlRegimen[[#This Row],[NOMBRE]]</f>
        <v>45287RAMIREZ ROMERO PAUL</v>
      </c>
      <c r="B2563" s="83">
        <f>WEEKNUM(BD_ControlRegimen[[#This Row],[FECHA]],2)</f>
        <v>53</v>
      </c>
      <c r="C2563" s="7">
        <v>45287</v>
      </c>
      <c r="D2563" s="3" t="s">
        <v>75</v>
      </c>
      <c r="E2563" s="3"/>
      <c r="F2563" s="3"/>
    </row>
    <row r="2564" spans="1:6" hidden="1" x14ac:dyDescent="0.3">
      <c r="A2564" s="7" t="str">
        <f>BD_ControlRegimen[[#This Row],[FECHA]]&amp;BD_ControlRegimen[[#This Row],[NOMBRE]]</f>
        <v>45288RAMIREZ ROMERO PAUL</v>
      </c>
      <c r="B2564" s="83">
        <f>WEEKNUM(BD_ControlRegimen[[#This Row],[FECHA]],2)</f>
        <v>53</v>
      </c>
      <c r="C2564" s="7">
        <v>45288</v>
      </c>
      <c r="D2564" s="3" t="s">
        <v>75</v>
      </c>
      <c r="E2564" s="3"/>
      <c r="F2564" s="3"/>
    </row>
    <row r="2565" spans="1:6" hidden="1" x14ac:dyDescent="0.3">
      <c r="A2565" s="7" t="str">
        <f>BD_ControlRegimen[[#This Row],[FECHA]]&amp;BD_ControlRegimen[[#This Row],[NOMBRE]]</f>
        <v>45289RAMIREZ ROMERO PAUL</v>
      </c>
      <c r="B2565" s="83">
        <f>WEEKNUM(BD_ControlRegimen[[#This Row],[FECHA]],2)</f>
        <v>53</v>
      </c>
      <c r="C2565" s="7">
        <v>45289</v>
      </c>
      <c r="D2565" s="3" t="s">
        <v>75</v>
      </c>
      <c r="E2565" s="3"/>
      <c r="F2565" s="3"/>
    </row>
    <row r="2566" spans="1:6" hidden="1" x14ac:dyDescent="0.3">
      <c r="A2566" s="7" t="str">
        <f>BD_ControlRegimen[[#This Row],[FECHA]]&amp;BD_ControlRegimen[[#This Row],[NOMBRE]]</f>
        <v>45290RAMIREZ ROMERO PAUL</v>
      </c>
      <c r="B2566" s="83">
        <f>WEEKNUM(BD_ControlRegimen[[#This Row],[FECHA]],2)</f>
        <v>53</v>
      </c>
      <c r="C2566" s="7">
        <v>45290</v>
      </c>
      <c r="D2566" s="3" t="s">
        <v>75</v>
      </c>
      <c r="E2566" s="3"/>
      <c r="F2566" s="3"/>
    </row>
    <row r="2567" spans="1:6" hidden="1" x14ac:dyDescent="0.3">
      <c r="A2567" s="7" t="str">
        <f>BD_ControlRegimen[[#This Row],[FECHA]]&amp;BD_ControlRegimen[[#This Row],[NOMBRE]]</f>
        <v>45291RAMIREZ ROMERO PAUL</v>
      </c>
      <c r="B2567" s="83">
        <f>WEEKNUM(BD_ControlRegimen[[#This Row],[FECHA]],2)</f>
        <v>53</v>
      </c>
      <c r="C2567" s="7">
        <v>45291</v>
      </c>
      <c r="D2567" s="3" t="s">
        <v>75</v>
      </c>
      <c r="E2567" s="3"/>
      <c r="F2567" s="3"/>
    </row>
    <row r="2568" spans="1:6" hidden="1" x14ac:dyDescent="0.3">
      <c r="A2568" s="99" t="str">
        <f>BD_ControlRegimen[[#This Row],[FECHA]]&amp;BD_ControlRegimen[[#This Row],[NOMBRE]]</f>
        <v>44927REYES MAURICIO DAVID</v>
      </c>
      <c r="B2568" s="100">
        <f>WEEKNUM(BD_ControlRegimen[[#This Row],[FECHA]],2)</f>
        <v>1</v>
      </c>
      <c r="C2568" s="99">
        <v>44927</v>
      </c>
      <c r="D2568" s="3" t="s">
        <v>68</v>
      </c>
      <c r="E2568" s="101"/>
      <c r="F2568" s="101"/>
    </row>
    <row r="2569" spans="1:6" hidden="1" x14ac:dyDescent="0.3">
      <c r="A2569" s="99" t="str">
        <f>BD_ControlRegimen[[#This Row],[FECHA]]&amp;BD_ControlRegimen[[#This Row],[NOMBRE]]</f>
        <v>44928REYES MAURICIO DAVID</v>
      </c>
      <c r="B2569" s="100">
        <f>WEEKNUM(BD_ControlRegimen[[#This Row],[FECHA]],2)</f>
        <v>2</v>
      </c>
      <c r="C2569" s="99">
        <v>44928</v>
      </c>
      <c r="D2569" s="3" t="s">
        <v>68</v>
      </c>
      <c r="E2569" s="101"/>
      <c r="F2569" s="101"/>
    </row>
    <row r="2570" spans="1:6" hidden="1" x14ac:dyDescent="0.3">
      <c r="A2570" s="99" t="str">
        <f>BD_ControlRegimen[[#This Row],[FECHA]]&amp;BD_ControlRegimen[[#This Row],[NOMBRE]]</f>
        <v>44929REYES MAURICIO DAVID</v>
      </c>
      <c r="B2570" s="100">
        <f>WEEKNUM(BD_ControlRegimen[[#This Row],[FECHA]],2)</f>
        <v>2</v>
      </c>
      <c r="C2570" s="99">
        <v>44929</v>
      </c>
      <c r="D2570" s="3" t="s">
        <v>68</v>
      </c>
      <c r="E2570" s="101"/>
      <c r="F2570" s="101"/>
    </row>
    <row r="2571" spans="1:6" hidden="1" x14ac:dyDescent="0.3">
      <c r="A2571" s="99" t="str">
        <f>BD_ControlRegimen[[#This Row],[FECHA]]&amp;BD_ControlRegimen[[#This Row],[NOMBRE]]</f>
        <v>44930REYES MAURICIO DAVID</v>
      </c>
      <c r="B2571" s="100">
        <f>WEEKNUM(BD_ControlRegimen[[#This Row],[FECHA]],2)</f>
        <v>2</v>
      </c>
      <c r="C2571" s="99">
        <v>44930</v>
      </c>
      <c r="D2571" s="3" t="s">
        <v>68</v>
      </c>
      <c r="E2571" s="101"/>
      <c r="F2571" s="101"/>
    </row>
    <row r="2572" spans="1:6" hidden="1" x14ac:dyDescent="0.3">
      <c r="A2572" s="99" t="str">
        <f>BD_ControlRegimen[[#This Row],[FECHA]]&amp;BD_ControlRegimen[[#This Row],[NOMBRE]]</f>
        <v>44931REYES MAURICIO DAVID</v>
      </c>
      <c r="B2572" s="100">
        <f>WEEKNUM(BD_ControlRegimen[[#This Row],[FECHA]],2)</f>
        <v>2</v>
      </c>
      <c r="C2572" s="99">
        <v>44931</v>
      </c>
      <c r="D2572" s="3" t="s">
        <v>68</v>
      </c>
      <c r="E2572" s="101"/>
      <c r="F2572" s="101"/>
    </row>
    <row r="2573" spans="1:6" hidden="1" x14ac:dyDescent="0.3">
      <c r="A2573" s="99" t="str">
        <f>BD_ControlRegimen[[#This Row],[FECHA]]&amp;BD_ControlRegimen[[#This Row],[NOMBRE]]</f>
        <v>44932REYES MAURICIO DAVID</v>
      </c>
      <c r="B2573" s="100">
        <f>WEEKNUM(BD_ControlRegimen[[#This Row],[FECHA]],2)</f>
        <v>2</v>
      </c>
      <c r="C2573" s="99">
        <v>44932</v>
      </c>
      <c r="D2573" s="3" t="s">
        <v>68</v>
      </c>
      <c r="E2573" s="101"/>
      <c r="F2573" s="101"/>
    </row>
    <row r="2574" spans="1:6" hidden="1" x14ac:dyDescent="0.3">
      <c r="A2574" s="102" t="str">
        <f>BD_ControlRegimen[[#This Row],[FECHA]]&amp;BD_ControlRegimen[[#This Row],[NOMBRE]]</f>
        <v>44933REYES MAURICIO DAVID</v>
      </c>
      <c r="B2574" s="103">
        <f>WEEKNUM(BD_ControlRegimen[[#This Row],[FECHA]],2)</f>
        <v>2</v>
      </c>
      <c r="C2574" s="102">
        <v>44933</v>
      </c>
      <c r="D2574" s="3" t="s">
        <v>68</v>
      </c>
      <c r="E2574" s="101"/>
      <c r="F2574" s="104"/>
    </row>
    <row r="2575" spans="1:6" hidden="1" x14ac:dyDescent="0.3">
      <c r="A2575" s="99" t="str">
        <f>BD_ControlRegimen[[#This Row],[FECHA]]&amp;BD_ControlRegimen[[#This Row],[NOMBRE]]</f>
        <v>44934REYES MAURICIO DAVID</v>
      </c>
      <c r="B2575" s="100">
        <f>WEEKNUM(BD_ControlRegimen[[#This Row],[FECHA]],2)</f>
        <v>2</v>
      </c>
      <c r="C2575" s="99">
        <v>44934</v>
      </c>
      <c r="D2575" s="3" t="s">
        <v>68</v>
      </c>
      <c r="E2575" s="101"/>
      <c r="F2575" s="101"/>
    </row>
    <row r="2576" spans="1:6" hidden="1" x14ac:dyDescent="0.3">
      <c r="A2576" s="99" t="str">
        <f>BD_ControlRegimen[[#This Row],[FECHA]]&amp;BD_ControlRegimen[[#This Row],[NOMBRE]]</f>
        <v>44935REYES MAURICIO DAVID</v>
      </c>
      <c r="B2576" s="100">
        <f>WEEKNUM(BD_ControlRegimen[[#This Row],[FECHA]],2)</f>
        <v>3</v>
      </c>
      <c r="C2576" s="99">
        <v>44935</v>
      </c>
      <c r="D2576" s="3" t="s">
        <v>68</v>
      </c>
      <c r="E2576" s="101"/>
      <c r="F2576" s="101"/>
    </row>
    <row r="2577" spans="1:6" hidden="1" x14ac:dyDescent="0.3">
      <c r="A2577" s="99" t="str">
        <f>BD_ControlRegimen[[#This Row],[FECHA]]&amp;BD_ControlRegimen[[#This Row],[NOMBRE]]</f>
        <v>44936REYES MAURICIO DAVID</v>
      </c>
      <c r="B2577" s="100">
        <f>WEEKNUM(BD_ControlRegimen[[#This Row],[FECHA]],2)</f>
        <v>3</v>
      </c>
      <c r="C2577" s="99">
        <v>44936</v>
      </c>
      <c r="D2577" s="3" t="s">
        <v>68</v>
      </c>
      <c r="E2577" s="101"/>
      <c r="F2577" s="101"/>
    </row>
    <row r="2578" spans="1:6" hidden="1" x14ac:dyDescent="0.3">
      <c r="A2578" s="99" t="str">
        <f>BD_ControlRegimen[[#This Row],[FECHA]]&amp;BD_ControlRegimen[[#This Row],[NOMBRE]]</f>
        <v>44937REYES MAURICIO DAVID</v>
      </c>
      <c r="B2578" s="100">
        <f>WEEKNUM(BD_ControlRegimen[[#This Row],[FECHA]],2)</f>
        <v>3</v>
      </c>
      <c r="C2578" s="99">
        <v>44937</v>
      </c>
      <c r="D2578" s="3" t="s">
        <v>68</v>
      </c>
      <c r="E2578" s="101"/>
      <c r="F2578" s="101"/>
    </row>
    <row r="2579" spans="1:6" hidden="1" x14ac:dyDescent="0.3">
      <c r="A2579" s="99" t="str">
        <f>BD_ControlRegimen[[#This Row],[FECHA]]&amp;BD_ControlRegimen[[#This Row],[NOMBRE]]</f>
        <v>44938REYES MAURICIO DAVID</v>
      </c>
      <c r="B2579" s="100">
        <f>WEEKNUM(BD_ControlRegimen[[#This Row],[FECHA]],2)</f>
        <v>3</v>
      </c>
      <c r="C2579" s="99">
        <v>44938</v>
      </c>
      <c r="D2579" s="3" t="s">
        <v>68</v>
      </c>
      <c r="E2579" s="101"/>
      <c r="F2579" s="101"/>
    </row>
    <row r="2580" spans="1:6" hidden="1" x14ac:dyDescent="0.3">
      <c r="A2580" s="99" t="str">
        <f>BD_ControlRegimen[[#This Row],[FECHA]]&amp;BD_ControlRegimen[[#This Row],[NOMBRE]]</f>
        <v>44939REYES MAURICIO DAVID</v>
      </c>
      <c r="B2580" s="100">
        <f>WEEKNUM(BD_ControlRegimen[[#This Row],[FECHA]],2)</f>
        <v>3</v>
      </c>
      <c r="C2580" s="99">
        <v>44939</v>
      </c>
      <c r="D2580" s="3" t="s">
        <v>68</v>
      </c>
      <c r="E2580" s="101"/>
      <c r="F2580" s="101"/>
    </row>
    <row r="2581" spans="1:6" hidden="1" x14ac:dyDescent="0.3">
      <c r="A2581" s="99" t="str">
        <f>BD_ControlRegimen[[#This Row],[FECHA]]&amp;BD_ControlRegimen[[#This Row],[NOMBRE]]</f>
        <v>44940REYES MAURICIO DAVID</v>
      </c>
      <c r="B2581" s="100">
        <f>WEEKNUM(BD_ControlRegimen[[#This Row],[FECHA]],2)</f>
        <v>3</v>
      </c>
      <c r="C2581" s="99">
        <v>44940</v>
      </c>
      <c r="D2581" s="3" t="s">
        <v>68</v>
      </c>
      <c r="E2581" s="101"/>
      <c r="F2581" s="101"/>
    </row>
    <row r="2582" spans="1:6" hidden="1" x14ac:dyDescent="0.3">
      <c r="A2582" s="99" t="str">
        <f>BD_ControlRegimen[[#This Row],[FECHA]]&amp;BD_ControlRegimen[[#This Row],[NOMBRE]]</f>
        <v>44941REYES MAURICIO DAVID</v>
      </c>
      <c r="B2582" s="100">
        <f>WEEKNUM(BD_ControlRegimen[[#This Row],[FECHA]],2)</f>
        <v>3</v>
      </c>
      <c r="C2582" s="99">
        <v>44941</v>
      </c>
      <c r="D2582" s="3" t="s">
        <v>68</v>
      </c>
      <c r="E2582" s="101"/>
      <c r="F2582" s="101"/>
    </row>
    <row r="2583" spans="1:6" hidden="1" x14ac:dyDescent="0.3">
      <c r="A2583" s="99" t="str">
        <f>BD_ControlRegimen[[#This Row],[FECHA]]&amp;BD_ControlRegimen[[#This Row],[NOMBRE]]</f>
        <v>44942REYES MAURICIO DAVID</v>
      </c>
      <c r="B2583" s="100">
        <f>WEEKNUM(BD_ControlRegimen[[#This Row],[FECHA]],2)</f>
        <v>4</v>
      </c>
      <c r="C2583" s="99">
        <v>44942</v>
      </c>
      <c r="D2583" s="3" t="s">
        <v>68</v>
      </c>
      <c r="E2583" s="101"/>
      <c r="F2583" s="101"/>
    </row>
    <row r="2584" spans="1:6" hidden="1" x14ac:dyDescent="0.3">
      <c r="A2584" s="99" t="str">
        <f>BD_ControlRegimen[[#This Row],[FECHA]]&amp;BD_ControlRegimen[[#This Row],[NOMBRE]]</f>
        <v>44943REYES MAURICIO DAVID</v>
      </c>
      <c r="B2584" s="100">
        <f>WEEKNUM(BD_ControlRegimen[[#This Row],[FECHA]],2)</f>
        <v>4</v>
      </c>
      <c r="C2584" s="99">
        <v>44943</v>
      </c>
      <c r="D2584" s="3" t="s">
        <v>68</v>
      </c>
      <c r="E2584" s="101"/>
      <c r="F2584" s="101"/>
    </row>
    <row r="2585" spans="1:6" hidden="1" x14ac:dyDescent="0.3">
      <c r="A2585" s="99" t="str">
        <f>BD_ControlRegimen[[#This Row],[FECHA]]&amp;BD_ControlRegimen[[#This Row],[NOMBRE]]</f>
        <v>44944REYES MAURICIO DAVID</v>
      </c>
      <c r="B2585" s="100">
        <f>WEEKNUM(BD_ControlRegimen[[#This Row],[FECHA]],2)</f>
        <v>4</v>
      </c>
      <c r="C2585" s="99">
        <v>44944</v>
      </c>
      <c r="D2585" s="3" t="s">
        <v>68</v>
      </c>
      <c r="E2585" s="101"/>
      <c r="F2585" s="101"/>
    </row>
    <row r="2586" spans="1:6" hidden="1" x14ac:dyDescent="0.3">
      <c r="A2586" s="99" t="str">
        <f>BD_ControlRegimen[[#This Row],[FECHA]]&amp;BD_ControlRegimen[[#This Row],[NOMBRE]]</f>
        <v>44945REYES MAURICIO DAVID</v>
      </c>
      <c r="B2586" s="100">
        <f>WEEKNUM(BD_ControlRegimen[[#This Row],[FECHA]],2)</f>
        <v>4</v>
      </c>
      <c r="C2586" s="99">
        <v>44945</v>
      </c>
      <c r="D2586" s="3" t="s">
        <v>68</v>
      </c>
      <c r="E2586" s="101"/>
      <c r="F2586" s="101"/>
    </row>
    <row r="2587" spans="1:6" hidden="1" x14ac:dyDescent="0.3">
      <c r="A2587" s="99" t="str">
        <f>BD_ControlRegimen[[#This Row],[FECHA]]&amp;BD_ControlRegimen[[#This Row],[NOMBRE]]</f>
        <v>44946REYES MAURICIO DAVID</v>
      </c>
      <c r="B2587" s="100">
        <f>WEEKNUM(BD_ControlRegimen[[#This Row],[FECHA]],2)</f>
        <v>4</v>
      </c>
      <c r="C2587" s="99">
        <v>44946</v>
      </c>
      <c r="D2587" s="3" t="s">
        <v>68</v>
      </c>
      <c r="E2587" s="101"/>
      <c r="F2587" s="101"/>
    </row>
    <row r="2588" spans="1:6" hidden="1" x14ac:dyDescent="0.3">
      <c r="A2588" s="102" t="str">
        <f>BD_ControlRegimen[[#This Row],[FECHA]]&amp;BD_ControlRegimen[[#This Row],[NOMBRE]]</f>
        <v>44947REYES MAURICIO DAVID</v>
      </c>
      <c r="B2588" s="103">
        <f>WEEKNUM(BD_ControlRegimen[[#This Row],[FECHA]],2)</f>
        <v>4</v>
      </c>
      <c r="C2588" s="102">
        <v>44947</v>
      </c>
      <c r="D2588" s="3" t="s">
        <v>68</v>
      </c>
      <c r="E2588" s="101"/>
      <c r="F2588" s="104"/>
    </row>
    <row r="2589" spans="1:6" hidden="1" x14ac:dyDescent="0.3">
      <c r="A2589" s="99" t="str">
        <f>BD_ControlRegimen[[#This Row],[FECHA]]&amp;BD_ControlRegimen[[#This Row],[NOMBRE]]</f>
        <v>44948REYES MAURICIO DAVID</v>
      </c>
      <c r="B2589" s="100">
        <f>WEEKNUM(BD_ControlRegimen[[#This Row],[FECHA]],2)</f>
        <v>4</v>
      </c>
      <c r="C2589" s="99">
        <v>44948</v>
      </c>
      <c r="D2589" s="3" t="s">
        <v>68</v>
      </c>
      <c r="E2589" s="101"/>
      <c r="F2589" s="101"/>
    </row>
    <row r="2590" spans="1:6" hidden="1" x14ac:dyDescent="0.3">
      <c r="A2590" s="99" t="str">
        <f>BD_ControlRegimen[[#This Row],[FECHA]]&amp;BD_ControlRegimen[[#This Row],[NOMBRE]]</f>
        <v>44949REYES MAURICIO DAVID</v>
      </c>
      <c r="B2590" s="100">
        <f>WEEKNUM(BD_ControlRegimen[[#This Row],[FECHA]],2)</f>
        <v>5</v>
      </c>
      <c r="C2590" s="99">
        <v>44949</v>
      </c>
      <c r="D2590" s="3" t="s">
        <v>68</v>
      </c>
      <c r="E2590" s="101"/>
      <c r="F2590" s="101"/>
    </row>
    <row r="2591" spans="1:6" hidden="1" x14ac:dyDescent="0.3">
      <c r="A2591" s="99" t="str">
        <f>BD_ControlRegimen[[#This Row],[FECHA]]&amp;BD_ControlRegimen[[#This Row],[NOMBRE]]</f>
        <v>44950REYES MAURICIO DAVID</v>
      </c>
      <c r="B2591" s="100">
        <f>WEEKNUM(BD_ControlRegimen[[#This Row],[FECHA]],2)</f>
        <v>5</v>
      </c>
      <c r="C2591" s="99">
        <v>44950</v>
      </c>
      <c r="D2591" s="3" t="s">
        <v>68</v>
      </c>
      <c r="E2591" s="101"/>
      <c r="F2591" s="101"/>
    </row>
    <row r="2592" spans="1:6" hidden="1" x14ac:dyDescent="0.3">
      <c r="A2592" s="99" t="str">
        <f>BD_ControlRegimen[[#This Row],[FECHA]]&amp;BD_ControlRegimen[[#This Row],[NOMBRE]]</f>
        <v>44951REYES MAURICIO DAVID</v>
      </c>
      <c r="B2592" s="100">
        <f>WEEKNUM(BD_ControlRegimen[[#This Row],[FECHA]],2)</f>
        <v>5</v>
      </c>
      <c r="C2592" s="99">
        <v>44951</v>
      </c>
      <c r="D2592" s="3" t="s">
        <v>68</v>
      </c>
      <c r="E2592" s="101"/>
      <c r="F2592" s="101"/>
    </row>
    <row r="2593" spans="1:6" hidden="1" x14ac:dyDescent="0.3">
      <c r="A2593" s="99" t="str">
        <f>BD_ControlRegimen[[#This Row],[FECHA]]&amp;BD_ControlRegimen[[#This Row],[NOMBRE]]</f>
        <v>44952REYES MAURICIO DAVID</v>
      </c>
      <c r="B2593" s="100">
        <f>WEEKNUM(BD_ControlRegimen[[#This Row],[FECHA]],2)</f>
        <v>5</v>
      </c>
      <c r="C2593" s="99">
        <v>44952</v>
      </c>
      <c r="D2593" s="3" t="s">
        <v>68</v>
      </c>
      <c r="E2593" s="101"/>
      <c r="F2593" s="101"/>
    </row>
    <row r="2594" spans="1:6" hidden="1" x14ac:dyDescent="0.3">
      <c r="A2594" s="99" t="str">
        <f>BD_ControlRegimen[[#This Row],[FECHA]]&amp;BD_ControlRegimen[[#This Row],[NOMBRE]]</f>
        <v>44953REYES MAURICIO DAVID</v>
      </c>
      <c r="B2594" s="100">
        <f>WEEKNUM(BD_ControlRegimen[[#This Row],[FECHA]],2)</f>
        <v>5</v>
      </c>
      <c r="C2594" s="99">
        <v>44953</v>
      </c>
      <c r="D2594" s="3" t="s">
        <v>68</v>
      </c>
      <c r="E2594" s="101"/>
      <c r="F2594" s="101"/>
    </row>
    <row r="2595" spans="1:6" hidden="1" x14ac:dyDescent="0.3">
      <c r="A2595" s="99" t="str">
        <f>BD_ControlRegimen[[#This Row],[FECHA]]&amp;BD_ControlRegimen[[#This Row],[NOMBRE]]</f>
        <v>44954REYES MAURICIO DAVID</v>
      </c>
      <c r="B2595" s="100">
        <f>WEEKNUM(BD_ControlRegimen[[#This Row],[FECHA]],2)</f>
        <v>5</v>
      </c>
      <c r="C2595" s="99">
        <v>44954</v>
      </c>
      <c r="D2595" s="3" t="s">
        <v>68</v>
      </c>
      <c r="E2595" s="101"/>
      <c r="F2595" s="101"/>
    </row>
    <row r="2596" spans="1:6" hidden="1" x14ac:dyDescent="0.3">
      <c r="A2596" s="99" t="str">
        <f>BD_ControlRegimen[[#This Row],[FECHA]]&amp;BD_ControlRegimen[[#This Row],[NOMBRE]]</f>
        <v>44955REYES MAURICIO DAVID</v>
      </c>
      <c r="B2596" s="100">
        <f>WEEKNUM(BD_ControlRegimen[[#This Row],[FECHA]],2)</f>
        <v>5</v>
      </c>
      <c r="C2596" s="99">
        <v>44955</v>
      </c>
      <c r="D2596" s="3" t="s">
        <v>68</v>
      </c>
      <c r="E2596" s="101"/>
      <c r="F2596" s="101"/>
    </row>
    <row r="2597" spans="1:6" hidden="1" x14ac:dyDescent="0.3">
      <c r="A2597" s="99" t="str">
        <f>BD_ControlRegimen[[#This Row],[FECHA]]&amp;BD_ControlRegimen[[#This Row],[NOMBRE]]</f>
        <v>44956REYES MAURICIO DAVID</v>
      </c>
      <c r="B2597" s="100">
        <f>WEEKNUM(BD_ControlRegimen[[#This Row],[FECHA]],2)</f>
        <v>6</v>
      </c>
      <c r="C2597" s="99">
        <v>44956</v>
      </c>
      <c r="D2597" s="3" t="s">
        <v>68</v>
      </c>
      <c r="E2597" s="101"/>
      <c r="F2597" s="101"/>
    </row>
    <row r="2598" spans="1:6" hidden="1" x14ac:dyDescent="0.3">
      <c r="A2598" s="99" t="str">
        <f>BD_ControlRegimen[[#This Row],[FECHA]]&amp;BD_ControlRegimen[[#This Row],[NOMBRE]]</f>
        <v>44957REYES MAURICIO DAVID</v>
      </c>
      <c r="B2598" s="100">
        <f>WEEKNUM(BD_ControlRegimen[[#This Row],[FECHA]],2)</f>
        <v>6</v>
      </c>
      <c r="C2598" s="99">
        <v>44957</v>
      </c>
      <c r="D2598" s="3" t="s">
        <v>68</v>
      </c>
      <c r="E2598" s="101"/>
      <c r="F2598" s="101"/>
    </row>
    <row r="2599" spans="1:6" hidden="1" x14ac:dyDescent="0.3">
      <c r="A2599" s="99" t="str">
        <f>BD_ControlRegimen[[#This Row],[FECHA]]&amp;BD_ControlRegimen[[#This Row],[NOMBRE]]</f>
        <v>44958REYES MAURICIO DAVID</v>
      </c>
      <c r="B2599" s="100">
        <f>WEEKNUM(BD_ControlRegimen[[#This Row],[FECHA]],2)</f>
        <v>6</v>
      </c>
      <c r="C2599" s="99">
        <v>44958</v>
      </c>
      <c r="D2599" s="3" t="s">
        <v>68</v>
      </c>
      <c r="E2599" s="101"/>
      <c r="F2599" s="101"/>
    </row>
    <row r="2600" spans="1:6" hidden="1" x14ac:dyDescent="0.3">
      <c r="A2600" s="99" t="str">
        <f>BD_ControlRegimen[[#This Row],[FECHA]]&amp;BD_ControlRegimen[[#This Row],[NOMBRE]]</f>
        <v>44959REYES MAURICIO DAVID</v>
      </c>
      <c r="B2600" s="100">
        <f>WEEKNUM(BD_ControlRegimen[[#This Row],[FECHA]],2)</f>
        <v>6</v>
      </c>
      <c r="C2600" s="99">
        <v>44959</v>
      </c>
      <c r="D2600" s="3" t="s">
        <v>68</v>
      </c>
      <c r="E2600" s="101"/>
      <c r="F2600" s="101"/>
    </row>
    <row r="2601" spans="1:6" hidden="1" x14ac:dyDescent="0.3">
      <c r="A2601" s="99" t="str">
        <f>BD_ControlRegimen[[#This Row],[FECHA]]&amp;BD_ControlRegimen[[#This Row],[NOMBRE]]</f>
        <v>44960REYES MAURICIO DAVID</v>
      </c>
      <c r="B2601" s="100">
        <f>WEEKNUM(BD_ControlRegimen[[#This Row],[FECHA]],2)</f>
        <v>6</v>
      </c>
      <c r="C2601" s="99">
        <v>44960</v>
      </c>
      <c r="D2601" s="3" t="s">
        <v>68</v>
      </c>
      <c r="E2601" s="101"/>
      <c r="F2601" s="101"/>
    </row>
    <row r="2602" spans="1:6" hidden="1" x14ac:dyDescent="0.3">
      <c r="A2602" s="99" t="str">
        <f>BD_ControlRegimen[[#This Row],[FECHA]]&amp;BD_ControlRegimen[[#This Row],[NOMBRE]]</f>
        <v>44961REYES MAURICIO DAVID</v>
      </c>
      <c r="B2602" s="100">
        <f>WEEKNUM(BD_ControlRegimen[[#This Row],[FECHA]],2)</f>
        <v>6</v>
      </c>
      <c r="C2602" s="99">
        <v>44961</v>
      </c>
      <c r="D2602" s="3" t="s">
        <v>68</v>
      </c>
      <c r="E2602" s="101"/>
      <c r="F2602" s="101"/>
    </row>
    <row r="2603" spans="1:6" hidden="1" x14ac:dyDescent="0.3">
      <c r="A2603" s="99" t="str">
        <f>BD_ControlRegimen[[#This Row],[FECHA]]&amp;BD_ControlRegimen[[#This Row],[NOMBRE]]</f>
        <v>44962REYES MAURICIO DAVID</v>
      </c>
      <c r="B2603" s="100">
        <f>WEEKNUM(BD_ControlRegimen[[#This Row],[FECHA]],2)</f>
        <v>6</v>
      </c>
      <c r="C2603" s="99">
        <v>44962</v>
      </c>
      <c r="D2603" s="3" t="s">
        <v>68</v>
      </c>
      <c r="E2603" s="101"/>
      <c r="F2603" s="101"/>
    </row>
    <row r="2604" spans="1:6" hidden="1" x14ac:dyDescent="0.3">
      <c r="A2604" s="99" t="str">
        <f>BD_ControlRegimen[[#This Row],[FECHA]]&amp;BD_ControlRegimen[[#This Row],[NOMBRE]]</f>
        <v>44963REYES MAURICIO DAVID</v>
      </c>
      <c r="B2604" s="100">
        <f>WEEKNUM(BD_ControlRegimen[[#This Row],[FECHA]],2)</f>
        <v>7</v>
      </c>
      <c r="C2604" s="99">
        <v>44963</v>
      </c>
      <c r="D2604" s="3" t="s">
        <v>68</v>
      </c>
      <c r="E2604" s="101"/>
      <c r="F2604" s="101"/>
    </row>
    <row r="2605" spans="1:6" hidden="1" x14ac:dyDescent="0.3">
      <c r="A2605" s="99" t="str">
        <f>BD_ControlRegimen[[#This Row],[FECHA]]&amp;BD_ControlRegimen[[#This Row],[NOMBRE]]</f>
        <v>44964REYES MAURICIO DAVID</v>
      </c>
      <c r="B2605" s="100">
        <f>WEEKNUM(BD_ControlRegimen[[#This Row],[FECHA]],2)</f>
        <v>7</v>
      </c>
      <c r="C2605" s="99">
        <v>44964</v>
      </c>
      <c r="D2605" s="3" t="s">
        <v>68</v>
      </c>
      <c r="E2605" s="101"/>
      <c r="F2605" s="101"/>
    </row>
    <row r="2606" spans="1:6" hidden="1" x14ac:dyDescent="0.3">
      <c r="A2606" s="99" t="str">
        <f>BD_ControlRegimen[[#This Row],[FECHA]]&amp;BD_ControlRegimen[[#This Row],[NOMBRE]]</f>
        <v>44965REYES MAURICIO DAVID</v>
      </c>
      <c r="B2606" s="100">
        <f>WEEKNUM(BD_ControlRegimen[[#This Row],[FECHA]],2)</f>
        <v>7</v>
      </c>
      <c r="C2606" s="99">
        <v>44965</v>
      </c>
      <c r="D2606" s="3" t="s">
        <v>68</v>
      </c>
      <c r="E2606" s="101"/>
      <c r="F2606" s="101"/>
    </row>
    <row r="2607" spans="1:6" hidden="1" x14ac:dyDescent="0.3">
      <c r="A2607" s="99" t="str">
        <f>BD_ControlRegimen[[#This Row],[FECHA]]&amp;BD_ControlRegimen[[#This Row],[NOMBRE]]</f>
        <v>44966REYES MAURICIO DAVID</v>
      </c>
      <c r="B2607" s="100">
        <f>WEEKNUM(BD_ControlRegimen[[#This Row],[FECHA]],2)</f>
        <v>7</v>
      </c>
      <c r="C2607" s="99">
        <v>44966</v>
      </c>
      <c r="D2607" s="3" t="s">
        <v>68</v>
      </c>
      <c r="E2607" s="101"/>
      <c r="F2607" s="101"/>
    </row>
    <row r="2608" spans="1:6" hidden="1" x14ac:dyDescent="0.3">
      <c r="A2608" s="99" t="str">
        <f>BD_ControlRegimen[[#This Row],[FECHA]]&amp;BD_ControlRegimen[[#This Row],[NOMBRE]]</f>
        <v>44967REYES MAURICIO DAVID</v>
      </c>
      <c r="B2608" s="100">
        <f>WEEKNUM(BD_ControlRegimen[[#This Row],[FECHA]],2)</f>
        <v>7</v>
      </c>
      <c r="C2608" s="99">
        <v>44967</v>
      </c>
      <c r="D2608" s="3" t="s">
        <v>68</v>
      </c>
      <c r="E2608" s="101"/>
      <c r="F2608" s="101"/>
    </row>
    <row r="2609" spans="1:6" hidden="1" x14ac:dyDescent="0.3">
      <c r="A2609" s="99" t="str">
        <f>BD_ControlRegimen[[#This Row],[FECHA]]&amp;BD_ControlRegimen[[#This Row],[NOMBRE]]</f>
        <v>44968REYES MAURICIO DAVID</v>
      </c>
      <c r="B2609" s="100">
        <f>WEEKNUM(BD_ControlRegimen[[#This Row],[FECHA]],2)</f>
        <v>7</v>
      </c>
      <c r="C2609" s="99">
        <v>44968</v>
      </c>
      <c r="D2609" s="3" t="s">
        <v>68</v>
      </c>
      <c r="E2609" s="101"/>
      <c r="F2609" s="101"/>
    </row>
    <row r="2610" spans="1:6" hidden="1" x14ac:dyDescent="0.3">
      <c r="A2610" s="99" t="str">
        <f>BD_ControlRegimen[[#This Row],[FECHA]]&amp;BD_ControlRegimen[[#This Row],[NOMBRE]]</f>
        <v>44969REYES MAURICIO DAVID</v>
      </c>
      <c r="B2610" s="100">
        <f>WEEKNUM(BD_ControlRegimen[[#This Row],[FECHA]],2)</f>
        <v>7</v>
      </c>
      <c r="C2610" s="99">
        <v>44969</v>
      </c>
      <c r="D2610" s="3" t="s">
        <v>68</v>
      </c>
      <c r="E2610" s="101"/>
      <c r="F2610" s="101"/>
    </row>
    <row r="2611" spans="1:6" hidden="1" x14ac:dyDescent="0.3">
      <c r="A2611" s="99" t="str">
        <f>BD_ControlRegimen[[#This Row],[FECHA]]&amp;BD_ControlRegimen[[#This Row],[NOMBRE]]</f>
        <v>44970REYES MAURICIO DAVID</v>
      </c>
      <c r="B2611" s="100">
        <f>WEEKNUM(BD_ControlRegimen[[#This Row],[FECHA]],2)</f>
        <v>8</v>
      </c>
      <c r="C2611" s="99">
        <v>44970</v>
      </c>
      <c r="D2611" s="3" t="s">
        <v>68</v>
      </c>
      <c r="E2611" s="101"/>
      <c r="F2611" s="101"/>
    </row>
    <row r="2612" spans="1:6" hidden="1" x14ac:dyDescent="0.3">
      <c r="A2612" s="99" t="str">
        <f>BD_ControlRegimen[[#This Row],[FECHA]]&amp;BD_ControlRegimen[[#This Row],[NOMBRE]]</f>
        <v>44971REYES MAURICIO DAVID</v>
      </c>
      <c r="B2612" s="100">
        <f>WEEKNUM(BD_ControlRegimen[[#This Row],[FECHA]],2)</f>
        <v>8</v>
      </c>
      <c r="C2612" s="99">
        <v>44971</v>
      </c>
      <c r="D2612" s="3" t="s">
        <v>68</v>
      </c>
      <c r="E2612" s="101"/>
      <c r="F2612" s="101"/>
    </row>
    <row r="2613" spans="1:6" hidden="1" x14ac:dyDescent="0.3">
      <c r="A2613" s="99" t="str">
        <f>BD_ControlRegimen[[#This Row],[FECHA]]&amp;BD_ControlRegimen[[#This Row],[NOMBRE]]</f>
        <v>44972REYES MAURICIO DAVID</v>
      </c>
      <c r="B2613" s="100">
        <f>WEEKNUM(BD_ControlRegimen[[#This Row],[FECHA]],2)</f>
        <v>8</v>
      </c>
      <c r="C2613" s="99">
        <v>44972</v>
      </c>
      <c r="D2613" s="3" t="s">
        <v>68</v>
      </c>
      <c r="E2613" s="101"/>
      <c r="F2613" s="101"/>
    </row>
    <row r="2614" spans="1:6" hidden="1" x14ac:dyDescent="0.3">
      <c r="A2614" s="99" t="str">
        <f>BD_ControlRegimen[[#This Row],[FECHA]]&amp;BD_ControlRegimen[[#This Row],[NOMBRE]]</f>
        <v>44973REYES MAURICIO DAVID</v>
      </c>
      <c r="B2614" s="100">
        <f>WEEKNUM(BD_ControlRegimen[[#This Row],[FECHA]],2)</f>
        <v>8</v>
      </c>
      <c r="C2614" s="99">
        <v>44973</v>
      </c>
      <c r="D2614" s="3" t="s">
        <v>68</v>
      </c>
      <c r="E2614" s="101"/>
      <c r="F2614" s="101"/>
    </row>
    <row r="2615" spans="1:6" hidden="1" x14ac:dyDescent="0.3">
      <c r="A2615" s="99" t="str">
        <f>BD_ControlRegimen[[#This Row],[FECHA]]&amp;BD_ControlRegimen[[#This Row],[NOMBRE]]</f>
        <v>44974REYES MAURICIO DAVID</v>
      </c>
      <c r="B2615" s="100">
        <f>WEEKNUM(BD_ControlRegimen[[#This Row],[FECHA]],2)</f>
        <v>8</v>
      </c>
      <c r="C2615" s="99">
        <v>44974</v>
      </c>
      <c r="D2615" s="3" t="s">
        <v>68</v>
      </c>
      <c r="E2615" s="101"/>
      <c r="F2615" s="101"/>
    </row>
    <row r="2616" spans="1:6" hidden="1" x14ac:dyDescent="0.3">
      <c r="A2616" s="99" t="str">
        <f>BD_ControlRegimen[[#This Row],[FECHA]]&amp;BD_ControlRegimen[[#This Row],[NOMBRE]]</f>
        <v>44975REYES MAURICIO DAVID</v>
      </c>
      <c r="B2616" s="100">
        <f>WEEKNUM(BD_ControlRegimen[[#This Row],[FECHA]],2)</f>
        <v>8</v>
      </c>
      <c r="C2616" s="99">
        <v>44975</v>
      </c>
      <c r="D2616" s="3" t="s">
        <v>68</v>
      </c>
      <c r="E2616" s="101"/>
      <c r="F2616" s="101"/>
    </row>
    <row r="2617" spans="1:6" hidden="1" x14ac:dyDescent="0.3">
      <c r="A2617" s="99" t="str">
        <f>BD_ControlRegimen[[#This Row],[FECHA]]&amp;BD_ControlRegimen[[#This Row],[NOMBRE]]</f>
        <v>44976REYES MAURICIO DAVID</v>
      </c>
      <c r="B2617" s="100">
        <f>WEEKNUM(BD_ControlRegimen[[#This Row],[FECHA]],2)</f>
        <v>8</v>
      </c>
      <c r="C2617" s="99">
        <v>44976</v>
      </c>
      <c r="D2617" s="3" t="s">
        <v>68</v>
      </c>
      <c r="E2617" s="101"/>
      <c r="F2617" s="101"/>
    </row>
    <row r="2618" spans="1:6" hidden="1" x14ac:dyDescent="0.3">
      <c r="A2618" s="99" t="str">
        <f>BD_ControlRegimen[[#This Row],[FECHA]]&amp;BD_ControlRegimen[[#This Row],[NOMBRE]]</f>
        <v>44977REYES MAURICIO DAVID</v>
      </c>
      <c r="B2618" s="100">
        <f>WEEKNUM(BD_ControlRegimen[[#This Row],[FECHA]],2)</f>
        <v>9</v>
      </c>
      <c r="C2618" s="99">
        <v>44977</v>
      </c>
      <c r="D2618" s="3" t="s">
        <v>68</v>
      </c>
      <c r="E2618" s="101"/>
      <c r="F2618" s="101"/>
    </row>
    <row r="2619" spans="1:6" hidden="1" x14ac:dyDescent="0.3">
      <c r="A2619" s="99" t="str">
        <f>BD_ControlRegimen[[#This Row],[FECHA]]&amp;BD_ControlRegimen[[#This Row],[NOMBRE]]</f>
        <v>44978REYES MAURICIO DAVID</v>
      </c>
      <c r="B2619" s="100">
        <f>WEEKNUM(BD_ControlRegimen[[#This Row],[FECHA]],2)</f>
        <v>9</v>
      </c>
      <c r="C2619" s="99">
        <v>44978</v>
      </c>
      <c r="D2619" s="3" t="s">
        <v>68</v>
      </c>
      <c r="E2619" s="101"/>
      <c r="F2619" s="101"/>
    </row>
    <row r="2620" spans="1:6" hidden="1" x14ac:dyDescent="0.3">
      <c r="A2620" s="99" t="str">
        <f>BD_ControlRegimen[[#This Row],[FECHA]]&amp;BD_ControlRegimen[[#This Row],[NOMBRE]]</f>
        <v>44979REYES MAURICIO DAVID</v>
      </c>
      <c r="B2620" s="100">
        <f>WEEKNUM(BD_ControlRegimen[[#This Row],[FECHA]],2)</f>
        <v>9</v>
      </c>
      <c r="C2620" s="99">
        <v>44979</v>
      </c>
      <c r="D2620" s="3" t="s">
        <v>68</v>
      </c>
      <c r="E2620" s="101"/>
      <c r="F2620" s="101"/>
    </row>
    <row r="2621" spans="1:6" hidden="1" x14ac:dyDescent="0.3">
      <c r="A2621" s="99" t="str">
        <f>BD_ControlRegimen[[#This Row],[FECHA]]&amp;BD_ControlRegimen[[#This Row],[NOMBRE]]</f>
        <v>44980REYES MAURICIO DAVID</v>
      </c>
      <c r="B2621" s="100">
        <f>WEEKNUM(BD_ControlRegimen[[#This Row],[FECHA]],2)</f>
        <v>9</v>
      </c>
      <c r="C2621" s="99">
        <v>44980</v>
      </c>
      <c r="D2621" s="3" t="s">
        <v>68</v>
      </c>
      <c r="E2621" s="101"/>
      <c r="F2621" s="101"/>
    </row>
    <row r="2622" spans="1:6" hidden="1" x14ac:dyDescent="0.3">
      <c r="A2622" s="99" t="str">
        <f>BD_ControlRegimen[[#This Row],[FECHA]]&amp;BD_ControlRegimen[[#This Row],[NOMBRE]]</f>
        <v>44981REYES MAURICIO DAVID</v>
      </c>
      <c r="B2622" s="100">
        <f>WEEKNUM(BD_ControlRegimen[[#This Row],[FECHA]],2)</f>
        <v>9</v>
      </c>
      <c r="C2622" s="99">
        <v>44981</v>
      </c>
      <c r="D2622" s="3" t="s">
        <v>68</v>
      </c>
      <c r="E2622" s="101"/>
      <c r="F2622" s="101"/>
    </row>
    <row r="2623" spans="1:6" hidden="1" x14ac:dyDescent="0.3">
      <c r="A2623" s="99" t="str">
        <f>BD_ControlRegimen[[#This Row],[FECHA]]&amp;BD_ControlRegimen[[#This Row],[NOMBRE]]</f>
        <v>44982REYES MAURICIO DAVID</v>
      </c>
      <c r="B2623" s="100">
        <f>WEEKNUM(BD_ControlRegimen[[#This Row],[FECHA]],2)</f>
        <v>9</v>
      </c>
      <c r="C2623" s="99">
        <v>44982</v>
      </c>
      <c r="D2623" s="3" t="s">
        <v>68</v>
      </c>
      <c r="E2623" s="101"/>
      <c r="F2623" s="101"/>
    </row>
    <row r="2624" spans="1:6" hidden="1" x14ac:dyDescent="0.3">
      <c r="A2624" s="99" t="str">
        <f>BD_ControlRegimen[[#This Row],[FECHA]]&amp;BD_ControlRegimen[[#This Row],[NOMBRE]]</f>
        <v>44983REYES MAURICIO DAVID</v>
      </c>
      <c r="B2624" s="100">
        <f>WEEKNUM(BD_ControlRegimen[[#This Row],[FECHA]],2)</f>
        <v>9</v>
      </c>
      <c r="C2624" s="99">
        <v>44983</v>
      </c>
      <c r="D2624" s="3" t="s">
        <v>68</v>
      </c>
      <c r="E2624" s="101"/>
      <c r="F2624" s="101"/>
    </row>
    <row r="2625" spans="1:6" hidden="1" x14ac:dyDescent="0.3">
      <c r="A2625" s="99" t="str">
        <f>BD_ControlRegimen[[#This Row],[FECHA]]&amp;BD_ControlRegimen[[#This Row],[NOMBRE]]</f>
        <v>44984REYES MAURICIO DAVID</v>
      </c>
      <c r="B2625" s="100">
        <f>WEEKNUM(BD_ControlRegimen[[#This Row],[FECHA]],2)</f>
        <v>10</v>
      </c>
      <c r="C2625" s="99">
        <v>44984</v>
      </c>
      <c r="D2625" s="3" t="s">
        <v>68</v>
      </c>
      <c r="E2625" s="101"/>
      <c r="F2625" s="101"/>
    </row>
    <row r="2626" spans="1:6" hidden="1" x14ac:dyDescent="0.3">
      <c r="A2626" s="99" t="str">
        <f>BD_ControlRegimen[[#This Row],[FECHA]]&amp;BD_ControlRegimen[[#This Row],[NOMBRE]]</f>
        <v>44985REYES MAURICIO DAVID</v>
      </c>
      <c r="B2626" s="100">
        <f>WEEKNUM(BD_ControlRegimen[[#This Row],[FECHA]],2)</f>
        <v>10</v>
      </c>
      <c r="C2626" s="99">
        <v>44985</v>
      </c>
      <c r="D2626" s="3" t="s">
        <v>68</v>
      </c>
      <c r="E2626" s="101"/>
      <c r="F2626" s="101"/>
    </row>
    <row r="2627" spans="1:6" hidden="1" x14ac:dyDescent="0.3">
      <c r="A2627" s="99" t="str">
        <f>BD_ControlRegimen[[#This Row],[FECHA]]&amp;BD_ControlRegimen[[#This Row],[NOMBRE]]</f>
        <v>44986REYES MAURICIO DAVID</v>
      </c>
      <c r="B2627" s="100">
        <f>WEEKNUM(BD_ControlRegimen[[#This Row],[FECHA]],2)</f>
        <v>10</v>
      </c>
      <c r="C2627" s="99">
        <v>44986</v>
      </c>
      <c r="D2627" s="3" t="s">
        <v>68</v>
      </c>
      <c r="E2627" s="101"/>
      <c r="F2627" s="101"/>
    </row>
    <row r="2628" spans="1:6" hidden="1" x14ac:dyDescent="0.3">
      <c r="A2628" s="99" t="str">
        <f>BD_ControlRegimen[[#This Row],[FECHA]]&amp;BD_ControlRegimen[[#This Row],[NOMBRE]]</f>
        <v>44987REYES MAURICIO DAVID</v>
      </c>
      <c r="B2628" s="100">
        <f>WEEKNUM(BD_ControlRegimen[[#This Row],[FECHA]],2)</f>
        <v>10</v>
      </c>
      <c r="C2628" s="99">
        <v>44987</v>
      </c>
      <c r="D2628" s="3" t="s">
        <v>68</v>
      </c>
      <c r="E2628" s="101"/>
      <c r="F2628" s="101"/>
    </row>
    <row r="2629" spans="1:6" hidden="1" x14ac:dyDescent="0.3">
      <c r="A2629" s="99" t="str">
        <f>BD_ControlRegimen[[#This Row],[FECHA]]&amp;BD_ControlRegimen[[#This Row],[NOMBRE]]</f>
        <v>44988REYES MAURICIO DAVID</v>
      </c>
      <c r="B2629" s="100">
        <f>WEEKNUM(BD_ControlRegimen[[#This Row],[FECHA]],2)</f>
        <v>10</v>
      </c>
      <c r="C2629" s="99">
        <v>44988</v>
      </c>
      <c r="D2629" s="3" t="s">
        <v>68</v>
      </c>
      <c r="E2629" s="101"/>
      <c r="F2629" s="101"/>
    </row>
    <row r="2630" spans="1:6" hidden="1" x14ac:dyDescent="0.3">
      <c r="A2630" s="99" t="str">
        <f>BD_ControlRegimen[[#This Row],[FECHA]]&amp;BD_ControlRegimen[[#This Row],[NOMBRE]]</f>
        <v>44989REYES MAURICIO DAVID</v>
      </c>
      <c r="B2630" s="100">
        <f>WEEKNUM(BD_ControlRegimen[[#This Row],[FECHA]],2)</f>
        <v>10</v>
      </c>
      <c r="C2630" s="99">
        <v>44989</v>
      </c>
      <c r="D2630" s="3" t="s">
        <v>68</v>
      </c>
      <c r="E2630" s="101"/>
      <c r="F2630" s="101"/>
    </row>
    <row r="2631" spans="1:6" hidden="1" x14ac:dyDescent="0.3">
      <c r="A2631" s="102" t="str">
        <f>BD_ControlRegimen[[#This Row],[FECHA]]&amp;BD_ControlRegimen[[#This Row],[NOMBRE]]</f>
        <v>44990REYES MAURICIO DAVID</v>
      </c>
      <c r="B2631" s="103">
        <f>WEEKNUM(BD_ControlRegimen[[#This Row],[FECHA]],2)</f>
        <v>10</v>
      </c>
      <c r="C2631" s="102">
        <v>44990</v>
      </c>
      <c r="D2631" s="3" t="s">
        <v>68</v>
      </c>
      <c r="E2631" s="104"/>
      <c r="F2631" s="104"/>
    </row>
    <row r="2632" spans="1:6" hidden="1" x14ac:dyDescent="0.3">
      <c r="A2632" s="99" t="str">
        <f>BD_ControlRegimen[[#This Row],[FECHA]]&amp;BD_ControlRegimen[[#This Row],[NOMBRE]]</f>
        <v>44991REYES MAURICIO DAVID</v>
      </c>
      <c r="B2632" s="100">
        <f>WEEKNUM(BD_ControlRegimen[[#This Row],[FECHA]],2)</f>
        <v>11</v>
      </c>
      <c r="C2632" s="99">
        <v>44991</v>
      </c>
      <c r="D2632" s="3" t="s">
        <v>68</v>
      </c>
      <c r="E2632" s="101"/>
      <c r="F2632" s="101"/>
    </row>
    <row r="2633" spans="1:6" hidden="1" x14ac:dyDescent="0.3">
      <c r="A2633" s="99" t="str">
        <f>BD_ControlRegimen[[#This Row],[FECHA]]&amp;BD_ControlRegimen[[#This Row],[NOMBRE]]</f>
        <v>44992REYES MAURICIO DAVID</v>
      </c>
      <c r="B2633" s="100">
        <f>WEEKNUM(BD_ControlRegimen[[#This Row],[FECHA]],2)</f>
        <v>11</v>
      </c>
      <c r="C2633" s="99">
        <v>44992</v>
      </c>
      <c r="D2633" s="3" t="s">
        <v>68</v>
      </c>
      <c r="E2633" s="101"/>
      <c r="F2633" s="101"/>
    </row>
    <row r="2634" spans="1:6" hidden="1" x14ac:dyDescent="0.3">
      <c r="A2634" s="99" t="str">
        <f>BD_ControlRegimen[[#This Row],[FECHA]]&amp;BD_ControlRegimen[[#This Row],[NOMBRE]]</f>
        <v>44993REYES MAURICIO DAVID</v>
      </c>
      <c r="B2634" s="100">
        <f>WEEKNUM(BD_ControlRegimen[[#This Row],[FECHA]],2)</f>
        <v>11</v>
      </c>
      <c r="C2634" s="99">
        <v>44993</v>
      </c>
      <c r="D2634" s="3" t="s">
        <v>68</v>
      </c>
      <c r="E2634" s="101"/>
      <c r="F2634" s="101"/>
    </row>
    <row r="2635" spans="1:6" hidden="1" x14ac:dyDescent="0.3">
      <c r="A2635" s="99" t="str">
        <f>BD_ControlRegimen[[#This Row],[FECHA]]&amp;BD_ControlRegimen[[#This Row],[NOMBRE]]</f>
        <v>44994REYES MAURICIO DAVID</v>
      </c>
      <c r="B2635" s="100">
        <f>WEEKNUM(BD_ControlRegimen[[#This Row],[FECHA]],2)</f>
        <v>11</v>
      </c>
      <c r="C2635" s="99">
        <v>44994</v>
      </c>
      <c r="D2635" s="3" t="s">
        <v>68</v>
      </c>
      <c r="E2635" s="101"/>
      <c r="F2635" s="101"/>
    </row>
    <row r="2636" spans="1:6" hidden="1" x14ac:dyDescent="0.3">
      <c r="A2636" s="99" t="str">
        <f>BD_ControlRegimen[[#This Row],[FECHA]]&amp;BD_ControlRegimen[[#This Row],[NOMBRE]]</f>
        <v>44995REYES MAURICIO DAVID</v>
      </c>
      <c r="B2636" s="100">
        <f>WEEKNUM(BD_ControlRegimen[[#This Row],[FECHA]],2)</f>
        <v>11</v>
      </c>
      <c r="C2636" s="99">
        <v>44995</v>
      </c>
      <c r="D2636" s="3" t="s">
        <v>68</v>
      </c>
      <c r="E2636" s="101"/>
      <c r="F2636" s="101"/>
    </row>
    <row r="2637" spans="1:6" hidden="1" x14ac:dyDescent="0.3">
      <c r="A2637" s="99" t="str">
        <f>BD_ControlRegimen[[#This Row],[FECHA]]&amp;BD_ControlRegimen[[#This Row],[NOMBRE]]</f>
        <v>44996REYES MAURICIO DAVID</v>
      </c>
      <c r="B2637" s="100">
        <f>WEEKNUM(BD_ControlRegimen[[#This Row],[FECHA]],2)</f>
        <v>11</v>
      </c>
      <c r="C2637" s="99">
        <v>44996</v>
      </c>
      <c r="D2637" s="3" t="s">
        <v>68</v>
      </c>
      <c r="E2637" s="101"/>
      <c r="F2637" s="101"/>
    </row>
    <row r="2638" spans="1:6" hidden="1" x14ac:dyDescent="0.3">
      <c r="A2638" s="99" t="str">
        <f>BD_ControlRegimen[[#This Row],[FECHA]]&amp;BD_ControlRegimen[[#This Row],[NOMBRE]]</f>
        <v>44997REYES MAURICIO DAVID</v>
      </c>
      <c r="B2638" s="100">
        <f>WEEKNUM(BD_ControlRegimen[[#This Row],[FECHA]],2)</f>
        <v>11</v>
      </c>
      <c r="C2638" s="99">
        <v>44997</v>
      </c>
      <c r="D2638" s="3" t="s">
        <v>68</v>
      </c>
      <c r="E2638" s="101"/>
      <c r="F2638" s="101"/>
    </row>
    <row r="2639" spans="1:6" hidden="1" x14ac:dyDescent="0.3">
      <c r="A2639" s="99" t="str">
        <f>BD_ControlRegimen[[#This Row],[FECHA]]&amp;BD_ControlRegimen[[#This Row],[NOMBRE]]</f>
        <v>44998REYES MAURICIO DAVID</v>
      </c>
      <c r="B2639" s="100">
        <f>WEEKNUM(BD_ControlRegimen[[#This Row],[FECHA]],2)</f>
        <v>12</v>
      </c>
      <c r="C2639" s="99">
        <v>44998</v>
      </c>
      <c r="D2639" s="3" t="s">
        <v>68</v>
      </c>
      <c r="E2639" s="101"/>
      <c r="F2639" s="101"/>
    </row>
    <row r="2640" spans="1:6" hidden="1" x14ac:dyDescent="0.3">
      <c r="A2640" s="99" t="str">
        <f>BD_ControlRegimen[[#This Row],[FECHA]]&amp;BD_ControlRegimen[[#This Row],[NOMBRE]]</f>
        <v>44999REYES MAURICIO DAVID</v>
      </c>
      <c r="B2640" s="100">
        <f>WEEKNUM(BD_ControlRegimen[[#This Row],[FECHA]],2)</f>
        <v>12</v>
      </c>
      <c r="C2640" s="99">
        <v>44999</v>
      </c>
      <c r="D2640" s="3" t="s">
        <v>68</v>
      </c>
      <c r="E2640" s="101"/>
      <c r="F2640" s="101"/>
    </row>
    <row r="2641" spans="1:6" hidden="1" x14ac:dyDescent="0.3">
      <c r="A2641" s="99" t="str">
        <f>BD_ControlRegimen[[#This Row],[FECHA]]&amp;BD_ControlRegimen[[#This Row],[NOMBRE]]</f>
        <v>45000REYES MAURICIO DAVID</v>
      </c>
      <c r="B2641" s="100">
        <f>WEEKNUM(BD_ControlRegimen[[#This Row],[FECHA]],2)</f>
        <v>12</v>
      </c>
      <c r="C2641" s="99">
        <v>45000</v>
      </c>
      <c r="D2641" s="3" t="s">
        <v>68</v>
      </c>
      <c r="E2641" s="101"/>
      <c r="F2641" s="101"/>
    </row>
    <row r="2642" spans="1:6" hidden="1" x14ac:dyDescent="0.3">
      <c r="A2642" s="99" t="str">
        <f>BD_ControlRegimen[[#This Row],[FECHA]]&amp;BD_ControlRegimen[[#This Row],[NOMBRE]]</f>
        <v>45001REYES MAURICIO DAVID</v>
      </c>
      <c r="B2642" s="100">
        <f>WEEKNUM(BD_ControlRegimen[[#This Row],[FECHA]],2)</f>
        <v>12</v>
      </c>
      <c r="C2642" s="99">
        <v>45001</v>
      </c>
      <c r="D2642" s="3" t="s">
        <v>68</v>
      </c>
      <c r="E2642" s="101"/>
      <c r="F2642" s="101"/>
    </row>
    <row r="2643" spans="1:6" hidden="1" x14ac:dyDescent="0.3">
      <c r="A2643" s="99" t="str">
        <f>BD_ControlRegimen[[#This Row],[FECHA]]&amp;BD_ControlRegimen[[#This Row],[NOMBRE]]</f>
        <v>45002REYES MAURICIO DAVID</v>
      </c>
      <c r="B2643" s="100">
        <f>WEEKNUM(BD_ControlRegimen[[#This Row],[FECHA]],2)</f>
        <v>12</v>
      </c>
      <c r="C2643" s="99">
        <v>45002</v>
      </c>
      <c r="D2643" s="3" t="s">
        <v>68</v>
      </c>
      <c r="E2643" s="101"/>
      <c r="F2643" s="101"/>
    </row>
    <row r="2644" spans="1:6" hidden="1" x14ac:dyDescent="0.3">
      <c r="A2644" s="99" t="str">
        <f>BD_ControlRegimen[[#This Row],[FECHA]]&amp;BD_ControlRegimen[[#This Row],[NOMBRE]]</f>
        <v>45003REYES MAURICIO DAVID</v>
      </c>
      <c r="B2644" s="100">
        <f>WEEKNUM(BD_ControlRegimen[[#This Row],[FECHA]],2)</f>
        <v>12</v>
      </c>
      <c r="C2644" s="99">
        <v>45003</v>
      </c>
      <c r="D2644" s="3" t="s">
        <v>68</v>
      </c>
      <c r="E2644" s="101"/>
      <c r="F2644" s="101"/>
    </row>
    <row r="2645" spans="1:6" hidden="1" x14ac:dyDescent="0.3">
      <c r="A2645" s="99" t="str">
        <f>BD_ControlRegimen[[#This Row],[FECHA]]&amp;BD_ControlRegimen[[#This Row],[NOMBRE]]</f>
        <v>45004REYES MAURICIO DAVID</v>
      </c>
      <c r="B2645" s="100">
        <f>WEEKNUM(BD_ControlRegimen[[#This Row],[FECHA]],2)</f>
        <v>12</v>
      </c>
      <c r="C2645" s="99">
        <v>45004</v>
      </c>
      <c r="D2645" s="3" t="s">
        <v>68</v>
      </c>
      <c r="E2645" s="101"/>
      <c r="F2645" s="101"/>
    </row>
    <row r="2646" spans="1:6" hidden="1" x14ac:dyDescent="0.3">
      <c r="A2646" s="99" t="str">
        <f>BD_ControlRegimen[[#This Row],[FECHA]]&amp;BD_ControlRegimen[[#This Row],[NOMBRE]]</f>
        <v>45005REYES MAURICIO DAVID</v>
      </c>
      <c r="B2646" s="100">
        <f>WEEKNUM(BD_ControlRegimen[[#This Row],[FECHA]],2)</f>
        <v>13</v>
      </c>
      <c r="C2646" s="99">
        <v>45005</v>
      </c>
      <c r="D2646" s="3" t="s">
        <v>68</v>
      </c>
      <c r="E2646" s="101"/>
      <c r="F2646" s="101"/>
    </row>
    <row r="2647" spans="1:6" hidden="1" x14ac:dyDescent="0.3">
      <c r="A2647" s="99" t="str">
        <f>BD_ControlRegimen[[#This Row],[FECHA]]&amp;BD_ControlRegimen[[#This Row],[NOMBRE]]</f>
        <v>45006REYES MAURICIO DAVID</v>
      </c>
      <c r="B2647" s="100">
        <f>WEEKNUM(BD_ControlRegimen[[#This Row],[FECHA]],2)</f>
        <v>13</v>
      </c>
      <c r="C2647" s="99">
        <v>45006</v>
      </c>
      <c r="D2647" s="3" t="s">
        <v>68</v>
      </c>
      <c r="E2647" s="101"/>
      <c r="F2647" s="101"/>
    </row>
    <row r="2648" spans="1:6" hidden="1" x14ac:dyDescent="0.3">
      <c r="A2648" s="99" t="str">
        <f>BD_ControlRegimen[[#This Row],[FECHA]]&amp;BD_ControlRegimen[[#This Row],[NOMBRE]]</f>
        <v>45007REYES MAURICIO DAVID</v>
      </c>
      <c r="B2648" s="100">
        <f>WEEKNUM(BD_ControlRegimen[[#This Row],[FECHA]],2)</f>
        <v>13</v>
      </c>
      <c r="C2648" s="99">
        <v>45007</v>
      </c>
      <c r="D2648" s="3" t="s">
        <v>68</v>
      </c>
      <c r="E2648" s="101"/>
      <c r="F2648" s="101"/>
    </row>
    <row r="2649" spans="1:6" hidden="1" x14ac:dyDescent="0.3">
      <c r="A2649" s="99" t="str">
        <f>BD_ControlRegimen[[#This Row],[FECHA]]&amp;BD_ControlRegimen[[#This Row],[NOMBRE]]</f>
        <v>45008REYES MAURICIO DAVID</v>
      </c>
      <c r="B2649" s="100">
        <f>WEEKNUM(BD_ControlRegimen[[#This Row],[FECHA]],2)</f>
        <v>13</v>
      </c>
      <c r="C2649" s="99">
        <v>45008</v>
      </c>
      <c r="D2649" s="3" t="s">
        <v>68</v>
      </c>
      <c r="E2649" s="101"/>
      <c r="F2649" s="101"/>
    </row>
    <row r="2650" spans="1:6" hidden="1" x14ac:dyDescent="0.3">
      <c r="A2650" s="99" t="str">
        <f>BD_ControlRegimen[[#This Row],[FECHA]]&amp;BD_ControlRegimen[[#This Row],[NOMBRE]]</f>
        <v>45009REYES MAURICIO DAVID</v>
      </c>
      <c r="B2650" s="100">
        <f>WEEKNUM(BD_ControlRegimen[[#This Row],[FECHA]],2)</f>
        <v>13</v>
      </c>
      <c r="C2650" s="99">
        <v>45009</v>
      </c>
      <c r="D2650" s="3" t="s">
        <v>68</v>
      </c>
      <c r="E2650" s="101"/>
      <c r="F2650" s="101"/>
    </row>
    <row r="2651" spans="1:6" hidden="1" x14ac:dyDescent="0.3">
      <c r="A2651" s="99" t="str">
        <f>BD_ControlRegimen[[#This Row],[FECHA]]&amp;BD_ControlRegimen[[#This Row],[NOMBRE]]</f>
        <v>45010REYES MAURICIO DAVID</v>
      </c>
      <c r="B2651" s="100">
        <f>WEEKNUM(BD_ControlRegimen[[#This Row],[FECHA]],2)</f>
        <v>13</v>
      </c>
      <c r="C2651" s="99">
        <v>45010</v>
      </c>
      <c r="D2651" s="3" t="s">
        <v>68</v>
      </c>
      <c r="E2651" s="101"/>
      <c r="F2651" s="101"/>
    </row>
    <row r="2652" spans="1:6" hidden="1" x14ac:dyDescent="0.3">
      <c r="A2652" s="99" t="str">
        <f>BD_ControlRegimen[[#This Row],[FECHA]]&amp;BD_ControlRegimen[[#This Row],[NOMBRE]]</f>
        <v>45011REYES MAURICIO DAVID</v>
      </c>
      <c r="B2652" s="100">
        <f>WEEKNUM(BD_ControlRegimen[[#This Row],[FECHA]],2)</f>
        <v>13</v>
      </c>
      <c r="C2652" s="99">
        <v>45011</v>
      </c>
      <c r="D2652" s="3" t="s">
        <v>68</v>
      </c>
      <c r="E2652" s="101"/>
      <c r="F2652" s="101"/>
    </row>
    <row r="2653" spans="1:6" hidden="1" x14ac:dyDescent="0.3">
      <c r="A2653" s="7" t="str">
        <f>BD_ControlRegimen[[#This Row],[FECHA]]&amp;BD_ControlRegimen[[#This Row],[NOMBRE]]</f>
        <v>45012REYES MAURICIO DAVID</v>
      </c>
      <c r="B2653" s="83">
        <f>WEEKNUM(BD_ControlRegimen[[#This Row],[FECHA]],2)</f>
        <v>14</v>
      </c>
      <c r="C2653" s="7">
        <v>45012</v>
      </c>
      <c r="D2653" s="3" t="s">
        <v>68</v>
      </c>
      <c r="E2653" s="3"/>
      <c r="F2653" s="3"/>
    </row>
    <row r="2654" spans="1:6" hidden="1" x14ac:dyDescent="0.3">
      <c r="A2654" s="7" t="str">
        <f>BD_ControlRegimen[[#This Row],[FECHA]]&amp;BD_ControlRegimen[[#This Row],[NOMBRE]]</f>
        <v>45013REYES MAURICIO DAVID</v>
      </c>
      <c r="B2654" s="83">
        <f>WEEKNUM(BD_ControlRegimen[[#This Row],[FECHA]],2)</f>
        <v>14</v>
      </c>
      <c r="C2654" s="7">
        <v>45013</v>
      </c>
      <c r="D2654" s="3" t="s">
        <v>68</v>
      </c>
      <c r="E2654" s="3"/>
      <c r="F2654" s="3"/>
    </row>
    <row r="2655" spans="1:6" hidden="1" x14ac:dyDescent="0.3">
      <c r="A2655" s="7" t="str">
        <f>BD_ControlRegimen[[#This Row],[FECHA]]&amp;BD_ControlRegimen[[#This Row],[NOMBRE]]</f>
        <v>45014REYES MAURICIO DAVID</v>
      </c>
      <c r="B2655" s="83">
        <f>WEEKNUM(BD_ControlRegimen[[#This Row],[FECHA]],2)</f>
        <v>14</v>
      </c>
      <c r="C2655" s="7">
        <v>45014</v>
      </c>
      <c r="D2655" s="3" t="s">
        <v>68</v>
      </c>
      <c r="E2655" s="3"/>
      <c r="F2655" s="3"/>
    </row>
    <row r="2656" spans="1:6" hidden="1" x14ac:dyDescent="0.3">
      <c r="A2656" s="7" t="str">
        <f>BD_ControlRegimen[[#This Row],[FECHA]]&amp;BD_ControlRegimen[[#This Row],[NOMBRE]]</f>
        <v>45015REYES MAURICIO DAVID</v>
      </c>
      <c r="B2656" s="83">
        <f>WEEKNUM(BD_ControlRegimen[[#This Row],[FECHA]],2)</f>
        <v>14</v>
      </c>
      <c r="C2656" s="7">
        <v>45015</v>
      </c>
      <c r="D2656" s="3" t="s">
        <v>68</v>
      </c>
      <c r="E2656" s="3"/>
      <c r="F2656" s="3"/>
    </row>
    <row r="2657" spans="1:6" hidden="1" x14ac:dyDescent="0.3">
      <c r="A2657" s="7" t="str">
        <f>BD_ControlRegimen[[#This Row],[FECHA]]&amp;BD_ControlRegimen[[#This Row],[NOMBRE]]</f>
        <v>45016REYES MAURICIO DAVID</v>
      </c>
      <c r="B2657" s="83">
        <f>WEEKNUM(BD_ControlRegimen[[#This Row],[FECHA]],2)</f>
        <v>14</v>
      </c>
      <c r="C2657" s="7">
        <v>45016</v>
      </c>
      <c r="D2657" s="3" t="s">
        <v>68</v>
      </c>
      <c r="E2657" s="3"/>
      <c r="F2657" s="3"/>
    </row>
    <row r="2658" spans="1:6" hidden="1" x14ac:dyDescent="0.3">
      <c r="A2658" s="7" t="str">
        <f>BD_ControlRegimen[[#This Row],[FECHA]]&amp;BD_ControlRegimen[[#This Row],[NOMBRE]]</f>
        <v>45017REYES MAURICIO DAVID</v>
      </c>
      <c r="B2658" s="83">
        <f>WEEKNUM(BD_ControlRegimen[[#This Row],[FECHA]],2)</f>
        <v>14</v>
      </c>
      <c r="C2658" s="7">
        <v>45017</v>
      </c>
      <c r="D2658" s="3" t="s">
        <v>68</v>
      </c>
      <c r="E2658" s="3"/>
      <c r="F2658" s="3"/>
    </row>
    <row r="2659" spans="1:6" hidden="1" x14ac:dyDescent="0.3">
      <c r="A2659" s="7" t="str">
        <f>BD_ControlRegimen[[#This Row],[FECHA]]&amp;BD_ControlRegimen[[#This Row],[NOMBRE]]</f>
        <v>45018REYES MAURICIO DAVID</v>
      </c>
      <c r="B2659" s="83">
        <f>WEEKNUM(BD_ControlRegimen[[#This Row],[FECHA]],2)</f>
        <v>14</v>
      </c>
      <c r="C2659" s="7">
        <v>45018</v>
      </c>
      <c r="D2659" s="3" t="s">
        <v>68</v>
      </c>
      <c r="E2659" s="3"/>
      <c r="F2659" s="3"/>
    </row>
    <row r="2660" spans="1:6" x14ac:dyDescent="0.3">
      <c r="A2660" s="7" t="str">
        <f>BD_ControlRegimen[[#This Row],[FECHA]]&amp;BD_ControlRegimen[[#This Row],[NOMBRE]]</f>
        <v>45019REYES MAURICIO DAVID</v>
      </c>
      <c r="B2660" s="83">
        <f>WEEKNUM(BD_ControlRegimen[[#This Row],[FECHA]],2)</f>
        <v>15</v>
      </c>
      <c r="C2660" s="7">
        <v>45019</v>
      </c>
      <c r="D2660" s="3" t="s">
        <v>68</v>
      </c>
      <c r="E2660" s="3" t="s">
        <v>154</v>
      </c>
      <c r="F2660" s="3"/>
    </row>
    <row r="2661" spans="1:6" x14ac:dyDescent="0.3">
      <c r="A2661" s="7" t="str">
        <f>BD_ControlRegimen[[#This Row],[FECHA]]&amp;BD_ControlRegimen[[#This Row],[NOMBRE]]</f>
        <v>45020REYES MAURICIO DAVID</v>
      </c>
      <c r="B2661" s="83">
        <f>WEEKNUM(BD_ControlRegimen[[#This Row],[FECHA]],2)</f>
        <v>15</v>
      </c>
      <c r="C2661" s="7">
        <v>45020</v>
      </c>
      <c r="D2661" s="3" t="s">
        <v>68</v>
      </c>
      <c r="E2661" s="3" t="s">
        <v>154</v>
      </c>
      <c r="F2661" s="3"/>
    </row>
    <row r="2662" spans="1:6" x14ac:dyDescent="0.3">
      <c r="A2662" s="7" t="str">
        <f>BD_ControlRegimen[[#This Row],[FECHA]]&amp;BD_ControlRegimen[[#This Row],[NOMBRE]]</f>
        <v>45021REYES MAURICIO DAVID</v>
      </c>
      <c r="B2662" s="83">
        <f>WEEKNUM(BD_ControlRegimen[[#This Row],[FECHA]],2)</f>
        <v>15</v>
      </c>
      <c r="C2662" s="7">
        <v>45021</v>
      </c>
      <c r="D2662" s="3" t="s">
        <v>68</v>
      </c>
      <c r="E2662" s="3" t="s">
        <v>154</v>
      </c>
      <c r="F2662" s="3"/>
    </row>
    <row r="2663" spans="1:6" x14ac:dyDescent="0.3">
      <c r="A2663" s="7" t="str">
        <f>BD_ControlRegimen[[#This Row],[FECHA]]&amp;BD_ControlRegimen[[#This Row],[NOMBRE]]</f>
        <v>45022REYES MAURICIO DAVID</v>
      </c>
      <c r="B2663" s="83">
        <f>WEEKNUM(BD_ControlRegimen[[#This Row],[FECHA]],2)</f>
        <v>15</v>
      </c>
      <c r="C2663" s="7">
        <v>45022</v>
      </c>
      <c r="D2663" s="3" t="s">
        <v>68</v>
      </c>
      <c r="E2663" s="3" t="s">
        <v>154</v>
      </c>
      <c r="F2663" s="3"/>
    </row>
    <row r="2664" spans="1:6" x14ac:dyDescent="0.3">
      <c r="A2664" s="7" t="str">
        <f>BD_ControlRegimen[[#This Row],[FECHA]]&amp;BD_ControlRegimen[[#This Row],[NOMBRE]]</f>
        <v>45023REYES MAURICIO DAVID</v>
      </c>
      <c r="B2664" s="83">
        <f>WEEKNUM(BD_ControlRegimen[[#This Row],[FECHA]],2)</f>
        <v>15</v>
      </c>
      <c r="C2664" s="7">
        <v>45023</v>
      </c>
      <c r="D2664" s="3" t="s">
        <v>68</v>
      </c>
      <c r="E2664" s="3" t="s">
        <v>154</v>
      </c>
      <c r="F2664" s="3"/>
    </row>
    <row r="2665" spans="1:6" x14ac:dyDescent="0.3">
      <c r="A2665" s="7" t="str">
        <f>BD_ControlRegimen[[#This Row],[FECHA]]&amp;BD_ControlRegimen[[#This Row],[NOMBRE]]</f>
        <v>45024REYES MAURICIO DAVID</v>
      </c>
      <c r="B2665" s="83">
        <f>WEEKNUM(BD_ControlRegimen[[#This Row],[FECHA]],2)</f>
        <v>15</v>
      </c>
      <c r="C2665" s="7">
        <v>45024</v>
      </c>
      <c r="D2665" s="3" t="s">
        <v>68</v>
      </c>
      <c r="E2665" s="3" t="s">
        <v>154</v>
      </c>
      <c r="F2665" s="3"/>
    </row>
    <row r="2666" spans="1:6" x14ac:dyDescent="0.3">
      <c r="A2666" s="7" t="str">
        <f>BD_ControlRegimen[[#This Row],[FECHA]]&amp;BD_ControlRegimen[[#This Row],[NOMBRE]]</f>
        <v>45025REYES MAURICIO DAVID</v>
      </c>
      <c r="B2666" s="83">
        <f>WEEKNUM(BD_ControlRegimen[[#This Row],[FECHA]],2)</f>
        <v>15</v>
      </c>
      <c r="C2666" s="7">
        <v>45025</v>
      </c>
      <c r="D2666" s="3" t="s">
        <v>68</v>
      </c>
      <c r="E2666" s="3" t="s">
        <v>154</v>
      </c>
      <c r="F2666" s="3"/>
    </row>
    <row r="2667" spans="1:6" x14ac:dyDescent="0.3">
      <c r="A2667" s="7" t="str">
        <f>BD_ControlRegimen[[#This Row],[FECHA]]&amp;BD_ControlRegimen[[#This Row],[NOMBRE]]</f>
        <v>45026REYES MAURICIO DAVID</v>
      </c>
      <c r="B2667" s="83">
        <f>WEEKNUM(BD_ControlRegimen[[#This Row],[FECHA]],2)</f>
        <v>16</v>
      </c>
      <c r="C2667" s="7">
        <v>45026</v>
      </c>
      <c r="D2667" s="3" t="s">
        <v>68</v>
      </c>
      <c r="E2667" s="3" t="s">
        <v>154</v>
      </c>
      <c r="F2667" s="3"/>
    </row>
    <row r="2668" spans="1:6" x14ac:dyDescent="0.3">
      <c r="A2668" s="7" t="str">
        <f>BD_ControlRegimen[[#This Row],[FECHA]]&amp;BD_ControlRegimen[[#This Row],[NOMBRE]]</f>
        <v>45027REYES MAURICIO DAVID</v>
      </c>
      <c r="B2668" s="83">
        <f>WEEKNUM(BD_ControlRegimen[[#This Row],[FECHA]],2)</f>
        <v>16</v>
      </c>
      <c r="C2668" s="7">
        <v>45027</v>
      </c>
      <c r="D2668" s="3" t="s">
        <v>68</v>
      </c>
      <c r="E2668" s="3" t="s">
        <v>154</v>
      </c>
      <c r="F2668" s="3"/>
    </row>
    <row r="2669" spans="1:6" x14ac:dyDescent="0.3">
      <c r="A2669" s="7" t="str">
        <f>BD_ControlRegimen[[#This Row],[FECHA]]&amp;BD_ControlRegimen[[#This Row],[NOMBRE]]</f>
        <v>45028REYES MAURICIO DAVID</v>
      </c>
      <c r="B2669" s="83">
        <f>WEEKNUM(BD_ControlRegimen[[#This Row],[FECHA]],2)</f>
        <v>16</v>
      </c>
      <c r="C2669" s="7">
        <v>45028</v>
      </c>
      <c r="D2669" s="3" t="s">
        <v>68</v>
      </c>
      <c r="E2669" s="3" t="s">
        <v>154</v>
      </c>
      <c r="F2669" s="3"/>
    </row>
    <row r="2670" spans="1:6" x14ac:dyDescent="0.3">
      <c r="A2670" s="7" t="str">
        <f>BD_ControlRegimen[[#This Row],[FECHA]]&amp;BD_ControlRegimen[[#This Row],[NOMBRE]]</f>
        <v>45029REYES MAURICIO DAVID</v>
      </c>
      <c r="B2670" s="83">
        <f>WEEKNUM(BD_ControlRegimen[[#This Row],[FECHA]],2)</f>
        <v>16</v>
      </c>
      <c r="C2670" s="7">
        <v>45029</v>
      </c>
      <c r="D2670" s="3" t="s">
        <v>68</v>
      </c>
      <c r="E2670" s="3" t="s">
        <v>154</v>
      </c>
      <c r="F2670" s="3"/>
    </row>
    <row r="2671" spans="1:6" x14ac:dyDescent="0.3">
      <c r="A2671" s="7" t="str">
        <f>BD_ControlRegimen[[#This Row],[FECHA]]&amp;BD_ControlRegimen[[#This Row],[NOMBRE]]</f>
        <v>45030REYES MAURICIO DAVID</v>
      </c>
      <c r="B2671" s="83">
        <f>WEEKNUM(BD_ControlRegimen[[#This Row],[FECHA]],2)</f>
        <v>16</v>
      </c>
      <c r="C2671" s="7">
        <v>45030</v>
      </c>
      <c r="D2671" s="3" t="s">
        <v>68</v>
      </c>
      <c r="E2671" s="3" t="s">
        <v>154</v>
      </c>
      <c r="F2671" s="3"/>
    </row>
    <row r="2672" spans="1:6" x14ac:dyDescent="0.3">
      <c r="A2672" s="7" t="str">
        <f>BD_ControlRegimen[[#This Row],[FECHA]]&amp;BD_ControlRegimen[[#This Row],[NOMBRE]]</f>
        <v>45031REYES MAURICIO DAVID</v>
      </c>
      <c r="B2672" s="83">
        <f>WEEKNUM(BD_ControlRegimen[[#This Row],[FECHA]],2)</f>
        <v>16</v>
      </c>
      <c r="C2672" s="7">
        <v>45031</v>
      </c>
      <c r="D2672" s="3" t="s">
        <v>68</v>
      </c>
      <c r="E2672" s="3" t="s">
        <v>154</v>
      </c>
      <c r="F2672" s="3"/>
    </row>
    <row r="2673" spans="1:6" x14ac:dyDescent="0.3">
      <c r="A2673" s="7" t="str">
        <f>BD_ControlRegimen[[#This Row],[FECHA]]&amp;BD_ControlRegimen[[#This Row],[NOMBRE]]</f>
        <v>45032REYES MAURICIO DAVID</v>
      </c>
      <c r="B2673" s="83">
        <f>WEEKNUM(BD_ControlRegimen[[#This Row],[FECHA]],2)</f>
        <v>16</v>
      </c>
      <c r="C2673" s="7">
        <v>45032</v>
      </c>
      <c r="D2673" s="3" t="s">
        <v>68</v>
      </c>
      <c r="E2673" s="3" t="s">
        <v>154</v>
      </c>
      <c r="F2673" s="3"/>
    </row>
    <row r="2674" spans="1:6" x14ac:dyDescent="0.3">
      <c r="A2674" s="7" t="str">
        <f>BD_ControlRegimen[[#This Row],[FECHA]]&amp;BD_ControlRegimen[[#This Row],[NOMBRE]]</f>
        <v>45033REYES MAURICIO DAVID</v>
      </c>
      <c r="B2674" s="83">
        <f>WEEKNUM(BD_ControlRegimen[[#This Row],[FECHA]],2)</f>
        <v>17</v>
      </c>
      <c r="C2674" s="7">
        <v>45033</v>
      </c>
      <c r="D2674" s="3" t="s">
        <v>68</v>
      </c>
      <c r="E2674" s="3" t="s">
        <v>154</v>
      </c>
      <c r="F2674" s="3"/>
    </row>
    <row r="2675" spans="1:6" x14ac:dyDescent="0.3">
      <c r="A2675" s="7" t="str">
        <f>BD_ControlRegimen[[#This Row],[FECHA]]&amp;BD_ControlRegimen[[#This Row],[NOMBRE]]</f>
        <v>45034REYES MAURICIO DAVID</v>
      </c>
      <c r="B2675" s="83">
        <f>WEEKNUM(BD_ControlRegimen[[#This Row],[FECHA]],2)</f>
        <v>17</v>
      </c>
      <c r="C2675" s="7">
        <v>45034</v>
      </c>
      <c r="D2675" s="3" t="s">
        <v>68</v>
      </c>
      <c r="E2675" s="3" t="s">
        <v>154</v>
      </c>
      <c r="F2675" s="3"/>
    </row>
    <row r="2676" spans="1:6" x14ac:dyDescent="0.3">
      <c r="A2676" s="7" t="str">
        <f>BD_ControlRegimen[[#This Row],[FECHA]]&amp;BD_ControlRegimen[[#This Row],[NOMBRE]]</f>
        <v>45035REYES MAURICIO DAVID</v>
      </c>
      <c r="B2676" s="83">
        <f>WEEKNUM(BD_ControlRegimen[[#This Row],[FECHA]],2)</f>
        <v>17</v>
      </c>
      <c r="C2676" s="7">
        <v>45035</v>
      </c>
      <c r="D2676" s="3" t="s">
        <v>68</v>
      </c>
      <c r="E2676" s="3" t="s">
        <v>154</v>
      </c>
      <c r="F2676" s="3"/>
    </row>
    <row r="2677" spans="1:6" x14ac:dyDescent="0.3">
      <c r="A2677" s="7" t="str">
        <f>BD_ControlRegimen[[#This Row],[FECHA]]&amp;BD_ControlRegimen[[#This Row],[NOMBRE]]</f>
        <v>45036REYES MAURICIO DAVID</v>
      </c>
      <c r="B2677" s="83">
        <f>WEEKNUM(BD_ControlRegimen[[#This Row],[FECHA]],2)</f>
        <v>17</v>
      </c>
      <c r="C2677" s="7">
        <v>45036</v>
      </c>
      <c r="D2677" s="3" t="s">
        <v>68</v>
      </c>
      <c r="E2677" s="3" t="s">
        <v>154</v>
      </c>
      <c r="F2677" s="3"/>
    </row>
    <row r="2678" spans="1:6" x14ac:dyDescent="0.3">
      <c r="A2678" s="7" t="str">
        <f>BD_ControlRegimen[[#This Row],[FECHA]]&amp;BD_ControlRegimen[[#This Row],[NOMBRE]]</f>
        <v>45037REYES MAURICIO DAVID</v>
      </c>
      <c r="B2678" s="83">
        <f>WEEKNUM(BD_ControlRegimen[[#This Row],[FECHA]],2)</f>
        <v>17</v>
      </c>
      <c r="C2678" s="7">
        <v>45037</v>
      </c>
      <c r="D2678" s="3" t="s">
        <v>68</v>
      </c>
      <c r="E2678" s="3" t="s">
        <v>154</v>
      </c>
      <c r="F2678" s="3"/>
    </row>
    <row r="2679" spans="1:6" x14ac:dyDescent="0.3">
      <c r="A2679" s="7" t="str">
        <f>BD_ControlRegimen[[#This Row],[FECHA]]&amp;BD_ControlRegimen[[#This Row],[NOMBRE]]</f>
        <v>45038REYES MAURICIO DAVID</v>
      </c>
      <c r="B2679" s="83">
        <f>WEEKNUM(BD_ControlRegimen[[#This Row],[FECHA]],2)</f>
        <v>17</v>
      </c>
      <c r="C2679" s="7">
        <v>45038</v>
      </c>
      <c r="D2679" s="3" t="s">
        <v>68</v>
      </c>
      <c r="E2679" s="3" t="s">
        <v>154</v>
      </c>
      <c r="F2679" s="3"/>
    </row>
    <row r="2680" spans="1:6" x14ac:dyDescent="0.3">
      <c r="A2680" s="7" t="str">
        <f>BD_ControlRegimen[[#This Row],[FECHA]]&amp;BD_ControlRegimen[[#This Row],[NOMBRE]]</f>
        <v>45039REYES MAURICIO DAVID</v>
      </c>
      <c r="B2680" s="83">
        <f>WEEKNUM(BD_ControlRegimen[[#This Row],[FECHA]],2)</f>
        <v>17</v>
      </c>
      <c r="C2680" s="7">
        <v>45039</v>
      </c>
      <c r="D2680" s="3" t="s">
        <v>68</v>
      </c>
      <c r="E2680" s="3" t="s">
        <v>154</v>
      </c>
      <c r="F2680" s="3"/>
    </row>
    <row r="2681" spans="1:6" x14ac:dyDescent="0.3">
      <c r="A2681" s="7" t="str">
        <f>BD_ControlRegimen[[#This Row],[FECHA]]&amp;BD_ControlRegimen[[#This Row],[NOMBRE]]</f>
        <v>45040REYES MAURICIO DAVID</v>
      </c>
      <c r="B2681" s="83">
        <f>WEEKNUM(BD_ControlRegimen[[#This Row],[FECHA]],2)</f>
        <v>18</v>
      </c>
      <c r="C2681" s="7">
        <v>45040</v>
      </c>
      <c r="D2681" s="3" t="s">
        <v>68</v>
      </c>
      <c r="E2681" s="3" t="s">
        <v>155</v>
      </c>
      <c r="F2681" s="3"/>
    </row>
    <row r="2682" spans="1:6" x14ac:dyDescent="0.3">
      <c r="A2682" s="7" t="str">
        <f>BD_ControlRegimen[[#This Row],[FECHA]]&amp;BD_ControlRegimen[[#This Row],[NOMBRE]]</f>
        <v>45041REYES MAURICIO DAVID</v>
      </c>
      <c r="B2682" s="83">
        <f>WEEKNUM(BD_ControlRegimen[[#This Row],[FECHA]],2)</f>
        <v>18</v>
      </c>
      <c r="C2682" s="7">
        <v>45041</v>
      </c>
      <c r="D2682" s="3" t="s">
        <v>68</v>
      </c>
      <c r="E2682" s="3" t="s">
        <v>155</v>
      </c>
      <c r="F2682" s="3"/>
    </row>
    <row r="2683" spans="1:6" x14ac:dyDescent="0.3">
      <c r="A2683" s="7" t="str">
        <f>BD_ControlRegimen[[#This Row],[FECHA]]&amp;BD_ControlRegimen[[#This Row],[NOMBRE]]</f>
        <v>45042REYES MAURICIO DAVID</v>
      </c>
      <c r="B2683" s="83">
        <f>WEEKNUM(BD_ControlRegimen[[#This Row],[FECHA]],2)</f>
        <v>18</v>
      </c>
      <c r="C2683" s="7">
        <v>45042</v>
      </c>
      <c r="D2683" s="3" t="s">
        <v>68</v>
      </c>
      <c r="E2683" s="3" t="s">
        <v>155</v>
      </c>
      <c r="F2683" s="3"/>
    </row>
    <row r="2684" spans="1:6" x14ac:dyDescent="0.3">
      <c r="A2684" s="7" t="str">
        <f>BD_ControlRegimen[[#This Row],[FECHA]]&amp;BD_ControlRegimen[[#This Row],[NOMBRE]]</f>
        <v>45043REYES MAURICIO DAVID</v>
      </c>
      <c r="B2684" s="83">
        <f>WEEKNUM(BD_ControlRegimen[[#This Row],[FECHA]],2)</f>
        <v>18</v>
      </c>
      <c r="C2684" s="7">
        <v>45043</v>
      </c>
      <c r="D2684" s="3" t="s">
        <v>68</v>
      </c>
      <c r="E2684" s="3" t="s">
        <v>155</v>
      </c>
      <c r="F2684" s="3"/>
    </row>
    <row r="2685" spans="1:6" x14ac:dyDescent="0.3">
      <c r="A2685" s="7" t="str">
        <f>BD_ControlRegimen[[#This Row],[FECHA]]&amp;BD_ControlRegimen[[#This Row],[NOMBRE]]</f>
        <v>45044REYES MAURICIO DAVID</v>
      </c>
      <c r="B2685" s="83">
        <f>WEEKNUM(BD_ControlRegimen[[#This Row],[FECHA]],2)</f>
        <v>18</v>
      </c>
      <c r="C2685" s="7">
        <v>45044</v>
      </c>
      <c r="D2685" s="3" t="s">
        <v>68</v>
      </c>
      <c r="E2685" s="3" t="s">
        <v>155</v>
      </c>
      <c r="F2685" s="3"/>
    </row>
    <row r="2686" spans="1:6" x14ac:dyDescent="0.3">
      <c r="A2686" s="7" t="str">
        <f>BD_ControlRegimen[[#This Row],[FECHA]]&amp;BD_ControlRegimen[[#This Row],[NOMBRE]]</f>
        <v>45045REYES MAURICIO DAVID</v>
      </c>
      <c r="B2686" s="83">
        <f>WEEKNUM(BD_ControlRegimen[[#This Row],[FECHA]],2)</f>
        <v>18</v>
      </c>
      <c r="C2686" s="7">
        <v>45045</v>
      </c>
      <c r="D2686" s="3" t="s">
        <v>68</v>
      </c>
      <c r="E2686" s="3" t="s">
        <v>155</v>
      </c>
      <c r="F2686" s="3"/>
    </row>
    <row r="2687" spans="1:6" x14ac:dyDescent="0.3">
      <c r="A2687" s="7" t="str">
        <f>BD_ControlRegimen[[#This Row],[FECHA]]&amp;BD_ControlRegimen[[#This Row],[NOMBRE]]</f>
        <v>45046REYES MAURICIO DAVID</v>
      </c>
      <c r="B2687" s="83">
        <f>WEEKNUM(BD_ControlRegimen[[#This Row],[FECHA]],2)</f>
        <v>18</v>
      </c>
      <c r="C2687" s="7">
        <v>45046</v>
      </c>
      <c r="D2687" s="3" t="s">
        <v>68</v>
      </c>
      <c r="E2687" s="3" t="s">
        <v>155</v>
      </c>
      <c r="F2687" s="3"/>
    </row>
    <row r="2688" spans="1:6" hidden="1" x14ac:dyDescent="0.3">
      <c r="A2688" s="7" t="str">
        <f>BD_ControlRegimen[[#This Row],[FECHA]]&amp;BD_ControlRegimen[[#This Row],[NOMBRE]]</f>
        <v>45047REYES MAURICIO DAVID</v>
      </c>
      <c r="B2688" s="83">
        <f>WEEKNUM(BD_ControlRegimen[[#This Row],[FECHA]],2)</f>
        <v>19</v>
      </c>
      <c r="C2688" s="7">
        <v>45047</v>
      </c>
      <c r="D2688" s="3" t="s">
        <v>68</v>
      </c>
      <c r="E2688" s="3"/>
      <c r="F2688" s="3"/>
    </row>
    <row r="2689" spans="1:6" hidden="1" x14ac:dyDescent="0.3">
      <c r="A2689" s="7" t="str">
        <f>BD_ControlRegimen[[#This Row],[FECHA]]&amp;BD_ControlRegimen[[#This Row],[NOMBRE]]</f>
        <v>45048REYES MAURICIO DAVID</v>
      </c>
      <c r="B2689" s="83">
        <f>WEEKNUM(BD_ControlRegimen[[#This Row],[FECHA]],2)</f>
        <v>19</v>
      </c>
      <c r="C2689" s="7">
        <v>45048</v>
      </c>
      <c r="D2689" s="3" t="s">
        <v>68</v>
      </c>
      <c r="E2689" s="3"/>
      <c r="F2689" s="3"/>
    </row>
    <row r="2690" spans="1:6" hidden="1" x14ac:dyDescent="0.3">
      <c r="A2690" s="7" t="str">
        <f>BD_ControlRegimen[[#This Row],[FECHA]]&amp;BD_ControlRegimen[[#This Row],[NOMBRE]]</f>
        <v>45049REYES MAURICIO DAVID</v>
      </c>
      <c r="B2690" s="83">
        <f>WEEKNUM(BD_ControlRegimen[[#This Row],[FECHA]],2)</f>
        <v>19</v>
      </c>
      <c r="C2690" s="7">
        <v>45049</v>
      </c>
      <c r="D2690" s="3" t="s">
        <v>68</v>
      </c>
      <c r="E2690" s="3"/>
      <c r="F2690" s="3"/>
    </row>
    <row r="2691" spans="1:6" hidden="1" x14ac:dyDescent="0.3">
      <c r="A2691" s="7" t="str">
        <f>BD_ControlRegimen[[#This Row],[FECHA]]&amp;BD_ControlRegimen[[#This Row],[NOMBRE]]</f>
        <v>45050REYES MAURICIO DAVID</v>
      </c>
      <c r="B2691" s="83">
        <f>WEEKNUM(BD_ControlRegimen[[#This Row],[FECHA]],2)</f>
        <v>19</v>
      </c>
      <c r="C2691" s="7">
        <v>45050</v>
      </c>
      <c r="D2691" s="3" t="s">
        <v>68</v>
      </c>
      <c r="E2691" s="3"/>
      <c r="F2691" s="3"/>
    </row>
    <row r="2692" spans="1:6" hidden="1" x14ac:dyDescent="0.3">
      <c r="A2692" s="7" t="str">
        <f>BD_ControlRegimen[[#This Row],[FECHA]]&amp;BD_ControlRegimen[[#This Row],[NOMBRE]]</f>
        <v>45051REYES MAURICIO DAVID</v>
      </c>
      <c r="B2692" s="83">
        <f>WEEKNUM(BD_ControlRegimen[[#This Row],[FECHA]],2)</f>
        <v>19</v>
      </c>
      <c r="C2692" s="7">
        <v>45051</v>
      </c>
      <c r="D2692" s="3" t="s">
        <v>68</v>
      </c>
      <c r="E2692" s="3"/>
      <c r="F2692" s="3"/>
    </row>
    <row r="2693" spans="1:6" hidden="1" x14ac:dyDescent="0.3">
      <c r="A2693" s="7" t="str">
        <f>BD_ControlRegimen[[#This Row],[FECHA]]&amp;BD_ControlRegimen[[#This Row],[NOMBRE]]</f>
        <v>45052REYES MAURICIO DAVID</v>
      </c>
      <c r="B2693" s="83">
        <f>WEEKNUM(BD_ControlRegimen[[#This Row],[FECHA]],2)</f>
        <v>19</v>
      </c>
      <c r="C2693" s="7">
        <v>45052</v>
      </c>
      <c r="D2693" s="3" t="s">
        <v>68</v>
      </c>
      <c r="E2693" s="3"/>
      <c r="F2693" s="3"/>
    </row>
    <row r="2694" spans="1:6" hidden="1" x14ac:dyDescent="0.3">
      <c r="A2694" s="7" t="str">
        <f>BD_ControlRegimen[[#This Row],[FECHA]]&amp;BD_ControlRegimen[[#This Row],[NOMBRE]]</f>
        <v>45053REYES MAURICIO DAVID</v>
      </c>
      <c r="B2694" s="83">
        <f>WEEKNUM(BD_ControlRegimen[[#This Row],[FECHA]],2)</f>
        <v>19</v>
      </c>
      <c r="C2694" s="7">
        <v>45053</v>
      </c>
      <c r="D2694" s="3" t="s">
        <v>68</v>
      </c>
      <c r="E2694" s="3"/>
      <c r="F2694" s="3"/>
    </row>
    <row r="2695" spans="1:6" hidden="1" x14ac:dyDescent="0.3">
      <c r="A2695" s="7" t="str">
        <f>BD_ControlRegimen[[#This Row],[FECHA]]&amp;BD_ControlRegimen[[#This Row],[NOMBRE]]</f>
        <v>45054REYES MAURICIO DAVID</v>
      </c>
      <c r="B2695" s="83">
        <f>WEEKNUM(BD_ControlRegimen[[#This Row],[FECHA]],2)</f>
        <v>20</v>
      </c>
      <c r="C2695" s="7">
        <v>45054</v>
      </c>
      <c r="D2695" s="3" t="s">
        <v>68</v>
      </c>
      <c r="E2695" s="3"/>
      <c r="F2695" s="3"/>
    </row>
    <row r="2696" spans="1:6" hidden="1" x14ac:dyDescent="0.3">
      <c r="A2696" s="7" t="str">
        <f>BD_ControlRegimen[[#This Row],[FECHA]]&amp;BD_ControlRegimen[[#This Row],[NOMBRE]]</f>
        <v>45055REYES MAURICIO DAVID</v>
      </c>
      <c r="B2696" s="83">
        <f>WEEKNUM(BD_ControlRegimen[[#This Row],[FECHA]],2)</f>
        <v>20</v>
      </c>
      <c r="C2696" s="7">
        <v>45055</v>
      </c>
      <c r="D2696" s="3" t="s">
        <v>68</v>
      </c>
      <c r="E2696" s="3"/>
      <c r="F2696" s="3"/>
    </row>
    <row r="2697" spans="1:6" hidden="1" x14ac:dyDescent="0.3">
      <c r="A2697" s="7" t="str">
        <f>BD_ControlRegimen[[#This Row],[FECHA]]&amp;BD_ControlRegimen[[#This Row],[NOMBRE]]</f>
        <v>45056REYES MAURICIO DAVID</v>
      </c>
      <c r="B2697" s="83">
        <f>WEEKNUM(BD_ControlRegimen[[#This Row],[FECHA]],2)</f>
        <v>20</v>
      </c>
      <c r="C2697" s="7">
        <v>45056</v>
      </c>
      <c r="D2697" s="3" t="s">
        <v>68</v>
      </c>
      <c r="E2697" s="3"/>
      <c r="F2697" s="3"/>
    </row>
    <row r="2698" spans="1:6" hidden="1" x14ac:dyDescent="0.3">
      <c r="A2698" s="7" t="str">
        <f>BD_ControlRegimen[[#This Row],[FECHA]]&amp;BD_ControlRegimen[[#This Row],[NOMBRE]]</f>
        <v>45057REYES MAURICIO DAVID</v>
      </c>
      <c r="B2698" s="83">
        <f>WEEKNUM(BD_ControlRegimen[[#This Row],[FECHA]],2)</f>
        <v>20</v>
      </c>
      <c r="C2698" s="7">
        <v>45057</v>
      </c>
      <c r="D2698" s="3" t="s">
        <v>68</v>
      </c>
      <c r="E2698" s="3"/>
      <c r="F2698" s="3"/>
    </row>
    <row r="2699" spans="1:6" hidden="1" x14ac:dyDescent="0.3">
      <c r="A2699" s="7" t="str">
        <f>BD_ControlRegimen[[#This Row],[FECHA]]&amp;BD_ControlRegimen[[#This Row],[NOMBRE]]</f>
        <v>45058REYES MAURICIO DAVID</v>
      </c>
      <c r="B2699" s="83">
        <f>WEEKNUM(BD_ControlRegimen[[#This Row],[FECHA]],2)</f>
        <v>20</v>
      </c>
      <c r="C2699" s="7">
        <v>45058</v>
      </c>
      <c r="D2699" s="3" t="s">
        <v>68</v>
      </c>
      <c r="E2699" s="3"/>
      <c r="F2699" s="3"/>
    </row>
    <row r="2700" spans="1:6" hidden="1" x14ac:dyDescent="0.3">
      <c r="A2700" s="7" t="str">
        <f>BD_ControlRegimen[[#This Row],[FECHA]]&amp;BD_ControlRegimen[[#This Row],[NOMBRE]]</f>
        <v>45059REYES MAURICIO DAVID</v>
      </c>
      <c r="B2700" s="83">
        <f>WEEKNUM(BD_ControlRegimen[[#This Row],[FECHA]],2)</f>
        <v>20</v>
      </c>
      <c r="C2700" s="7">
        <v>45059</v>
      </c>
      <c r="D2700" s="3" t="s">
        <v>68</v>
      </c>
      <c r="E2700" s="3"/>
      <c r="F2700" s="3"/>
    </row>
    <row r="2701" spans="1:6" hidden="1" x14ac:dyDescent="0.3">
      <c r="A2701" s="7" t="str">
        <f>BD_ControlRegimen[[#This Row],[FECHA]]&amp;BD_ControlRegimen[[#This Row],[NOMBRE]]</f>
        <v>45060REYES MAURICIO DAVID</v>
      </c>
      <c r="B2701" s="83">
        <f>WEEKNUM(BD_ControlRegimen[[#This Row],[FECHA]],2)</f>
        <v>20</v>
      </c>
      <c r="C2701" s="7">
        <v>45060</v>
      </c>
      <c r="D2701" s="3" t="s">
        <v>68</v>
      </c>
      <c r="E2701" s="3"/>
      <c r="F2701" s="3"/>
    </row>
    <row r="2702" spans="1:6" hidden="1" x14ac:dyDescent="0.3">
      <c r="A2702" s="14" t="str">
        <f>BD_ControlRegimen[[#This Row],[FECHA]]&amp;BD_ControlRegimen[[#This Row],[NOMBRE]]</f>
        <v>45061REYES MAURICIO DAVID</v>
      </c>
      <c r="B2702" s="105">
        <f>WEEKNUM(BD_ControlRegimen[[#This Row],[FECHA]],2)</f>
        <v>21</v>
      </c>
      <c r="C2702" s="14">
        <v>45061</v>
      </c>
      <c r="D2702" s="3" t="s">
        <v>68</v>
      </c>
      <c r="E2702" s="97"/>
      <c r="F2702" s="97"/>
    </row>
    <row r="2703" spans="1:6" hidden="1" x14ac:dyDescent="0.3">
      <c r="A2703" s="7" t="str">
        <f>BD_ControlRegimen[[#This Row],[FECHA]]&amp;BD_ControlRegimen[[#This Row],[NOMBRE]]</f>
        <v>45062REYES MAURICIO DAVID</v>
      </c>
      <c r="B2703" s="83">
        <f>WEEKNUM(BD_ControlRegimen[[#This Row],[FECHA]],2)</f>
        <v>21</v>
      </c>
      <c r="C2703" s="7">
        <v>45062</v>
      </c>
      <c r="D2703" s="3" t="s">
        <v>68</v>
      </c>
      <c r="E2703" s="3"/>
      <c r="F2703" s="3"/>
    </row>
    <row r="2704" spans="1:6" hidden="1" x14ac:dyDescent="0.3">
      <c r="A2704" s="7" t="str">
        <f>BD_ControlRegimen[[#This Row],[FECHA]]&amp;BD_ControlRegimen[[#This Row],[NOMBRE]]</f>
        <v>45063REYES MAURICIO DAVID</v>
      </c>
      <c r="B2704" s="83">
        <f>WEEKNUM(BD_ControlRegimen[[#This Row],[FECHA]],2)</f>
        <v>21</v>
      </c>
      <c r="C2704" s="7">
        <v>45063</v>
      </c>
      <c r="D2704" s="3" t="s">
        <v>68</v>
      </c>
      <c r="E2704" s="3"/>
      <c r="F2704" s="3"/>
    </row>
    <row r="2705" spans="1:6" hidden="1" x14ac:dyDescent="0.3">
      <c r="A2705" s="7" t="str">
        <f>BD_ControlRegimen[[#This Row],[FECHA]]&amp;BD_ControlRegimen[[#This Row],[NOMBRE]]</f>
        <v>45064REYES MAURICIO DAVID</v>
      </c>
      <c r="B2705" s="83">
        <f>WEEKNUM(BD_ControlRegimen[[#This Row],[FECHA]],2)</f>
        <v>21</v>
      </c>
      <c r="C2705" s="7">
        <v>45064</v>
      </c>
      <c r="D2705" s="3" t="s">
        <v>68</v>
      </c>
      <c r="E2705" s="3"/>
      <c r="F2705" s="3"/>
    </row>
    <row r="2706" spans="1:6" hidden="1" x14ac:dyDescent="0.3">
      <c r="A2706" s="7" t="str">
        <f>BD_ControlRegimen[[#This Row],[FECHA]]&amp;BD_ControlRegimen[[#This Row],[NOMBRE]]</f>
        <v>45065REYES MAURICIO DAVID</v>
      </c>
      <c r="B2706" s="83">
        <f>WEEKNUM(BD_ControlRegimen[[#This Row],[FECHA]],2)</f>
        <v>21</v>
      </c>
      <c r="C2706" s="7">
        <v>45065</v>
      </c>
      <c r="D2706" s="3" t="s">
        <v>68</v>
      </c>
      <c r="E2706" s="3"/>
      <c r="F2706" s="3"/>
    </row>
    <row r="2707" spans="1:6" hidden="1" x14ac:dyDescent="0.3">
      <c r="A2707" s="7" t="str">
        <f>BD_ControlRegimen[[#This Row],[FECHA]]&amp;BD_ControlRegimen[[#This Row],[NOMBRE]]</f>
        <v>45066REYES MAURICIO DAVID</v>
      </c>
      <c r="B2707" s="83">
        <f>WEEKNUM(BD_ControlRegimen[[#This Row],[FECHA]],2)</f>
        <v>21</v>
      </c>
      <c r="C2707" s="7">
        <v>45066</v>
      </c>
      <c r="D2707" s="3" t="s">
        <v>68</v>
      </c>
      <c r="E2707" s="3"/>
      <c r="F2707" s="3"/>
    </row>
    <row r="2708" spans="1:6" hidden="1" x14ac:dyDescent="0.3">
      <c r="A2708" s="7" t="str">
        <f>BD_ControlRegimen[[#This Row],[FECHA]]&amp;BD_ControlRegimen[[#This Row],[NOMBRE]]</f>
        <v>45067REYES MAURICIO DAVID</v>
      </c>
      <c r="B2708" s="83">
        <f>WEEKNUM(BD_ControlRegimen[[#This Row],[FECHA]],2)</f>
        <v>21</v>
      </c>
      <c r="C2708" s="7">
        <v>45067</v>
      </c>
      <c r="D2708" s="3" t="s">
        <v>68</v>
      </c>
      <c r="E2708" s="3"/>
      <c r="F2708" s="3"/>
    </row>
    <row r="2709" spans="1:6" hidden="1" x14ac:dyDescent="0.3">
      <c r="A2709" s="7" t="str">
        <f>BD_ControlRegimen[[#This Row],[FECHA]]&amp;BD_ControlRegimen[[#This Row],[NOMBRE]]</f>
        <v>45068REYES MAURICIO DAVID</v>
      </c>
      <c r="B2709" s="83">
        <f>WEEKNUM(BD_ControlRegimen[[#This Row],[FECHA]],2)</f>
        <v>22</v>
      </c>
      <c r="C2709" s="7">
        <v>45068</v>
      </c>
      <c r="D2709" s="3" t="s">
        <v>68</v>
      </c>
      <c r="E2709" s="3"/>
      <c r="F2709" s="3"/>
    </row>
    <row r="2710" spans="1:6" hidden="1" x14ac:dyDescent="0.3">
      <c r="A2710" s="7" t="str">
        <f>BD_ControlRegimen[[#This Row],[FECHA]]&amp;BD_ControlRegimen[[#This Row],[NOMBRE]]</f>
        <v>45069REYES MAURICIO DAVID</v>
      </c>
      <c r="B2710" s="83">
        <f>WEEKNUM(BD_ControlRegimen[[#This Row],[FECHA]],2)</f>
        <v>22</v>
      </c>
      <c r="C2710" s="7">
        <v>45069</v>
      </c>
      <c r="D2710" s="3" t="s">
        <v>68</v>
      </c>
      <c r="E2710" s="3"/>
      <c r="F2710" s="3"/>
    </row>
    <row r="2711" spans="1:6" hidden="1" x14ac:dyDescent="0.3">
      <c r="A2711" s="7" t="str">
        <f>BD_ControlRegimen[[#This Row],[FECHA]]&amp;BD_ControlRegimen[[#This Row],[NOMBRE]]</f>
        <v>45070REYES MAURICIO DAVID</v>
      </c>
      <c r="B2711" s="83">
        <f>WEEKNUM(BD_ControlRegimen[[#This Row],[FECHA]],2)</f>
        <v>22</v>
      </c>
      <c r="C2711" s="7">
        <v>45070</v>
      </c>
      <c r="D2711" s="3" t="s">
        <v>68</v>
      </c>
      <c r="E2711" s="3"/>
      <c r="F2711" s="3"/>
    </row>
    <row r="2712" spans="1:6" hidden="1" x14ac:dyDescent="0.3">
      <c r="A2712" s="7" t="str">
        <f>BD_ControlRegimen[[#This Row],[FECHA]]&amp;BD_ControlRegimen[[#This Row],[NOMBRE]]</f>
        <v>45071REYES MAURICIO DAVID</v>
      </c>
      <c r="B2712" s="83">
        <f>WEEKNUM(BD_ControlRegimen[[#This Row],[FECHA]],2)</f>
        <v>22</v>
      </c>
      <c r="C2712" s="7">
        <v>45071</v>
      </c>
      <c r="D2712" s="3" t="s">
        <v>68</v>
      </c>
      <c r="E2712" s="3"/>
      <c r="F2712" s="3"/>
    </row>
    <row r="2713" spans="1:6" hidden="1" x14ac:dyDescent="0.3">
      <c r="A2713" s="7" t="str">
        <f>BD_ControlRegimen[[#This Row],[FECHA]]&amp;BD_ControlRegimen[[#This Row],[NOMBRE]]</f>
        <v>45072REYES MAURICIO DAVID</v>
      </c>
      <c r="B2713" s="83">
        <f>WEEKNUM(BD_ControlRegimen[[#This Row],[FECHA]],2)</f>
        <v>22</v>
      </c>
      <c r="C2713" s="7">
        <v>45072</v>
      </c>
      <c r="D2713" s="3" t="s">
        <v>68</v>
      </c>
      <c r="E2713" s="3"/>
      <c r="F2713" s="3"/>
    </row>
    <row r="2714" spans="1:6" hidden="1" x14ac:dyDescent="0.3">
      <c r="A2714" s="7" t="str">
        <f>BD_ControlRegimen[[#This Row],[FECHA]]&amp;BD_ControlRegimen[[#This Row],[NOMBRE]]</f>
        <v>45073REYES MAURICIO DAVID</v>
      </c>
      <c r="B2714" s="83">
        <f>WEEKNUM(BD_ControlRegimen[[#This Row],[FECHA]],2)</f>
        <v>22</v>
      </c>
      <c r="C2714" s="7">
        <v>45073</v>
      </c>
      <c r="D2714" s="3" t="s">
        <v>68</v>
      </c>
      <c r="E2714" s="3"/>
      <c r="F2714" s="3"/>
    </row>
    <row r="2715" spans="1:6" hidden="1" x14ac:dyDescent="0.3">
      <c r="A2715" s="7" t="str">
        <f>BD_ControlRegimen[[#This Row],[FECHA]]&amp;BD_ControlRegimen[[#This Row],[NOMBRE]]</f>
        <v>45074REYES MAURICIO DAVID</v>
      </c>
      <c r="B2715" s="83">
        <f>WEEKNUM(BD_ControlRegimen[[#This Row],[FECHA]],2)</f>
        <v>22</v>
      </c>
      <c r="C2715" s="7">
        <v>45074</v>
      </c>
      <c r="D2715" s="3" t="s">
        <v>68</v>
      </c>
      <c r="E2715" s="3"/>
      <c r="F2715" s="3"/>
    </row>
    <row r="2716" spans="1:6" hidden="1" x14ac:dyDescent="0.3">
      <c r="A2716" s="7" t="str">
        <f>BD_ControlRegimen[[#This Row],[FECHA]]&amp;BD_ControlRegimen[[#This Row],[NOMBRE]]</f>
        <v>45075REYES MAURICIO DAVID</v>
      </c>
      <c r="B2716" s="83">
        <f>WEEKNUM(BD_ControlRegimen[[#This Row],[FECHA]],2)</f>
        <v>23</v>
      </c>
      <c r="C2716" s="7">
        <v>45075</v>
      </c>
      <c r="D2716" s="3" t="s">
        <v>68</v>
      </c>
      <c r="E2716" s="3"/>
      <c r="F2716" s="3"/>
    </row>
    <row r="2717" spans="1:6" hidden="1" x14ac:dyDescent="0.3">
      <c r="A2717" s="7" t="str">
        <f>BD_ControlRegimen[[#This Row],[FECHA]]&amp;BD_ControlRegimen[[#This Row],[NOMBRE]]</f>
        <v>45076REYES MAURICIO DAVID</v>
      </c>
      <c r="B2717" s="83">
        <f>WEEKNUM(BD_ControlRegimen[[#This Row],[FECHA]],2)</f>
        <v>23</v>
      </c>
      <c r="C2717" s="7">
        <v>45076</v>
      </c>
      <c r="D2717" s="3" t="s">
        <v>68</v>
      </c>
      <c r="E2717" s="3"/>
      <c r="F2717" s="3"/>
    </row>
    <row r="2718" spans="1:6" hidden="1" x14ac:dyDescent="0.3">
      <c r="A2718" s="7" t="str">
        <f>BD_ControlRegimen[[#This Row],[FECHA]]&amp;BD_ControlRegimen[[#This Row],[NOMBRE]]</f>
        <v>45077REYES MAURICIO DAVID</v>
      </c>
      <c r="B2718" s="83">
        <f>WEEKNUM(BD_ControlRegimen[[#This Row],[FECHA]],2)</f>
        <v>23</v>
      </c>
      <c r="C2718" s="7">
        <v>45077</v>
      </c>
      <c r="D2718" s="3" t="s">
        <v>68</v>
      </c>
      <c r="E2718" s="3"/>
      <c r="F2718" s="3"/>
    </row>
    <row r="2719" spans="1:6" hidden="1" x14ac:dyDescent="0.3">
      <c r="A2719" s="7" t="str">
        <f>BD_ControlRegimen[[#This Row],[FECHA]]&amp;BD_ControlRegimen[[#This Row],[NOMBRE]]</f>
        <v>45078REYES MAURICIO DAVID</v>
      </c>
      <c r="B2719" s="83">
        <f>WEEKNUM(BD_ControlRegimen[[#This Row],[FECHA]],2)</f>
        <v>23</v>
      </c>
      <c r="C2719" s="7">
        <v>45078</v>
      </c>
      <c r="D2719" s="3" t="s">
        <v>68</v>
      </c>
      <c r="E2719" s="3"/>
      <c r="F2719" s="3"/>
    </row>
    <row r="2720" spans="1:6" hidden="1" x14ac:dyDescent="0.3">
      <c r="A2720" s="7" t="str">
        <f>BD_ControlRegimen[[#This Row],[FECHA]]&amp;BD_ControlRegimen[[#This Row],[NOMBRE]]</f>
        <v>45079REYES MAURICIO DAVID</v>
      </c>
      <c r="B2720" s="83">
        <f>WEEKNUM(BD_ControlRegimen[[#This Row],[FECHA]],2)</f>
        <v>23</v>
      </c>
      <c r="C2720" s="7">
        <v>45079</v>
      </c>
      <c r="D2720" s="3" t="s">
        <v>68</v>
      </c>
      <c r="E2720" s="3"/>
      <c r="F2720" s="3"/>
    </row>
    <row r="2721" spans="1:6" hidden="1" x14ac:dyDescent="0.3">
      <c r="A2721" s="7" t="str">
        <f>BD_ControlRegimen[[#This Row],[FECHA]]&amp;BD_ControlRegimen[[#This Row],[NOMBRE]]</f>
        <v>45080REYES MAURICIO DAVID</v>
      </c>
      <c r="B2721" s="83">
        <f>WEEKNUM(BD_ControlRegimen[[#This Row],[FECHA]],2)</f>
        <v>23</v>
      </c>
      <c r="C2721" s="7">
        <v>45080</v>
      </c>
      <c r="D2721" s="3" t="s">
        <v>68</v>
      </c>
      <c r="E2721" s="3"/>
      <c r="F2721" s="3"/>
    </row>
    <row r="2722" spans="1:6" hidden="1" x14ac:dyDescent="0.3">
      <c r="A2722" s="7" t="str">
        <f>BD_ControlRegimen[[#This Row],[FECHA]]&amp;BD_ControlRegimen[[#This Row],[NOMBRE]]</f>
        <v>45081REYES MAURICIO DAVID</v>
      </c>
      <c r="B2722" s="83">
        <f>WEEKNUM(BD_ControlRegimen[[#This Row],[FECHA]],2)</f>
        <v>23</v>
      </c>
      <c r="C2722" s="7">
        <v>45081</v>
      </c>
      <c r="D2722" s="3" t="s">
        <v>68</v>
      </c>
      <c r="E2722" s="3"/>
      <c r="F2722" s="3"/>
    </row>
    <row r="2723" spans="1:6" hidden="1" x14ac:dyDescent="0.3">
      <c r="A2723" s="7" t="str">
        <f>BD_ControlRegimen[[#This Row],[FECHA]]&amp;BD_ControlRegimen[[#This Row],[NOMBRE]]</f>
        <v>45082REYES MAURICIO DAVID</v>
      </c>
      <c r="B2723" s="83">
        <f>WEEKNUM(BD_ControlRegimen[[#This Row],[FECHA]],2)</f>
        <v>24</v>
      </c>
      <c r="C2723" s="7">
        <v>45082</v>
      </c>
      <c r="D2723" s="3" t="s">
        <v>68</v>
      </c>
      <c r="E2723" s="3"/>
      <c r="F2723" s="3"/>
    </row>
    <row r="2724" spans="1:6" hidden="1" x14ac:dyDescent="0.3">
      <c r="A2724" s="7" t="str">
        <f>BD_ControlRegimen[[#This Row],[FECHA]]&amp;BD_ControlRegimen[[#This Row],[NOMBRE]]</f>
        <v>45083REYES MAURICIO DAVID</v>
      </c>
      <c r="B2724" s="83">
        <f>WEEKNUM(BD_ControlRegimen[[#This Row],[FECHA]],2)</f>
        <v>24</v>
      </c>
      <c r="C2724" s="7">
        <v>45083</v>
      </c>
      <c r="D2724" s="3" t="s">
        <v>68</v>
      </c>
      <c r="E2724" s="3"/>
      <c r="F2724" s="3"/>
    </row>
    <row r="2725" spans="1:6" hidden="1" x14ac:dyDescent="0.3">
      <c r="A2725" s="7" t="str">
        <f>BD_ControlRegimen[[#This Row],[FECHA]]&amp;BD_ControlRegimen[[#This Row],[NOMBRE]]</f>
        <v>45084REYES MAURICIO DAVID</v>
      </c>
      <c r="B2725" s="83">
        <f>WEEKNUM(BD_ControlRegimen[[#This Row],[FECHA]],2)</f>
        <v>24</v>
      </c>
      <c r="C2725" s="7">
        <v>45084</v>
      </c>
      <c r="D2725" s="3" t="s">
        <v>68</v>
      </c>
      <c r="E2725" s="3"/>
      <c r="F2725" s="3"/>
    </row>
    <row r="2726" spans="1:6" hidden="1" x14ac:dyDescent="0.3">
      <c r="A2726" s="7" t="str">
        <f>BD_ControlRegimen[[#This Row],[FECHA]]&amp;BD_ControlRegimen[[#This Row],[NOMBRE]]</f>
        <v>45085REYES MAURICIO DAVID</v>
      </c>
      <c r="B2726" s="83">
        <f>WEEKNUM(BD_ControlRegimen[[#This Row],[FECHA]],2)</f>
        <v>24</v>
      </c>
      <c r="C2726" s="7">
        <v>45085</v>
      </c>
      <c r="D2726" s="3" t="s">
        <v>68</v>
      </c>
      <c r="E2726" s="3"/>
      <c r="F2726" s="3"/>
    </row>
    <row r="2727" spans="1:6" hidden="1" x14ac:dyDescent="0.3">
      <c r="A2727" s="7" t="str">
        <f>BD_ControlRegimen[[#This Row],[FECHA]]&amp;BD_ControlRegimen[[#This Row],[NOMBRE]]</f>
        <v>45086REYES MAURICIO DAVID</v>
      </c>
      <c r="B2727" s="83">
        <f>WEEKNUM(BD_ControlRegimen[[#This Row],[FECHA]],2)</f>
        <v>24</v>
      </c>
      <c r="C2727" s="7">
        <v>45086</v>
      </c>
      <c r="D2727" s="3" t="s">
        <v>68</v>
      </c>
      <c r="E2727" s="3"/>
      <c r="F2727" s="3"/>
    </row>
    <row r="2728" spans="1:6" hidden="1" x14ac:dyDescent="0.3">
      <c r="A2728" s="7" t="str">
        <f>BD_ControlRegimen[[#This Row],[FECHA]]&amp;BD_ControlRegimen[[#This Row],[NOMBRE]]</f>
        <v>45087REYES MAURICIO DAVID</v>
      </c>
      <c r="B2728" s="83">
        <f>WEEKNUM(BD_ControlRegimen[[#This Row],[FECHA]],2)</f>
        <v>24</v>
      </c>
      <c r="C2728" s="7">
        <v>45087</v>
      </c>
      <c r="D2728" s="3" t="s">
        <v>68</v>
      </c>
      <c r="E2728" s="3"/>
      <c r="F2728" s="3"/>
    </row>
    <row r="2729" spans="1:6" hidden="1" x14ac:dyDescent="0.3">
      <c r="A2729" s="7" t="str">
        <f>BD_ControlRegimen[[#This Row],[FECHA]]&amp;BD_ControlRegimen[[#This Row],[NOMBRE]]</f>
        <v>45088REYES MAURICIO DAVID</v>
      </c>
      <c r="B2729" s="83">
        <f>WEEKNUM(BD_ControlRegimen[[#This Row],[FECHA]],2)</f>
        <v>24</v>
      </c>
      <c r="C2729" s="7">
        <v>45088</v>
      </c>
      <c r="D2729" s="3" t="s">
        <v>68</v>
      </c>
      <c r="E2729" s="3"/>
      <c r="F2729" s="3"/>
    </row>
    <row r="2730" spans="1:6" hidden="1" x14ac:dyDescent="0.3">
      <c r="A2730" s="7" t="str">
        <f>BD_ControlRegimen[[#This Row],[FECHA]]&amp;BD_ControlRegimen[[#This Row],[NOMBRE]]</f>
        <v>45089REYES MAURICIO DAVID</v>
      </c>
      <c r="B2730" s="83">
        <f>WEEKNUM(BD_ControlRegimen[[#This Row],[FECHA]],2)</f>
        <v>25</v>
      </c>
      <c r="C2730" s="7">
        <v>45089</v>
      </c>
      <c r="D2730" s="3" t="s">
        <v>68</v>
      </c>
      <c r="E2730" s="3"/>
      <c r="F2730" s="3"/>
    </row>
    <row r="2731" spans="1:6" hidden="1" x14ac:dyDescent="0.3">
      <c r="A2731" s="7" t="str">
        <f>BD_ControlRegimen[[#This Row],[FECHA]]&amp;BD_ControlRegimen[[#This Row],[NOMBRE]]</f>
        <v>45090REYES MAURICIO DAVID</v>
      </c>
      <c r="B2731" s="83">
        <f>WEEKNUM(BD_ControlRegimen[[#This Row],[FECHA]],2)</f>
        <v>25</v>
      </c>
      <c r="C2731" s="7">
        <v>45090</v>
      </c>
      <c r="D2731" s="3" t="s">
        <v>68</v>
      </c>
      <c r="E2731" s="3"/>
      <c r="F2731" s="3"/>
    </row>
    <row r="2732" spans="1:6" hidden="1" x14ac:dyDescent="0.3">
      <c r="A2732" s="7" t="str">
        <f>BD_ControlRegimen[[#This Row],[FECHA]]&amp;BD_ControlRegimen[[#This Row],[NOMBRE]]</f>
        <v>45091REYES MAURICIO DAVID</v>
      </c>
      <c r="B2732" s="83">
        <f>WEEKNUM(BD_ControlRegimen[[#This Row],[FECHA]],2)</f>
        <v>25</v>
      </c>
      <c r="C2732" s="7">
        <v>45091</v>
      </c>
      <c r="D2732" s="3" t="s">
        <v>68</v>
      </c>
      <c r="E2732" s="3"/>
      <c r="F2732" s="3"/>
    </row>
    <row r="2733" spans="1:6" hidden="1" x14ac:dyDescent="0.3">
      <c r="A2733" s="7" t="str">
        <f>BD_ControlRegimen[[#This Row],[FECHA]]&amp;BD_ControlRegimen[[#This Row],[NOMBRE]]</f>
        <v>45092REYES MAURICIO DAVID</v>
      </c>
      <c r="B2733" s="83">
        <f>WEEKNUM(BD_ControlRegimen[[#This Row],[FECHA]],2)</f>
        <v>25</v>
      </c>
      <c r="C2733" s="7">
        <v>45092</v>
      </c>
      <c r="D2733" s="3" t="s">
        <v>68</v>
      </c>
      <c r="E2733" s="3"/>
      <c r="F2733" s="3"/>
    </row>
    <row r="2734" spans="1:6" hidden="1" x14ac:dyDescent="0.3">
      <c r="A2734" s="7" t="str">
        <f>BD_ControlRegimen[[#This Row],[FECHA]]&amp;BD_ControlRegimen[[#This Row],[NOMBRE]]</f>
        <v>45093REYES MAURICIO DAVID</v>
      </c>
      <c r="B2734" s="83">
        <f>WEEKNUM(BD_ControlRegimen[[#This Row],[FECHA]],2)</f>
        <v>25</v>
      </c>
      <c r="C2734" s="7">
        <v>45093</v>
      </c>
      <c r="D2734" s="3" t="s">
        <v>68</v>
      </c>
      <c r="E2734" s="3"/>
      <c r="F2734" s="3"/>
    </row>
    <row r="2735" spans="1:6" hidden="1" x14ac:dyDescent="0.3">
      <c r="A2735" s="7" t="str">
        <f>BD_ControlRegimen[[#This Row],[FECHA]]&amp;BD_ControlRegimen[[#This Row],[NOMBRE]]</f>
        <v>45094REYES MAURICIO DAVID</v>
      </c>
      <c r="B2735" s="83">
        <f>WEEKNUM(BD_ControlRegimen[[#This Row],[FECHA]],2)</f>
        <v>25</v>
      </c>
      <c r="C2735" s="7">
        <v>45094</v>
      </c>
      <c r="D2735" s="3" t="s">
        <v>68</v>
      </c>
      <c r="E2735" s="3"/>
      <c r="F2735" s="3"/>
    </row>
    <row r="2736" spans="1:6" hidden="1" x14ac:dyDescent="0.3">
      <c r="A2736" s="7" t="str">
        <f>BD_ControlRegimen[[#This Row],[FECHA]]&amp;BD_ControlRegimen[[#This Row],[NOMBRE]]</f>
        <v>45095REYES MAURICIO DAVID</v>
      </c>
      <c r="B2736" s="83">
        <f>WEEKNUM(BD_ControlRegimen[[#This Row],[FECHA]],2)</f>
        <v>25</v>
      </c>
      <c r="C2736" s="7">
        <v>45095</v>
      </c>
      <c r="D2736" s="3" t="s">
        <v>68</v>
      </c>
      <c r="E2736" s="3"/>
      <c r="F2736" s="3"/>
    </row>
    <row r="2737" spans="1:6" hidden="1" x14ac:dyDescent="0.3">
      <c r="A2737" s="7" t="str">
        <f>BD_ControlRegimen[[#This Row],[FECHA]]&amp;BD_ControlRegimen[[#This Row],[NOMBRE]]</f>
        <v>45096REYES MAURICIO DAVID</v>
      </c>
      <c r="B2737" s="83">
        <f>WEEKNUM(BD_ControlRegimen[[#This Row],[FECHA]],2)</f>
        <v>26</v>
      </c>
      <c r="C2737" s="7">
        <v>45096</v>
      </c>
      <c r="D2737" s="3" t="s">
        <v>68</v>
      </c>
      <c r="E2737" s="3"/>
      <c r="F2737" s="3"/>
    </row>
    <row r="2738" spans="1:6" hidden="1" x14ac:dyDescent="0.3">
      <c r="A2738" s="7" t="str">
        <f>BD_ControlRegimen[[#This Row],[FECHA]]&amp;BD_ControlRegimen[[#This Row],[NOMBRE]]</f>
        <v>45097REYES MAURICIO DAVID</v>
      </c>
      <c r="B2738" s="83">
        <f>WEEKNUM(BD_ControlRegimen[[#This Row],[FECHA]],2)</f>
        <v>26</v>
      </c>
      <c r="C2738" s="7">
        <v>45097</v>
      </c>
      <c r="D2738" s="3" t="s">
        <v>68</v>
      </c>
      <c r="E2738" s="3"/>
      <c r="F2738" s="3"/>
    </row>
    <row r="2739" spans="1:6" hidden="1" x14ac:dyDescent="0.3">
      <c r="A2739" s="7" t="str">
        <f>BD_ControlRegimen[[#This Row],[FECHA]]&amp;BD_ControlRegimen[[#This Row],[NOMBRE]]</f>
        <v>45098REYES MAURICIO DAVID</v>
      </c>
      <c r="B2739" s="83">
        <f>WEEKNUM(BD_ControlRegimen[[#This Row],[FECHA]],2)</f>
        <v>26</v>
      </c>
      <c r="C2739" s="7">
        <v>45098</v>
      </c>
      <c r="D2739" s="3" t="s">
        <v>68</v>
      </c>
      <c r="E2739" s="3"/>
      <c r="F2739" s="3"/>
    </row>
    <row r="2740" spans="1:6" hidden="1" x14ac:dyDescent="0.3">
      <c r="A2740" s="7" t="str">
        <f>BD_ControlRegimen[[#This Row],[FECHA]]&amp;BD_ControlRegimen[[#This Row],[NOMBRE]]</f>
        <v>45099REYES MAURICIO DAVID</v>
      </c>
      <c r="B2740" s="83">
        <f>WEEKNUM(BD_ControlRegimen[[#This Row],[FECHA]],2)</f>
        <v>26</v>
      </c>
      <c r="C2740" s="7">
        <v>45099</v>
      </c>
      <c r="D2740" s="3" t="s">
        <v>68</v>
      </c>
      <c r="E2740" s="3"/>
      <c r="F2740" s="3"/>
    </row>
    <row r="2741" spans="1:6" hidden="1" x14ac:dyDescent="0.3">
      <c r="A2741" s="7" t="str">
        <f>BD_ControlRegimen[[#This Row],[FECHA]]&amp;BD_ControlRegimen[[#This Row],[NOMBRE]]</f>
        <v>45100REYES MAURICIO DAVID</v>
      </c>
      <c r="B2741" s="83">
        <f>WEEKNUM(BD_ControlRegimen[[#This Row],[FECHA]],2)</f>
        <v>26</v>
      </c>
      <c r="C2741" s="7">
        <v>45100</v>
      </c>
      <c r="D2741" s="3" t="s">
        <v>68</v>
      </c>
      <c r="E2741" s="3"/>
      <c r="F2741" s="3"/>
    </row>
    <row r="2742" spans="1:6" hidden="1" x14ac:dyDescent="0.3">
      <c r="A2742" s="7" t="str">
        <f>BD_ControlRegimen[[#This Row],[FECHA]]&amp;BD_ControlRegimen[[#This Row],[NOMBRE]]</f>
        <v>45101REYES MAURICIO DAVID</v>
      </c>
      <c r="B2742" s="83">
        <f>WEEKNUM(BD_ControlRegimen[[#This Row],[FECHA]],2)</f>
        <v>26</v>
      </c>
      <c r="C2742" s="7">
        <v>45101</v>
      </c>
      <c r="D2742" s="3" t="s">
        <v>68</v>
      </c>
      <c r="E2742" s="3"/>
      <c r="F2742" s="3"/>
    </row>
    <row r="2743" spans="1:6" hidden="1" x14ac:dyDescent="0.3">
      <c r="A2743" s="7" t="str">
        <f>BD_ControlRegimen[[#This Row],[FECHA]]&amp;BD_ControlRegimen[[#This Row],[NOMBRE]]</f>
        <v>45102REYES MAURICIO DAVID</v>
      </c>
      <c r="B2743" s="83">
        <f>WEEKNUM(BD_ControlRegimen[[#This Row],[FECHA]],2)</f>
        <v>26</v>
      </c>
      <c r="C2743" s="7">
        <v>45102</v>
      </c>
      <c r="D2743" s="3" t="s">
        <v>68</v>
      </c>
      <c r="E2743" s="3"/>
      <c r="F2743" s="3"/>
    </row>
    <row r="2744" spans="1:6" hidden="1" x14ac:dyDescent="0.3">
      <c r="A2744" s="7" t="str">
        <f>BD_ControlRegimen[[#This Row],[FECHA]]&amp;BD_ControlRegimen[[#This Row],[NOMBRE]]</f>
        <v>45103REYES MAURICIO DAVID</v>
      </c>
      <c r="B2744" s="83">
        <f>WEEKNUM(BD_ControlRegimen[[#This Row],[FECHA]],2)</f>
        <v>27</v>
      </c>
      <c r="C2744" s="7">
        <v>45103</v>
      </c>
      <c r="D2744" s="3" t="s">
        <v>68</v>
      </c>
      <c r="E2744" s="3"/>
      <c r="F2744" s="3"/>
    </row>
    <row r="2745" spans="1:6" hidden="1" x14ac:dyDescent="0.3">
      <c r="A2745" s="7" t="str">
        <f>BD_ControlRegimen[[#This Row],[FECHA]]&amp;BD_ControlRegimen[[#This Row],[NOMBRE]]</f>
        <v>45104REYES MAURICIO DAVID</v>
      </c>
      <c r="B2745" s="83">
        <f>WEEKNUM(BD_ControlRegimen[[#This Row],[FECHA]],2)</f>
        <v>27</v>
      </c>
      <c r="C2745" s="7">
        <v>45104</v>
      </c>
      <c r="D2745" s="3" t="s">
        <v>68</v>
      </c>
      <c r="E2745" s="3"/>
      <c r="F2745" s="3"/>
    </row>
    <row r="2746" spans="1:6" hidden="1" x14ac:dyDescent="0.3">
      <c r="A2746" s="7" t="str">
        <f>BD_ControlRegimen[[#This Row],[FECHA]]&amp;BD_ControlRegimen[[#This Row],[NOMBRE]]</f>
        <v>45105REYES MAURICIO DAVID</v>
      </c>
      <c r="B2746" s="83">
        <f>WEEKNUM(BD_ControlRegimen[[#This Row],[FECHA]],2)</f>
        <v>27</v>
      </c>
      <c r="C2746" s="7">
        <v>45105</v>
      </c>
      <c r="D2746" s="3" t="s">
        <v>68</v>
      </c>
      <c r="E2746" s="3"/>
      <c r="F2746" s="3"/>
    </row>
    <row r="2747" spans="1:6" hidden="1" x14ac:dyDescent="0.3">
      <c r="A2747" s="7" t="str">
        <f>BD_ControlRegimen[[#This Row],[FECHA]]&amp;BD_ControlRegimen[[#This Row],[NOMBRE]]</f>
        <v>45106REYES MAURICIO DAVID</v>
      </c>
      <c r="B2747" s="83">
        <f>WEEKNUM(BD_ControlRegimen[[#This Row],[FECHA]],2)</f>
        <v>27</v>
      </c>
      <c r="C2747" s="7">
        <v>45106</v>
      </c>
      <c r="D2747" s="3" t="s">
        <v>68</v>
      </c>
      <c r="E2747" s="3"/>
      <c r="F2747" s="3"/>
    </row>
    <row r="2748" spans="1:6" hidden="1" x14ac:dyDescent="0.3">
      <c r="A2748" s="7" t="str">
        <f>BD_ControlRegimen[[#This Row],[FECHA]]&amp;BD_ControlRegimen[[#This Row],[NOMBRE]]</f>
        <v>45107REYES MAURICIO DAVID</v>
      </c>
      <c r="B2748" s="83">
        <f>WEEKNUM(BD_ControlRegimen[[#This Row],[FECHA]],2)</f>
        <v>27</v>
      </c>
      <c r="C2748" s="7">
        <v>45107</v>
      </c>
      <c r="D2748" s="3" t="s">
        <v>68</v>
      </c>
      <c r="E2748" s="3"/>
      <c r="F2748" s="3"/>
    </row>
    <row r="2749" spans="1:6" hidden="1" x14ac:dyDescent="0.3">
      <c r="A2749" s="7" t="str">
        <f>BD_ControlRegimen[[#This Row],[FECHA]]&amp;BD_ControlRegimen[[#This Row],[NOMBRE]]</f>
        <v>45108REYES MAURICIO DAVID</v>
      </c>
      <c r="B2749" s="83">
        <f>WEEKNUM(BD_ControlRegimen[[#This Row],[FECHA]],2)</f>
        <v>27</v>
      </c>
      <c r="C2749" s="7">
        <v>45108</v>
      </c>
      <c r="D2749" s="3" t="s">
        <v>68</v>
      </c>
      <c r="E2749" s="3"/>
      <c r="F2749" s="3"/>
    </row>
    <row r="2750" spans="1:6" hidden="1" x14ac:dyDescent="0.3">
      <c r="A2750" s="7" t="str">
        <f>BD_ControlRegimen[[#This Row],[FECHA]]&amp;BD_ControlRegimen[[#This Row],[NOMBRE]]</f>
        <v>45109REYES MAURICIO DAVID</v>
      </c>
      <c r="B2750" s="83">
        <f>WEEKNUM(BD_ControlRegimen[[#This Row],[FECHA]],2)</f>
        <v>27</v>
      </c>
      <c r="C2750" s="7">
        <v>45109</v>
      </c>
      <c r="D2750" s="3" t="s">
        <v>68</v>
      </c>
      <c r="E2750" s="3"/>
      <c r="F2750" s="3"/>
    </row>
    <row r="2751" spans="1:6" hidden="1" x14ac:dyDescent="0.3">
      <c r="A2751" s="7" t="str">
        <f>BD_ControlRegimen[[#This Row],[FECHA]]&amp;BD_ControlRegimen[[#This Row],[NOMBRE]]</f>
        <v>45110REYES MAURICIO DAVID</v>
      </c>
      <c r="B2751" s="83">
        <f>WEEKNUM(BD_ControlRegimen[[#This Row],[FECHA]],2)</f>
        <v>28</v>
      </c>
      <c r="C2751" s="7">
        <v>45110</v>
      </c>
      <c r="D2751" s="3" t="s">
        <v>68</v>
      </c>
      <c r="E2751" s="3"/>
      <c r="F2751" s="3"/>
    </row>
    <row r="2752" spans="1:6" hidden="1" x14ac:dyDescent="0.3">
      <c r="A2752" s="7" t="str">
        <f>BD_ControlRegimen[[#This Row],[FECHA]]&amp;BD_ControlRegimen[[#This Row],[NOMBRE]]</f>
        <v>45111REYES MAURICIO DAVID</v>
      </c>
      <c r="B2752" s="83">
        <f>WEEKNUM(BD_ControlRegimen[[#This Row],[FECHA]],2)</f>
        <v>28</v>
      </c>
      <c r="C2752" s="7">
        <v>45111</v>
      </c>
      <c r="D2752" s="3" t="s">
        <v>68</v>
      </c>
      <c r="E2752" s="3"/>
      <c r="F2752" s="3"/>
    </row>
    <row r="2753" spans="1:6" hidden="1" x14ac:dyDescent="0.3">
      <c r="A2753" s="7" t="str">
        <f>BD_ControlRegimen[[#This Row],[FECHA]]&amp;BD_ControlRegimen[[#This Row],[NOMBRE]]</f>
        <v>45112REYES MAURICIO DAVID</v>
      </c>
      <c r="B2753" s="83">
        <f>WEEKNUM(BD_ControlRegimen[[#This Row],[FECHA]],2)</f>
        <v>28</v>
      </c>
      <c r="C2753" s="7">
        <v>45112</v>
      </c>
      <c r="D2753" s="3" t="s">
        <v>68</v>
      </c>
      <c r="E2753" s="3"/>
      <c r="F2753" s="3"/>
    </row>
    <row r="2754" spans="1:6" hidden="1" x14ac:dyDescent="0.3">
      <c r="A2754" s="7" t="str">
        <f>BD_ControlRegimen[[#This Row],[FECHA]]&amp;BD_ControlRegimen[[#This Row],[NOMBRE]]</f>
        <v>45113REYES MAURICIO DAVID</v>
      </c>
      <c r="B2754" s="83">
        <f>WEEKNUM(BD_ControlRegimen[[#This Row],[FECHA]],2)</f>
        <v>28</v>
      </c>
      <c r="C2754" s="7">
        <v>45113</v>
      </c>
      <c r="D2754" s="3" t="s">
        <v>68</v>
      </c>
      <c r="E2754" s="3"/>
      <c r="F2754" s="3"/>
    </row>
    <row r="2755" spans="1:6" hidden="1" x14ac:dyDescent="0.3">
      <c r="A2755" s="7" t="str">
        <f>BD_ControlRegimen[[#This Row],[FECHA]]&amp;BD_ControlRegimen[[#This Row],[NOMBRE]]</f>
        <v>45114REYES MAURICIO DAVID</v>
      </c>
      <c r="B2755" s="83">
        <f>WEEKNUM(BD_ControlRegimen[[#This Row],[FECHA]],2)</f>
        <v>28</v>
      </c>
      <c r="C2755" s="7">
        <v>45114</v>
      </c>
      <c r="D2755" s="3" t="s">
        <v>68</v>
      </c>
      <c r="E2755" s="3"/>
      <c r="F2755" s="3"/>
    </row>
    <row r="2756" spans="1:6" hidden="1" x14ac:dyDescent="0.3">
      <c r="A2756" s="7" t="str">
        <f>BD_ControlRegimen[[#This Row],[FECHA]]&amp;BD_ControlRegimen[[#This Row],[NOMBRE]]</f>
        <v>45115REYES MAURICIO DAVID</v>
      </c>
      <c r="B2756" s="83">
        <f>WEEKNUM(BD_ControlRegimen[[#This Row],[FECHA]],2)</f>
        <v>28</v>
      </c>
      <c r="C2756" s="7">
        <v>45115</v>
      </c>
      <c r="D2756" s="3" t="s">
        <v>68</v>
      </c>
      <c r="E2756" s="3"/>
      <c r="F2756" s="3"/>
    </row>
    <row r="2757" spans="1:6" hidden="1" x14ac:dyDescent="0.3">
      <c r="A2757" s="7" t="str">
        <f>BD_ControlRegimen[[#This Row],[FECHA]]&amp;BD_ControlRegimen[[#This Row],[NOMBRE]]</f>
        <v>45116REYES MAURICIO DAVID</v>
      </c>
      <c r="B2757" s="83">
        <f>WEEKNUM(BD_ControlRegimen[[#This Row],[FECHA]],2)</f>
        <v>28</v>
      </c>
      <c r="C2757" s="7">
        <v>45116</v>
      </c>
      <c r="D2757" s="3" t="s">
        <v>68</v>
      </c>
      <c r="E2757" s="3"/>
      <c r="F2757" s="3"/>
    </row>
    <row r="2758" spans="1:6" hidden="1" x14ac:dyDescent="0.3">
      <c r="A2758" s="7" t="str">
        <f>BD_ControlRegimen[[#This Row],[FECHA]]&amp;BD_ControlRegimen[[#This Row],[NOMBRE]]</f>
        <v>45117REYES MAURICIO DAVID</v>
      </c>
      <c r="B2758" s="83">
        <f>WEEKNUM(BD_ControlRegimen[[#This Row],[FECHA]],2)</f>
        <v>29</v>
      </c>
      <c r="C2758" s="7">
        <v>45117</v>
      </c>
      <c r="D2758" s="3" t="s">
        <v>68</v>
      </c>
      <c r="E2758" s="3"/>
      <c r="F2758" s="3"/>
    </row>
    <row r="2759" spans="1:6" hidden="1" x14ac:dyDescent="0.3">
      <c r="A2759" s="7" t="str">
        <f>BD_ControlRegimen[[#This Row],[FECHA]]&amp;BD_ControlRegimen[[#This Row],[NOMBRE]]</f>
        <v>45118REYES MAURICIO DAVID</v>
      </c>
      <c r="B2759" s="83">
        <f>WEEKNUM(BD_ControlRegimen[[#This Row],[FECHA]],2)</f>
        <v>29</v>
      </c>
      <c r="C2759" s="7">
        <v>45118</v>
      </c>
      <c r="D2759" s="3" t="s">
        <v>68</v>
      </c>
      <c r="E2759" s="3"/>
      <c r="F2759" s="3"/>
    </row>
    <row r="2760" spans="1:6" hidden="1" x14ac:dyDescent="0.3">
      <c r="A2760" s="7" t="str">
        <f>BD_ControlRegimen[[#This Row],[FECHA]]&amp;BD_ControlRegimen[[#This Row],[NOMBRE]]</f>
        <v>45119REYES MAURICIO DAVID</v>
      </c>
      <c r="B2760" s="83">
        <f>WEEKNUM(BD_ControlRegimen[[#This Row],[FECHA]],2)</f>
        <v>29</v>
      </c>
      <c r="C2760" s="7">
        <v>45119</v>
      </c>
      <c r="D2760" s="3" t="s">
        <v>68</v>
      </c>
      <c r="E2760" s="3"/>
      <c r="F2760" s="3"/>
    </row>
    <row r="2761" spans="1:6" hidden="1" x14ac:dyDescent="0.3">
      <c r="A2761" s="7" t="str">
        <f>BD_ControlRegimen[[#This Row],[FECHA]]&amp;BD_ControlRegimen[[#This Row],[NOMBRE]]</f>
        <v>45120REYES MAURICIO DAVID</v>
      </c>
      <c r="B2761" s="83">
        <f>WEEKNUM(BD_ControlRegimen[[#This Row],[FECHA]],2)</f>
        <v>29</v>
      </c>
      <c r="C2761" s="7">
        <v>45120</v>
      </c>
      <c r="D2761" s="3" t="s">
        <v>68</v>
      </c>
      <c r="E2761" s="3"/>
      <c r="F2761" s="3"/>
    </row>
    <row r="2762" spans="1:6" hidden="1" x14ac:dyDescent="0.3">
      <c r="A2762" s="7" t="str">
        <f>BD_ControlRegimen[[#This Row],[FECHA]]&amp;BD_ControlRegimen[[#This Row],[NOMBRE]]</f>
        <v>45121REYES MAURICIO DAVID</v>
      </c>
      <c r="B2762" s="83">
        <f>WEEKNUM(BD_ControlRegimen[[#This Row],[FECHA]],2)</f>
        <v>29</v>
      </c>
      <c r="C2762" s="7">
        <v>45121</v>
      </c>
      <c r="D2762" s="3" t="s">
        <v>68</v>
      </c>
      <c r="E2762" s="3"/>
      <c r="F2762" s="3"/>
    </row>
    <row r="2763" spans="1:6" hidden="1" x14ac:dyDescent="0.3">
      <c r="A2763" s="7" t="str">
        <f>BD_ControlRegimen[[#This Row],[FECHA]]&amp;BD_ControlRegimen[[#This Row],[NOMBRE]]</f>
        <v>45122REYES MAURICIO DAVID</v>
      </c>
      <c r="B2763" s="83">
        <f>WEEKNUM(BD_ControlRegimen[[#This Row],[FECHA]],2)</f>
        <v>29</v>
      </c>
      <c r="C2763" s="7">
        <v>45122</v>
      </c>
      <c r="D2763" s="3" t="s">
        <v>68</v>
      </c>
      <c r="E2763" s="3"/>
      <c r="F2763" s="3"/>
    </row>
    <row r="2764" spans="1:6" hidden="1" x14ac:dyDescent="0.3">
      <c r="A2764" s="7" t="str">
        <f>BD_ControlRegimen[[#This Row],[FECHA]]&amp;BD_ControlRegimen[[#This Row],[NOMBRE]]</f>
        <v>45123REYES MAURICIO DAVID</v>
      </c>
      <c r="B2764" s="83">
        <f>WEEKNUM(BD_ControlRegimen[[#This Row],[FECHA]],2)</f>
        <v>29</v>
      </c>
      <c r="C2764" s="7">
        <v>45123</v>
      </c>
      <c r="D2764" s="3" t="s">
        <v>68</v>
      </c>
      <c r="E2764" s="3"/>
      <c r="F2764" s="3"/>
    </row>
    <row r="2765" spans="1:6" hidden="1" x14ac:dyDescent="0.3">
      <c r="A2765" s="7" t="str">
        <f>BD_ControlRegimen[[#This Row],[FECHA]]&amp;BD_ControlRegimen[[#This Row],[NOMBRE]]</f>
        <v>45124REYES MAURICIO DAVID</v>
      </c>
      <c r="B2765" s="83">
        <f>WEEKNUM(BD_ControlRegimen[[#This Row],[FECHA]],2)</f>
        <v>30</v>
      </c>
      <c r="C2765" s="7">
        <v>45124</v>
      </c>
      <c r="D2765" s="3" t="s">
        <v>68</v>
      </c>
      <c r="E2765" s="3"/>
      <c r="F2765" s="3"/>
    </row>
    <row r="2766" spans="1:6" hidden="1" x14ac:dyDescent="0.3">
      <c r="A2766" s="7" t="str">
        <f>BD_ControlRegimen[[#This Row],[FECHA]]&amp;BD_ControlRegimen[[#This Row],[NOMBRE]]</f>
        <v>45125REYES MAURICIO DAVID</v>
      </c>
      <c r="B2766" s="83">
        <f>WEEKNUM(BD_ControlRegimen[[#This Row],[FECHA]],2)</f>
        <v>30</v>
      </c>
      <c r="C2766" s="7">
        <v>45125</v>
      </c>
      <c r="D2766" s="3" t="s">
        <v>68</v>
      </c>
      <c r="E2766" s="3"/>
      <c r="F2766" s="3"/>
    </row>
    <row r="2767" spans="1:6" hidden="1" x14ac:dyDescent="0.3">
      <c r="A2767" s="7" t="str">
        <f>BD_ControlRegimen[[#This Row],[FECHA]]&amp;BD_ControlRegimen[[#This Row],[NOMBRE]]</f>
        <v>45126REYES MAURICIO DAVID</v>
      </c>
      <c r="B2767" s="83">
        <f>WEEKNUM(BD_ControlRegimen[[#This Row],[FECHA]],2)</f>
        <v>30</v>
      </c>
      <c r="C2767" s="7">
        <v>45126</v>
      </c>
      <c r="D2767" s="3" t="s">
        <v>68</v>
      </c>
      <c r="E2767" s="3"/>
      <c r="F2767" s="3"/>
    </row>
    <row r="2768" spans="1:6" hidden="1" x14ac:dyDescent="0.3">
      <c r="A2768" s="7" t="str">
        <f>BD_ControlRegimen[[#This Row],[FECHA]]&amp;BD_ControlRegimen[[#This Row],[NOMBRE]]</f>
        <v>45127REYES MAURICIO DAVID</v>
      </c>
      <c r="B2768" s="83">
        <f>WEEKNUM(BD_ControlRegimen[[#This Row],[FECHA]],2)</f>
        <v>30</v>
      </c>
      <c r="C2768" s="7">
        <v>45127</v>
      </c>
      <c r="D2768" s="3" t="s">
        <v>68</v>
      </c>
      <c r="E2768" s="3"/>
      <c r="F2768" s="3"/>
    </row>
    <row r="2769" spans="1:6" hidden="1" x14ac:dyDescent="0.3">
      <c r="A2769" s="7" t="str">
        <f>BD_ControlRegimen[[#This Row],[FECHA]]&amp;BD_ControlRegimen[[#This Row],[NOMBRE]]</f>
        <v>45128REYES MAURICIO DAVID</v>
      </c>
      <c r="B2769" s="83">
        <f>WEEKNUM(BD_ControlRegimen[[#This Row],[FECHA]],2)</f>
        <v>30</v>
      </c>
      <c r="C2769" s="7">
        <v>45128</v>
      </c>
      <c r="D2769" s="3" t="s">
        <v>68</v>
      </c>
      <c r="E2769" s="3"/>
      <c r="F2769" s="3"/>
    </row>
    <row r="2770" spans="1:6" hidden="1" x14ac:dyDescent="0.3">
      <c r="A2770" s="7" t="str">
        <f>BD_ControlRegimen[[#This Row],[FECHA]]&amp;BD_ControlRegimen[[#This Row],[NOMBRE]]</f>
        <v>45129REYES MAURICIO DAVID</v>
      </c>
      <c r="B2770" s="83">
        <f>WEEKNUM(BD_ControlRegimen[[#This Row],[FECHA]],2)</f>
        <v>30</v>
      </c>
      <c r="C2770" s="7">
        <v>45129</v>
      </c>
      <c r="D2770" s="3" t="s">
        <v>68</v>
      </c>
      <c r="E2770" s="3"/>
      <c r="F2770" s="3"/>
    </row>
    <row r="2771" spans="1:6" hidden="1" x14ac:dyDescent="0.3">
      <c r="A2771" s="7" t="str">
        <f>BD_ControlRegimen[[#This Row],[FECHA]]&amp;BD_ControlRegimen[[#This Row],[NOMBRE]]</f>
        <v>45130REYES MAURICIO DAVID</v>
      </c>
      <c r="B2771" s="83">
        <f>WEEKNUM(BD_ControlRegimen[[#This Row],[FECHA]],2)</f>
        <v>30</v>
      </c>
      <c r="C2771" s="7">
        <v>45130</v>
      </c>
      <c r="D2771" s="3" t="s">
        <v>68</v>
      </c>
      <c r="E2771" s="3"/>
      <c r="F2771" s="3"/>
    </row>
    <row r="2772" spans="1:6" hidden="1" x14ac:dyDescent="0.3">
      <c r="A2772" s="7" t="str">
        <f>BD_ControlRegimen[[#This Row],[FECHA]]&amp;BD_ControlRegimen[[#This Row],[NOMBRE]]</f>
        <v>45131REYES MAURICIO DAVID</v>
      </c>
      <c r="B2772" s="83">
        <f>WEEKNUM(BD_ControlRegimen[[#This Row],[FECHA]],2)</f>
        <v>31</v>
      </c>
      <c r="C2772" s="7">
        <v>45131</v>
      </c>
      <c r="D2772" s="3" t="s">
        <v>68</v>
      </c>
      <c r="E2772" s="3"/>
      <c r="F2772" s="3"/>
    </row>
    <row r="2773" spans="1:6" hidden="1" x14ac:dyDescent="0.3">
      <c r="A2773" s="7" t="str">
        <f>BD_ControlRegimen[[#This Row],[FECHA]]&amp;BD_ControlRegimen[[#This Row],[NOMBRE]]</f>
        <v>45132REYES MAURICIO DAVID</v>
      </c>
      <c r="B2773" s="83">
        <f>WEEKNUM(BD_ControlRegimen[[#This Row],[FECHA]],2)</f>
        <v>31</v>
      </c>
      <c r="C2773" s="7">
        <v>45132</v>
      </c>
      <c r="D2773" s="3" t="s">
        <v>68</v>
      </c>
      <c r="E2773" s="3"/>
      <c r="F2773" s="3"/>
    </row>
    <row r="2774" spans="1:6" hidden="1" x14ac:dyDescent="0.3">
      <c r="A2774" s="7" t="str">
        <f>BD_ControlRegimen[[#This Row],[FECHA]]&amp;BD_ControlRegimen[[#This Row],[NOMBRE]]</f>
        <v>45133REYES MAURICIO DAVID</v>
      </c>
      <c r="B2774" s="83">
        <f>WEEKNUM(BD_ControlRegimen[[#This Row],[FECHA]],2)</f>
        <v>31</v>
      </c>
      <c r="C2774" s="7">
        <v>45133</v>
      </c>
      <c r="D2774" s="3" t="s">
        <v>68</v>
      </c>
      <c r="E2774" s="3"/>
      <c r="F2774" s="3"/>
    </row>
    <row r="2775" spans="1:6" hidden="1" x14ac:dyDescent="0.3">
      <c r="A2775" s="7" t="str">
        <f>BD_ControlRegimen[[#This Row],[FECHA]]&amp;BD_ControlRegimen[[#This Row],[NOMBRE]]</f>
        <v>45134REYES MAURICIO DAVID</v>
      </c>
      <c r="B2775" s="83">
        <f>WEEKNUM(BD_ControlRegimen[[#This Row],[FECHA]],2)</f>
        <v>31</v>
      </c>
      <c r="C2775" s="7">
        <v>45134</v>
      </c>
      <c r="D2775" s="3" t="s">
        <v>68</v>
      </c>
      <c r="E2775" s="3"/>
      <c r="F2775" s="3"/>
    </row>
    <row r="2776" spans="1:6" hidden="1" x14ac:dyDescent="0.3">
      <c r="A2776" s="7" t="str">
        <f>BD_ControlRegimen[[#This Row],[FECHA]]&amp;BD_ControlRegimen[[#This Row],[NOMBRE]]</f>
        <v>45135REYES MAURICIO DAVID</v>
      </c>
      <c r="B2776" s="83">
        <f>WEEKNUM(BD_ControlRegimen[[#This Row],[FECHA]],2)</f>
        <v>31</v>
      </c>
      <c r="C2776" s="7">
        <v>45135</v>
      </c>
      <c r="D2776" s="3" t="s">
        <v>68</v>
      </c>
      <c r="E2776" s="3"/>
      <c r="F2776" s="3"/>
    </row>
    <row r="2777" spans="1:6" hidden="1" x14ac:dyDescent="0.3">
      <c r="A2777" s="7" t="str">
        <f>BD_ControlRegimen[[#This Row],[FECHA]]&amp;BD_ControlRegimen[[#This Row],[NOMBRE]]</f>
        <v>45136REYES MAURICIO DAVID</v>
      </c>
      <c r="B2777" s="83">
        <f>WEEKNUM(BD_ControlRegimen[[#This Row],[FECHA]],2)</f>
        <v>31</v>
      </c>
      <c r="C2777" s="7">
        <v>45136</v>
      </c>
      <c r="D2777" s="3" t="s">
        <v>68</v>
      </c>
      <c r="E2777" s="3"/>
      <c r="F2777" s="3"/>
    </row>
    <row r="2778" spans="1:6" hidden="1" x14ac:dyDescent="0.3">
      <c r="A2778" s="7" t="str">
        <f>BD_ControlRegimen[[#This Row],[FECHA]]&amp;BD_ControlRegimen[[#This Row],[NOMBRE]]</f>
        <v>45137REYES MAURICIO DAVID</v>
      </c>
      <c r="B2778" s="83">
        <f>WEEKNUM(BD_ControlRegimen[[#This Row],[FECHA]],2)</f>
        <v>31</v>
      </c>
      <c r="C2778" s="7">
        <v>45137</v>
      </c>
      <c r="D2778" s="3" t="s">
        <v>68</v>
      </c>
      <c r="E2778" s="3"/>
      <c r="F2778" s="3"/>
    </row>
    <row r="2779" spans="1:6" hidden="1" x14ac:dyDescent="0.3">
      <c r="A2779" s="7" t="str">
        <f>BD_ControlRegimen[[#This Row],[FECHA]]&amp;BD_ControlRegimen[[#This Row],[NOMBRE]]</f>
        <v>45138REYES MAURICIO DAVID</v>
      </c>
      <c r="B2779" s="83">
        <f>WEEKNUM(BD_ControlRegimen[[#This Row],[FECHA]],2)</f>
        <v>32</v>
      </c>
      <c r="C2779" s="7">
        <v>45138</v>
      </c>
      <c r="D2779" s="3" t="s">
        <v>68</v>
      </c>
      <c r="E2779" s="3"/>
      <c r="F2779" s="3"/>
    </row>
    <row r="2780" spans="1:6" hidden="1" x14ac:dyDescent="0.3">
      <c r="A2780" s="7" t="str">
        <f>BD_ControlRegimen[[#This Row],[FECHA]]&amp;BD_ControlRegimen[[#This Row],[NOMBRE]]</f>
        <v>45139REYES MAURICIO DAVID</v>
      </c>
      <c r="B2780" s="83">
        <f>WEEKNUM(BD_ControlRegimen[[#This Row],[FECHA]],2)</f>
        <v>32</v>
      </c>
      <c r="C2780" s="7">
        <v>45139</v>
      </c>
      <c r="D2780" s="3" t="s">
        <v>68</v>
      </c>
      <c r="E2780" s="3"/>
      <c r="F2780" s="3"/>
    </row>
    <row r="2781" spans="1:6" hidden="1" x14ac:dyDescent="0.3">
      <c r="A2781" s="7" t="str">
        <f>BD_ControlRegimen[[#This Row],[FECHA]]&amp;BD_ControlRegimen[[#This Row],[NOMBRE]]</f>
        <v>45140REYES MAURICIO DAVID</v>
      </c>
      <c r="B2781" s="83">
        <f>WEEKNUM(BD_ControlRegimen[[#This Row],[FECHA]],2)</f>
        <v>32</v>
      </c>
      <c r="C2781" s="7">
        <v>45140</v>
      </c>
      <c r="D2781" s="3" t="s">
        <v>68</v>
      </c>
      <c r="E2781" s="3"/>
      <c r="F2781" s="3"/>
    </row>
    <row r="2782" spans="1:6" hidden="1" x14ac:dyDescent="0.3">
      <c r="A2782" s="7" t="str">
        <f>BD_ControlRegimen[[#This Row],[FECHA]]&amp;BD_ControlRegimen[[#This Row],[NOMBRE]]</f>
        <v>45141REYES MAURICIO DAVID</v>
      </c>
      <c r="B2782" s="83">
        <f>WEEKNUM(BD_ControlRegimen[[#This Row],[FECHA]],2)</f>
        <v>32</v>
      </c>
      <c r="C2782" s="7">
        <v>45141</v>
      </c>
      <c r="D2782" s="3" t="s">
        <v>68</v>
      </c>
      <c r="E2782" s="3"/>
      <c r="F2782" s="3"/>
    </row>
    <row r="2783" spans="1:6" hidden="1" x14ac:dyDescent="0.3">
      <c r="A2783" s="7" t="str">
        <f>BD_ControlRegimen[[#This Row],[FECHA]]&amp;BD_ControlRegimen[[#This Row],[NOMBRE]]</f>
        <v>45142REYES MAURICIO DAVID</v>
      </c>
      <c r="B2783" s="83">
        <f>WEEKNUM(BD_ControlRegimen[[#This Row],[FECHA]],2)</f>
        <v>32</v>
      </c>
      <c r="C2783" s="7">
        <v>45142</v>
      </c>
      <c r="D2783" s="3" t="s">
        <v>68</v>
      </c>
      <c r="E2783" s="3"/>
      <c r="F2783" s="3"/>
    </row>
    <row r="2784" spans="1:6" hidden="1" x14ac:dyDescent="0.3">
      <c r="A2784" s="7" t="str">
        <f>BD_ControlRegimen[[#This Row],[FECHA]]&amp;BD_ControlRegimen[[#This Row],[NOMBRE]]</f>
        <v>45143REYES MAURICIO DAVID</v>
      </c>
      <c r="B2784" s="83">
        <f>WEEKNUM(BD_ControlRegimen[[#This Row],[FECHA]],2)</f>
        <v>32</v>
      </c>
      <c r="C2784" s="7">
        <v>45143</v>
      </c>
      <c r="D2784" s="3" t="s">
        <v>68</v>
      </c>
      <c r="E2784" s="3"/>
      <c r="F2784" s="3"/>
    </row>
    <row r="2785" spans="1:6" hidden="1" x14ac:dyDescent="0.3">
      <c r="A2785" s="7" t="str">
        <f>BD_ControlRegimen[[#This Row],[FECHA]]&amp;BD_ControlRegimen[[#This Row],[NOMBRE]]</f>
        <v>45144REYES MAURICIO DAVID</v>
      </c>
      <c r="B2785" s="83">
        <f>WEEKNUM(BD_ControlRegimen[[#This Row],[FECHA]],2)</f>
        <v>32</v>
      </c>
      <c r="C2785" s="7">
        <v>45144</v>
      </c>
      <c r="D2785" s="3" t="s">
        <v>68</v>
      </c>
      <c r="E2785" s="3"/>
      <c r="F2785" s="3"/>
    </row>
    <row r="2786" spans="1:6" hidden="1" x14ac:dyDescent="0.3">
      <c r="A2786" s="7" t="str">
        <f>BD_ControlRegimen[[#This Row],[FECHA]]&amp;BD_ControlRegimen[[#This Row],[NOMBRE]]</f>
        <v>45145REYES MAURICIO DAVID</v>
      </c>
      <c r="B2786" s="83">
        <f>WEEKNUM(BD_ControlRegimen[[#This Row],[FECHA]],2)</f>
        <v>33</v>
      </c>
      <c r="C2786" s="7">
        <v>45145</v>
      </c>
      <c r="D2786" s="3" t="s">
        <v>68</v>
      </c>
      <c r="E2786" s="3"/>
      <c r="F2786" s="3"/>
    </row>
    <row r="2787" spans="1:6" hidden="1" x14ac:dyDescent="0.3">
      <c r="A2787" s="14" t="str">
        <f>BD_ControlRegimen[[#This Row],[FECHA]]&amp;BD_ControlRegimen[[#This Row],[NOMBRE]]</f>
        <v>45146REYES MAURICIO DAVID</v>
      </c>
      <c r="B2787" s="105">
        <f>WEEKNUM(BD_ControlRegimen[[#This Row],[FECHA]],2)</f>
        <v>33</v>
      </c>
      <c r="C2787" s="14">
        <v>45146</v>
      </c>
      <c r="D2787" s="3" t="s">
        <v>68</v>
      </c>
      <c r="E2787" s="97"/>
      <c r="F2787" s="97"/>
    </row>
    <row r="2788" spans="1:6" hidden="1" x14ac:dyDescent="0.3">
      <c r="A2788" s="7" t="str">
        <f>BD_ControlRegimen[[#This Row],[FECHA]]&amp;BD_ControlRegimen[[#This Row],[NOMBRE]]</f>
        <v>45147REYES MAURICIO DAVID</v>
      </c>
      <c r="B2788" s="83">
        <f>WEEKNUM(BD_ControlRegimen[[#This Row],[FECHA]],2)</f>
        <v>33</v>
      </c>
      <c r="C2788" s="7">
        <v>45147</v>
      </c>
      <c r="D2788" s="3" t="s">
        <v>68</v>
      </c>
      <c r="E2788" s="3"/>
      <c r="F2788" s="3"/>
    </row>
    <row r="2789" spans="1:6" hidden="1" x14ac:dyDescent="0.3">
      <c r="A2789" s="7" t="str">
        <f>BD_ControlRegimen[[#This Row],[FECHA]]&amp;BD_ControlRegimen[[#This Row],[NOMBRE]]</f>
        <v>45148REYES MAURICIO DAVID</v>
      </c>
      <c r="B2789" s="83">
        <f>WEEKNUM(BD_ControlRegimen[[#This Row],[FECHA]],2)</f>
        <v>33</v>
      </c>
      <c r="C2789" s="7">
        <v>45148</v>
      </c>
      <c r="D2789" s="3" t="s">
        <v>68</v>
      </c>
      <c r="E2789" s="3"/>
      <c r="F2789" s="3"/>
    </row>
    <row r="2790" spans="1:6" hidden="1" x14ac:dyDescent="0.3">
      <c r="A2790" s="7" t="str">
        <f>BD_ControlRegimen[[#This Row],[FECHA]]&amp;BD_ControlRegimen[[#This Row],[NOMBRE]]</f>
        <v>45149REYES MAURICIO DAVID</v>
      </c>
      <c r="B2790" s="83">
        <f>WEEKNUM(BD_ControlRegimen[[#This Row],[FECHA]],2)</f>
        <v>33</v>
      </c>
      <c r="C2790" s="7">
        <v>45149</v>
      </c>
      <c r="D2790" s="3" t="s">
        <v>68</v>
      </c>
      <c r="E2790" s="3"/>
      <c r="F2790" s="3"/>
    </row>
    <row r="2791" spans="1:6" hidden="1" x14ac:dyDescent="0.3">
      <c r="A2791" s="7" t="str">
        <f>BD_ControlRegimen[[#This Row],[FECHA]]&amp;BD_ControlRegimen[[#This Row],[NOMBRE]]</f>
        <v>45150REYES MAURICIO DAVID</v>
      </c>
      <c r="B2791" s="83">
        <f>WEEKNUM(BD_ControlRegimen[[#This Row],[FECHA]],2)</f>
        <v>33</v>
      </c>
      <c r="C2791" s="7">
        <v>45150</v>
      </c>
      <c r="D2791" s="3" t="s">
        <v>68</v>
      </c>
      <c r="E2791" s="3"/>
      <c r="F2791" s="3"/>
    </row>
    <row r="2792" spans="1:6" hidden="1" x14ac:dyDescent="0.3">
      <c r="A2792" s="7" t="str">
        <f>BD_ControlRegimen[[#This Row],[FECHA]]&amp;BD_ControlRegimen[[#This Row],[NOMBRE]]</f>
        <v>45151REYES MAURICIO DAVID</v>
      </c>
      <c r="B2792" s="83">
        <f>WEEKNUM(BD_ControlRegimen[[#This Row],[FECHA]],2)</f>
        <v>33</v>
      </c>
      <c r="C2792" s="7">
        <v>45151</v>
      </c>
      <c r="D2792" s="3" t="s">
        <v>68</v>
      </c>
      <c r="E2792" s="3"/>
      <c r="F2792" s="3"/>
    </row>
    <row r="2793" spans="1:6" hidden="1" x14ac:dyDescent="0.3">
      <c r="A2793" s="7" t="str">
        <f>BD_ControlRegimen[[#This Row],[FECHA]]&amp;BD_ControlRegimen[[#This Row],[NOMBRE]]</f>
        <v>45152REYES MAURICIO DAVID</v>
      </c>
      <c r="B2793" s="83">
        <f>WEEKNUM(BD_ControlRegimen[[#This Row],[FECHA]],2)</f>
        <v>34</v>
      </c>
      <c r="C2793" s="7">
        <v>45152</v>
      </c>
      <c r="D2793" s="3" t="s">
        <v>68</v>
      </c>
      <c r="E2793" s="3"/>
      <c r="F2793" s="3"/>
    </row>
    <row r="2794" spans="1:6" hidden="1" x14ac:dyDescent="0.3">
      <c r="A2794" s="7" t="str">
        <f>BD_ControlRegimen[[#This Row],[FECHA]]&amp;BD_ControlRegimen[[#This Row],[NOMBRE]]</f>
        <v>45153REYES MAURICIO DAVID</v>
      </c>
      <c r="B2794" s="83">
        <f>WEEKNUM(BD_ControlRegimen[[#This Row],[FECHA]],2)</f>
        <v>34</v>
      </c>
      <c r="C2794" s="7">
        <v>45153</v>
      </c>
      <c r="D2794" s="3" t="s">
        <v>68</v>
      </c>
      <c r="E2794" s="3"/>
      <c r="F2794" s="3"/>
    </row>
    <row r="2795" spans="1:6" hidden="1" x14ac:dyDescent="0.3">
      <c r="A2795" s="7" t="str">
        <f>BD_ControlRegimen[[#This Row],[FECHA]]&amp;BD_ControlRegimen[[#This Row],[NOMBRE]]</f>
        <v>45154REYES MAURICIO DAVID</v>
      </c>
      <c r="B2795" s="83">
        <f>WEEKNUM(BD_ControlRegimen[[#This Row],[FECHA]],2)</f>
        <v>34</v>
      </c>
      <c r="C2795" s="7">
        <v>45154</v>
      </c>
      <c r="D2795" s="3" t="s">
        <v>68</v>
      </c>
      <c r="E2795" s="3"/>
      <c r="F2795" s="3"/>
    </row>
    <row r="2796" spans="1:6" hidden="1" x14ac:dyDescent="0.3">
      <c r="A2796" s="7" t="str">
        <f>BD_ControlRegimen[[#This Row],[FECHA]]&amp;BD_ControlRegimen[[#This Row],[NOMBRE]]</f>
        <v>45155REYES MAURICIO DAVID</v>
      </c>
      <c r="B2796" s="83">
        <f>WEEKNUM(BD_ControlRegimen[[#This Row],[FECHA]],2)</f>
        <v>34</v>
      </c>
      <c r="C2796" s="7">
        <v>45155</v>
      </c>
      <c r="D2796" s="3" t="s">
        <v>68</v>
      </c>
      <c r="E2796" s="3"/>
      <c r="F2796" s="3"/>
    </row>
    <row r="2797" spans="1:6" hidden="1" x14ac:dyDescent="0.3">
      <c r="A2797" s="7" t="str">
        <f>BD_ControlRegimen[[#This Row],[FECHA]]&amp;BD_ControlRegimen[[#This Row],[NOMBRE]]</f>
        <v>45156REYES MAURICIO DAVID</v>
      </c>
      <c r="B2797" s="83">
        <f>WEEKNUM(BD_ControlRegimen[[#This Row],[FECHA]],2)</f>
        <v>34</v>
      </c>
      <c r="C2797" s="7">
        <v>45156</v>
      </c>
      <c r="D2797" s="3" t="s">
        <v>68</v>
      </c>
      <c r="E2797" s="3"/>
      <c r="F2797" s="3"/>
    </row>
    <row r="2798" spans="1:6" hidden="1" x14ac:dyDescent="0.3">
      <c r="A2798" s="7" t="str">
        <f>BD_ControlRegimen[[#This Row],[FECHA]]&amp;BD_ControlRegimen[[#This Row],[NOMBRE]]</f>
        <v>45157REYES MAURICIO DAVID</v>
      </c>
      <c r="B2798" s="83">
        <f>WEEKNUM(BD_ControlRegimen[[#This Row],[FECHA]],2)</f>
        <v>34</v>
      </c>
      <c r="C2798" s="7">
        <v>45157</v>
      </c>
      <c r="D2798" s="3" t="s">
        <v>68</v>
      </c>
      <c r="E2798" s="3"/>
      <c r="F2798" s="3"/>
    </row>
    <row r="2799" spans="1:6" hidden="1" x14ac:dyDescent="0.3">
      <c r="A2799" s="7" t="str">
        <f>BD_ControlRegimen[[#This Row],[FECHA]]&amp;BD_ControlRegimen[[#This Row],[NOMBRE]]</f>
        <v>45158REYES MAURICIO DAVID</v>
      </c>
      <c r="B2799" s="83">
        <f>WEEKNUM(BD_ControlRegimen[[#This Row],[FECHA]],2)</f>
        <v>34</v>
      </c>
      <c r="C2799" s="7">
        <v>45158</v>
      </c>
      <c r="D2799" s="3" t="s">
        <v>68</v>
      </c>
      <c r="E2799" s="3"/>
      <c r="F2799" s="3"/>
    </row>
    <row r="2800" spans="1:6" hidden="1" x14ac:dyDescent="0.3">
      <c r="A2800" s="7" t="str">
        <f>BD_ControlRegimen[[#This Row],[FECHA]]&amp;BD_ControlRegimen[[#This Row],[NOMBRE]]</f>
        <v>45159REYES MAURICIO DAVID</v>
      </c>
      <c r="B2800" s="83">
        <f>WEEKNUM(BD_ControlRegimen[[#This Row],[FECHA]],2)</f>
        <v>35</v>
      </c>
      <c r="C2800" s="7">
        <v>45159</v>
      </c>
      <c r="D2800" s="3" t="s">
        <v>68</v>
      </c>
      <c r="E2800" s="3"/>
      <c r="F2800" s="3"/>
    </row>
    <row r="2801" spans="1:6" hidden="1" x14ac:dyDescent="0.3">
      <c r="A2801" s="7" t="str">
        <f>BD_ControlRegimen[[#This Row],[FECHA]]&amp;BD_ControlRegimen[[#This Row],[NOMBRE]]</f>
        <v>45160REYES MAURICIO DAVID</v>
      </c>
      <c r="B2801" s="83">
        <f>WEEKNUM(BD_ControlRegimen[[#This Row],[FECHA]],2)</f>
        <v>35</v>
      </c>
      <c r="C2801" s="7">
        <v>45160</v>
      </c>
      <c r="D2801" s="3" t="s">
        <v>68</v>
      </c>
      <c r="E2801" s="3"/>
      <c r="F2801" s="3"/>
    </row>
    <row r="2802" spans="1:6" hidden="1" x14ac:dyDescent="0.3">
      <c r="A2802" s="7" t="str">
        <f>BD_ControlRegimen[[#This Row],[FECHA]]&amp;BD_ControlRegimen[[#This Row],[NOMBRE]]</f>
        <v>45161REYES MAURICIO DAVID</v>
      </c>
      <c r="B2802" s="83">
        <f>WEEKNUM(BD_ControlRegimen[[#This Row],[FECHA]],2)</f>
        <v>35</v>
      </c>
      <c r="C2802" s="7">
        <v>45161</v>
      </c>
      <c r="D2802" s="3" t="s">
        <v>68</v>
      </c>
      <c r="E2802" s="3"/>
      <c r="F2802" s="3"/>
    </row>
    <row r="2803" spans="1:6" hidden="1" x14ac:dyDescent="0.3">
      <c r="A2803" s="7" t="str">
        <f>BD_ControlRegimen[[#This Row],[FECHA]]&amp;BD_ControlRegimen[[#This Row],[NOMBRE]]</f>
        <v>45162REYES MAURICIO DAVID</v>
      </c>
      <c r="B2803" s="83">
        <f>WEEKNUM(BD_ControlRegimen[[#This Row],[FECHA]],2)</f>
        <v>35</v>
      </c>
      <c r="C2803" s="7">
        <v>45162</v>
      </c>
      <c r="D2803" s="3" t="s">
        <v>68</v>
      </c>
      <c r="E2803" s="3"/>
      <c r="F2803" s="3"/>
    </row>
    <row r="2804" spans="1:6" hidden="1" x14ac:dyDescent="0.3">
      <c r="A2804" s="7" t="str">
        <f>BD_ControlRegimen[[#This Row],[FECHA]]&amp;BD_ControlRegimen[[#This Row],[NOMBRE]]</f>
        <v>45163REYES MAURICIO DAVID</v>
      </c>
      <c r="B2804" s="83">
        <f>WEEKNUM(BD_ControlRegimen[[#This Row],[FECHA]],2)</f>
        <v>35</v>
      </c>
      <c r="C2804" s="7">
        <v>45163</v>
      </c>
      <c r="D2804" s="3" t="s">
        <v>68</v>
      </c>
      <c r="E2804" s="3"/>
      <c r="F2804" s="3"/>
    </row>
    <row r="2805" spans="1:6" hidden="1" x14ac:dyDescent="0.3">
      <c r="A2805" s="7" t="str">
        <f>BD_ControlRegimen[[#This Row],[FECHA]]&amp;BD_ControlRegimen[[#This Row],[NOMBRE]]</f>
        <v>45164REYES MAURICIO DAVID</v>
      </c>
      <c r="B2805" s="83">
        <f>WEEKNUM(BD_ControlRegimen[[#This Row],[FECHA]],2)</f>
        <v>35</v>
      </c>
      <c r="C2805" s="7">
        <v>45164</v>
      </c>
      <c r="D2805" s="3" t="s">
        <v>68</v>
      </c>
      <c r="E2805" s="3"/>
      <c r="F2805" s="3"/>
    </row>
    <row r="2806" spans="1:6" hidden="1" x14ac:dyDescent="0.3">
      <c r="A2806" s="7" t="str">
        <f>BD_ControlRegimen[[#This Row],[FECHA]]&amp;BD_ControlRegimen[[#This Row],[NOMBRE]]</f>
        <v>45165REYES MAURICIO DAVID</v>
      </c>
      <c r="B2806" s="83">
        <f>WEEKNUM(BD_ControlRegimen[[#This Row],[FECHA]],2)</f>
        <v>35</v>
      </c>
      <c r="C2806" s="7">
        <v>45165</v>
      </c>
      <c r="D2806" s="3" t="s">
        <v>68</v>
      </c>
      <c r="E2806" s="3"/>
      <c r="F2806" s="3"/>
    </row>
    <row r="2807" spans="1:6" hidden="1" x14ac:dyDescent="0.3">
      <c r="A2807" s="7" t="str">
        <f>BD_ControlRegimen[[#This Row],[FECHA]]&amp;BD_ControlRegimen[[#This Row],[NOMBRE]]</f>
        <v>45166REYES MAURICIO DAVID</v>
      </c>
      <c r="B2807" s="83">
        <f>WEEKNUM(BD_ControlRegimen[[#This Row],[FECHA]],2)</f>
        <v>36</v>
      </c>
      <c r="C2807" s="7">
        <v>45166</v>
      </c>
      <c r="D2807" s="3" t="s">
        <v>68</v>
      </c>
      <c r="E2807" s="3"/>
      <c r="F2807" s="3"/>
    </row>
    <row r="2808" spans="1:6" hidden="1" x14ac:dyDescent="0.3">
      <c r="A2808" s="7" t="str">
        <f>BD_ControlRegimen[[#This Row],[FECHA]]&amp;BD_ControlRegimen[[#This Row],[NOMBRE]]</f>
        <v>45167REYES MAURICIO DAVID</v>
      </c>
      <c r="B2808" s="83">
        <f>WEEKNUM(BD_ControlRegimen[[#This Row],[FECHA]],2)</f>
        <v>36</v>
      </c>
      <c r="C2808" s="7">
        <v>45167</v>
      </c>
      <c r="D2808" s="3" t="s">
        <v>68</v>
      </c>
      <c r="E2808" s="3"/>
      <c r="F2808" s="3"/>
    </row>
    <row r="2809" spans="1:6" hidden="1" x14ac:dyDescent="0.3">
      <c r="A2809" s="7" t="str">
        <f>BD_ControlRegimen[[#This Row],[FECHA]]&amp;BD_ControlRegimen[[#This Row],[NOMBRE]]</f>
        <v>45168REYES MAURICIO DAVID</v>
      </c>
      <c r="B2809" s="83">
        <f>WEEKNUM(BD_ControlRegimen[[#This Row],[FECHA]],2)</f>
        <v>36</v>
      </c>
      <c r="C2809" s="7">
        <v>45168</v>
      </c>
      <c r="D2809" s="3" t="s">
        <v>68</v>
      </c>
      <c r="E2809" s="3"/>
      <c r="F2809" s="3"/>
    </row>
    <row r="2810" spans="1:6" hidden="1" x14ac:dyDescent="0.3">
      <c r="A2810" s="7" t="str">
        <f>BD_ControlRegimen[[#This Row],[FECHA]]&amp;BD_ControlRegimen[[#This Row],[NOMBRE]]</f>
        <v>45169REYES MAURICIO DAVID</v>
      </c>
      <c r="B2810" s="83">
        <f>WEEKNUM(BD_ControlRegimen[[#This Row],[FECHA]],2)</f>
        <v>36</v>
      </c>
      <c r="C2810" s="7">
        <v>45169</v>
      </c>
      <c r="D2810" s="3" t="s">
        <v>68</v>
      </c>
      <c r="E2810" s="3"/>
      <c r="F2810" s="3"/>
    </row>
    <row r="2811" spans="1:6" hidden="1" x14ac:dyDescent="0.3">
      <c r="A2811" s="7" t="str">
        <f>BD_ControlRegimen[[#This Row],[FECHA]]&amp;BD_ControlRegimen[[#This Row],[NOMBRE]]</f>
        <v>45170REYES MAURICIO DAVID</v>
      </c>
      <c r="B2811" s="83">
        <f>WEEKNUM(BD_ControlRegimen[[#This Row],[FECHA]],2)</f>
        <v>36</v>
      </c>
      <c r="C2811" s="7">
        <v>45170</v>
      </c>
      <c r="D2811" s="3" t="s">
        <v>68</v>
      </c>
      <c r="E2811" s="3"/>
      <c r="F2811" s="3"/>
    </row>
    <row r="2812" spans="1:6" hidden="1" x14ac:dyDescent="0.3">
      <c r="A2812" s="7" t="str">
        <f>BD_ControlRegimen[[#This Row],[FECHA]]&amp;BD_ControlRegimen[[#This Row],[NOMBRE]]</f>
        <v>45171REYES MAURICIO DAVID</v>
      </c>
      <c r="B2812" s="83">
        <f>WEEKNUM(BD_ControlRegimen[[#This Row],[FECHA]],2)</f>
        <v>36</v>
      </c>
      <c r="C2812" s="7">
        <v>45171</v>
      </c>
      <c r="D2812" s="3" t="s">
        <v>68</v>
      </c>
      <c r="E2812" s="3"/>
      <c r="F2812" s="3"/>
    </row>
    <row r="2813" spans="1:6" hidden="1" x14ac:dyDescent="0.3">
      <c r="A2813" s="7" t="str">
        <f>BD_ControlRegimen[[#This Row],[FECHA]]&amp;BD_ControlRegimen[[#This Row],[NOMBRE]]</f>
        <v>45172REYES MAURICIO DAVID</v>
      </c>
      <c r="B2813" s="83">
        <f>WEEKNUM(BD_ControlRegimen[[#This Row],[FECHA]],2)</f>
        <v>36</v>
      </c>
      <c r="C2813" s="7">
        <v>45172</v>
      </c>
      <c r="D2813" s="3" t="s">
        <v>68</v>
      </c>
      <c r="E2813" s="3"/>
      <c r="F2813" s="3"/>
    </row>
    <row r="2814" spans="1:6" hidden="1" x14ac:dyDescent="0.3">
      <c r="A2814" s="7" t="str">
        <f>BD_ControlRegimen[[#This Row],[FECHA]]&amp;BD_ControlRegimen[[#This Row],[NOMBRE]]</f>
        <v>45173REYES MAURICIO DAVID</v>
      </c>
      <c r="B2814" s="83">
        <f>WEEKNUM(BD_ControlRegimen[[#This Row],[FECHA]],2)</f>
        <v>37</v>
      </c>
      <c r="C2814" s="7">
        <v>45173</v>
      </c>
      <c r="D2814" s="3" t="s">
        <v>68</v>
      </c>
      <c r="E2814" s="3"/>
      <c r="F2814" s="3"/>
    </row>
    <row r="2815" spans="1:6" hidden="1" x14ac:dyDescent="0.3">
      <c r="A2815" s="7" t="str">
        <f>BD_ControlRegimen[[#This Row],[FECHA]]&amp;BD_ControlRegimen[[#This Row],[NOMBRE]]</f>
        <v>45174REYES MAURICIO DAVID</v>
      </c>
      <c r="B2815" s="83">
        <f>WEEKNUM(BD_ControlRegimen[[#This Row],[FECHA]],2)</f>
        <v>37</v>
      </c>
      <c r="C2815" s="7">
        <v>45174</v>
      </c>
      <c r="D2815" s="3" t="s">
        <v>68</v>
      </c>
      <c r="E2815" s="3"/>
      <c r="F2815" s="3"/>
    </row>
    <row r="2816" spans="1:6" hidden="1" x14ac:dyDescent="0.3">
      <c r="A2816" s="7" t="str">
        <f>BD_ControlRegimen[[#This Row],[FECHA]]&amp;BD_ControlRegimen[[#This Row],[NOMBRE]]</f>
        <v>45175REYES MAURICIO DAVID</v>
      </c>
      <c r="B2816" s="83">
        <f>WEEKNUM(BD_ControlRegimen[[#This Row],[FECHA]],2)</f>
        <v>37</v>
      </c>
      <c r="C2816" s="7">
        <v>45175</v>
      </c>
      <c r="D2816" s="3" t="s">
        <v>68</v>
      </c>
      <c r="E2816" s="3"/>
      <c r="F2816" s="3"/>
    </row>
    <row r="2817" spans="1:6" hidden="1" x14ac:dyDescent="0.3">
      <c r="A2817" s="7" t="str">
        <f>BD_ControlRegimen[[#This Row],[FECHA]]&amp;BD_ControlRegimen[[#This Row],[NOMBRE]]</f>
        <v>45176REYES MAURICIO DAVID</v>
      </c>
      <c r="B2817" s="83">
        <f>WEEKNUM(BD_ControlRegimen[[#This Row],[FECHA]],2)</f>
        <v>37</v>
      </c>
      <c r="C2817" s="7">
        <v>45176</v>
      </c>
      <c r="D2817" s="3" t="s">
        <v>68</v>
      </c>
      <c r="E2817" s="3"/>
      <c r="F2817" s="3"/>
    </row>
    <row r="2818" spans="1:6" hidden="1" x14ac:dyDescent="0.3">
      <c r="A2818" s="7" t="str">
        <f>BD_ControlRegimen[[#This Row],[FECHA]]&amp;BD_ControlRegimen[[#This Row],[NOMBRE]]</f>
        <v>45177REYES MAURICIO DAVID</v>
      </c>
      <c r="B2818" s="83">
        <f>WEEKNUM(BD_ControlRegimen[[#This Row],[FECHA]],2)</f>
        <v>37</v>
      </c>
      <c r="C2818" s="7">
        <v>45177</v>
      </c>
      <c r="D2818" s="3" t="s">
        <v>68</v>
      </c>
      <c r="E2818" s="3"/>
      <c r="F2818" s="3"/>
    </row>
    <row r="2819" spans="1:6" hidden="1" x14ac:dyDescent="0.3">
      <c r="A2819" s="7" t="str">
        <f>BD_ControlRegimen[[#This Row],[FECHA]]&amp;BD_ControlRegimen[[#This Row],[NOMBRE]]</f>
        <v>45178REYES MAURICIO DAVID</v>
      </c>
      <c r="B2819" s="83">
        <f>WEEKNUM(BD_ControlRegimen[[#This Row],[FECHA]],2)</f>
        <v>37</v>
      </c>
      <c r="C2819" s="7">
        <v>45178</v>
      </c>
      <c r="D2819" s="3" t="s">
        <v>68</v>
      </c>
      <c r="E2819" s="3"/>
      <c r="F2819" s="3"/>
    </row>
    <row r="2820" spans="1:6" hidden="1" x14ac:dyDescent="0.3">
      <c r="A2820" s="7" t="str">
        <f>BD_ControlRegimen[[#This Row],[FECHA]]&amp;BD_ControlRegimen[[#This Row],[NOMBRE]]</f>
        <v>45179REYES MAURICIO DAVID</v>
      </c>
      <c r="B2820" s="83">
        <f>WEEKNUM(BD_ControlRegimen[[#This Row],[FECHA]],2)</f>
        <v>37</v>
      </c>
      <c r="C2820" s="7">
        <v>45179</v>
      </c>
      <c r="D2820" s="3" t="s">
        <v>68</v>
      </c>
      <c r="E2820" s="3"/>
      <c r="F2820" s="3"/>
    </row>
    <row r="2821" spans="1:6" hidden="1" x14ac:dyDescent="0.3">
      <c r="A2821" s="7" t="str">
        <f>BD_ControlRegimen[[#This Row],[FECHA]]&amp;BD_ControlRegimen[[#This Row],[NOMBRE]]</f>
        <v>45180REYES MAURICIO DAVID</v>
      </c>
      <c r="B2821" s="83">
        <f>WEEKNUM(BD_ControlRegimen[[#This Row],[FECHA]],2)</f>
        <v>38</v>
      </c>
      <c r="C2821" s="7">
        <v>45180</v>
      </c>
      <c r="D2821" s="3" t="s">
        <v>68</v>
      </c>
      <c r="E2821" s="3"/>
      <c r="F2821" s="3"/>
    </row>
    <row r="2822" spans="1:6" hidden="1" x14ac:dyDescent="0.3">
      <c r="A2822" s="7" t="str">
        <f>BD_ControlRegimen[[#This Row],[FECHA]]&amp;BD_ControlRegimen[[#This Row],[NOMBRE]]</f>
        <v>45181REYES MAURICIO DAVID</v>
      </c>
      <c r="B2822" s="83">
        <f>WEEKNUM(BD_ControlRegimen[[#This Row],[FECHA]],2)</f>
        <v>38</v>
      </c>
      <c r="C2822" s="7">
        <v>45181</v>
      </c>
      <c r="D2822" s="3" t="s">
        <v>68</v>
      </c>
      <c r="E2822" s="3"/>
      <c r="F2822" s="3"/>
    </row>
    <row r="2823" spans="1:6" hidden="1" x14ac:dyDescent="0.3">
      <c r="A2823" s="7" t="str">
        <f>BD_ControlRegimen[[#This Row],[FECHA]]&amp;BD_ControlRegimen[[#This Row],[NOMBRE]]</f>
        <v>45182REYES MAURICIO DAVID</v>
      </c>
      <c r="B2823" s="83">
        <f>WEEKNUM(BD_ControlRegimen[[#This Row],[FECHA]],2)</f>
        <v>38</v>
      </c>
      <c r="C2823" s="7">
        <v>45182</v>
      </c>
      <c r="D2823" s="3" t="s">
        <v>68</v>
      </c>
      <c r="E2823" s="3"/>
      <c r="F2823" s="3"/>
    </row>
    <row r="2824" spans="1:6" hidden="1" x14ac:dyDescent="0.3">
      <c r="A2824" s="7" t="str">
        <f>BD_ControlRegimen[[#This Row],[FECHA]]&amp;BD_ControlRegimen[[#This Row],[NOMBRE]]</f>
        <v>45183REYES MAURICIO DAVID</v>
      </c>
      <c r="B2824" s="83">
        <f>WEEKNUM(BD_ControlRegimen[[#This Row],[FECHA]],2)</f>
        <v>38</v>
      </c>
      <c r="C2824" s="7">
        <v>45183</v>
      </c>
      <c r="D2824" s="3" t="s">
        <v>68</v>
      </c>
      <c r="E2824" s="3"/>
      <c r="F2824" s="3"/>
    </row>
    <row r="2825" spans="1:6" hidden="1" x14ac:dyDescent="0.3">
      <c r="A2825" s="7" t="str">
        <f>BD_ControlRegimen[[#This Row],[FECHA]]&amp;BD_ControlRegimen[[#This Row],[NOMBRE]]</f>
        <v>45184REYES MAURICIO DAVID</v>
      </c>
      <c r="B2825" s="83">
        <f>WEEKNUM(BD_ControlRegimen[[#This Row],[FECHA]],2)</f>
        <v>38</v>
      </c>
      <c r="C2825" s="7">
        <v>45184</v>
      </c>
      <c r="D2825" s="3" t="s">
        <v>68</v>
      </c>
      <c r="E2825" s="3"/>
      <c r="F2825" s="3"/>
    </row>
    <row r="2826" spans="1:6" hidden="1" x14ac:dyDescent="0.3">
      <c r="A2826" s="7" t="str">
        <f>BD_ControlRegimen[[#This Row],[FECHA]]&amp;BD_ControlRegimen[[#This Row],[NOMBRE]]</f>
        <v>45185REYES MAURICIO DAVID</v>
      </c>
      <c r="B2826" s="83">
        <f>WEEKNUM(BD_ControlRegimen[[#This Row],[FECHA]],2)</f>
        <v>38</v>
      </c>
      <c r="C2826" s="7">
        <v>45185</v>
      </c>
      <c r="D2826" s="3" t="s">
        <v>68</v>
      </c>
      <c r="E2826" s="3"/>
      <c r="F2826" s="3"/>
    </row>
    <row r="2827" spans="1:6" hidden="1" x14ac:dyDescent="0.3">
      <c r="A2827" s="7" t="str">
        <f>BD_ControlRegimen[[#This Row],[FECHA]]&amp;BD_ControlRegimen[[#This Row],[NOMBRE]]</f>
        <v>45186REYES MAURICIO DAVID</v>
      </c>
      <c r="B2827" s="83">
        <f>WEEKNUM(BD_ControlRegimen[[#This Row],[FECHA]],2)</f>
        <v>38</v>
      </c>
      <c r="C2827" s="7">
        <v>45186</v>
      </c>
      <c r="D2827" s="3" t="s">
        <v>68</v>
      </c>
      <c r="E2827" s="3"/>
      <c r="F2827" s="3"/>
    </row>
    <row r="2828" spans="1:6" hidden="1" x14ac:dyDescent="0.3">
      <c r="A2828" s="7" t="str">
        <f>BD_ControlRegimen[[#This Row],[FECHA]]&amp;BD_ControlRegimen[[#This Row],[NOMBRE]]</f>
        <v>45187REYES MAURICIO DAVID</v>
      </c>
      <c r="B2828" s="83">
        <f>WEEKNUM(BD_ControlRegimen[[#This Row],[FECHA]],2)</f>
        <v>39</v>
      </c>
      <c r="C2828" s="7">
        <v>45187</v>
      </c>
      <c r="D2828" s="3" t="s">
        <v>68</v>
      </c>
      <c r="E2828" s="3"/>
      <c r="F2828" s="3"/>
    </row>
    <row r="2829" spans="1:6" hidden="1" x14ac:dyDescent="0.3">
      <c r="A2829" s="7" t="str">
        <f>BD_ControlRegimen[[#This Row],[FECHA]]&amp;BD_ControlRegimen[[#This Row],[NOMBRE]]</f>
        <v>45188REYES MAURICIO DAVID</v>
      </c>
      <c r="B2829" s="83">
        <f>WEEKNUM(BD_ControlRegimen[[#This Row],[FECHA]],2)</f>
        <v>39</v>
      </c>
      <c r="C2829" s="7">
        <v>45188</v>
      </c>
      <c r="D2829" s="3" t="s">
        <v>68</v>
      </c>
      <c r="E2829" s="3"/>
      <c r="F2829" s="3"/>
    </row>
    <row r="2830" spans="1:6" hidden="1" x14ac:dyDescent="0.3">
      <c r="A2830" s="7" t="str">
        <f>BD_ControlRegimen[[#This Row],[FECHA]]&amp;BD_ControlRegimen[[#This Row],[NOMBRE]]</f>
        <v>45189REYES MAURICIO DAVID</v>
      </c>
      <c r="B2830" s="83">
        <f>WEEKNUM(BD_ControlRegimen[[#This Row],[FECHA]],2)</f>
        <v>39</v>
      </c>
      <c r="C2830" s="7">
        <v>45189</v>
      </c>
      <c r="D2830" s="3" t="s">
        <v>68</v>
      </c>
      <c r="E2830" s="3"/>
      <c r="F2830" s="3"/>
    </row>
    <row r="2831" spans="1:6" hidden="1" x14ac:dyDescent="0.3">
      <c r="A2831" s="7" t="str">
        <f>BD_ControlRegimen[[#This Row],[FECHA]]&amp;BD_ControlRegimen[[#This Row],[NOMBRE]]</f>
        <v>45190REYES MAURICIO DAVID</v>
      </c>
      <c r="B2831" s="83">
        <f>WEEKNUM(BD_ControlRegimen[[#This Row],[FECHA]],2)</f>
        <v>39</v>
      </c>
      <c r="C2831" s="7">
        <v>45190</v>
      </c>
      <c r="D2831" s="3" t="s">
        <v>68</v>
      </c>
      <c r="E2831" s="3"/>
      <c r="F2831" s="3"/>
    </row>
    <row r="2832" spans="1:6" hidden="1" x14ac:dyDescent="0.3">
      <c r="A2832" s="7" t="str">
        <f>BD_ControlRegimen[[#This Row],[FECHA]]&amp;BD_ControlRegimen[[#This Row],[NOMBRE]]</f>
        <v>45191REYES MAURICIO DAVID</v>
      </c>
      <c r="B2832" s="83">
        <f>WEEKNUM(BD_ControlRegimen[[#This Row],[FECHA]],2)</f>
        <v>39</v>
      </c>
      <c r="C2832" s="7">
        <v>45191</v>
      </c>
      <c r="D2832" s="3" t="s">
        <v>68</v>
      </c>
      <c r="E2832" s="3"/>
      <c r="F2832" s="3"/>
    </row>
    <row r="2833" spans="1:6" hidden="1" x14ac:dyDescent="0.3">
      <c r="A2833" s="7" t="str">
        <f>BD_ControlRegimen[[#This Row],[FECHA]]&amp;BD_ControlRegimen[[#This Row],[NOMBRE]]</f>
        <v>45192REYES MAURICIO DAVID</v>
      </c>
      <c r="B2833" s="83">
        <f>WEEKNUM(BD_ControlRegimen[[#This Row],[FECHA]],2)</f>
        <v>39</v>
      </c>
      <c r="C2833" s="7">
        <v>45192</v>
      </c>
      <c r="D2833" s="3" t="s">
        <v>68</v>
      </c>
      <c r="E2833" s="3"/>
      <c r="F2833" s="3"/>
    </row>
    <row r="2834" spans="1:6" hidden="1" x14ac:dyDescent="0.3">
      <c r="A2834" s="7" t="str">
        <f>BD_ControlRegimen[[#This Row],[FECHA]]&amp;BD_ControlRegimen[[#This Row],[NOMBRE]]</f>
        <v>45193REYES MAURICIO DAVID</v>
      </c>
      <c r="B2834" s="83">
        <f>WEEKNUM(BD_ControlRegimen[[#This Row],[FECHA]],2)</f>
        <v>39</v>
      </c>
      <c r="C2834" s="7">
        <v>45193</v>
      </c>
      <c r="D2834" s="3" t="s">
        <v>68</v>
      </c>
      <c r="E2834" s="3"/>
      <c r="F2834" s="3"/>
    </row>
    <row r="2835" spans="1:6" hidden="1" x14ac:dyDescent="0.3">
      <c r="A2835" s="7" t="str">
        <f>BD_ControlRegimen[[#This Row],[FECHA]]&amp;BD_ControlRegimen[[#This Row],[NOMBRE]]</f>
        <v>45194REYES MAURICIO DAVID</v>
      </c>
      <c r="B2835" s="83">
        <f>WEEKNUM(BD_ControlRegimen[[#This Row],[FECHA]],2)</f>
        <v>40</v>
      </c>
      <c r="C2835" s="7">
        <v>45194</v>
      </c>
      <c r="D2835" s="3" t="s">
        <v>68</v>
      </c>
      <c r="E2835" s="3"/>
      <c r="F2835" s="3"/>
    </row>
    <row r="2836" spans="1:6" hidden="1" x14ac:dyDescent="0.3">
      <c r="A2836" s="7" t="str">
        <f>BD_ControlRegimen[[#This Row],[FECHA]]&amp;BD_ControlRegimen[[#This Row],[NOMBRE]]</f>
        <v>45195REYES MAURICIO DAVID</v>
      </c>
      <c r="B2836" s="83">
        <f>WEEKNUM(BD_ControlRegimen[[#This Row],[FECHA]],2)</f>
        <v>40</v>
      </c>
      <c r="C2836" s="7">
        <v>45195</v>
      </c>
      <c r="D2836" s="3" t="s">
        <v>68</v>
      </c>
      <c r="E2836" s="3"/>
      <c r="F2836" s="3"/>
    </row>
    <row r="2837" spans="1:6" hidden="1" x14ac:dyDescent="0.3">
      <c r="A2837" s="7" t="str">
        <f>BD_ControlRegimen[[#This Row],[FECHA]]&amp;BD_ControlRegimen[[#This Row],[NOMBRE]]</f>
        <v>45196REYES MAURICIO DAVID</v>
      </c>
      <c r="B2837" s="83">
        <f>WEEKNUM(BD_ControlRegimen[[#This Row],[FECHA]],2)</f>
        <v>40</v>
      </c>
      <c r="C2837" s="7">
        <v>45196</v>
      </c>
      <c r="D2837" s="3" t="s">
        <v>68</v>
      </c>
      <c r="E2837" s="3"/>
      <c r="F2837" s="3"/>
    </row>
    <row r="2838" spans="1:6" hidden="1" x14ac:dyDescent="0.3">
      <c r="A2838" s="7" t="str">
        <f>BD_ControlRegimen[[#This Row],[FECHA]]&amp;BD_ControlRegimen[[#This Row],[NOMBRE]]</f>
        <v>45197REYES MAURICIO DAVID</v>
      </c>
      <c r="B2838" s="83">
        <f>WEEKNUM(BD_ControlRegimen[[#This Row],[FECHA]],2)</f>
        <v>40</v>
      </c>
      <c r="C2838" s="7">
        <v>45197</v>
      </c>
      <c r="D2838" s="3" t="s">
        <v>68</v>
      </c>
      <c r="E2838" s="3"/>
      <c r="F2838" s="3"/>
    </row>
    <row r="2839" spans="1:6" hidden="1" x14ac:dyDescent="0.3">
      <c r="A2839" s="7" t="str">
        <f>BD_ControlRegimen[[#This Row],[FECHA]]&amp;BD_ControlRegimen[[#This Row],[NOMBRE]]</f>
        <v>45198REYES MAURICIO DAVID</v>
      </c>
      <c r="B2839" s="83">
        <f>WEEKNUM(BD_ControlRegimen[[#This Row],[FECHA]],2)</f>
        <v>40</v>
      </c>
      <c r="C2839" s="7">
        <v>45198</v>
      </c>
      <c r="D2839" s="3" t="s">
        <v>68</v>
      </c>
      <c r="E2839" s="3"/>
      <c r="F2839" s="3"/>
    </row>
    <row r="2840" spans="1:6" hidden="1" x14ac:dyDescent="0.3">
      <c r="A2840" s="7" t="str">
        <f>BD_ControlRegimen[[#This Row],[FECHA]]&amp;BD_ControlRegimen[[#This Row],[NOMBRE]]</f>
        <v>45199REYES MAURICIO DAVID</v>
      </c>
      <c r="B2840" s="83">
        <f>WEEKNUM(BD_ControlRegimen[[#This Row],[FECHA]],2)</f>
        <v>40</v>
      </c>
      <c r="C2840" s="7">
        <v>45199</v>
      </c>
      <c r="D2840" s="3" t="s">
        <v>68</v>
      </c>
      <c r="E2840" s="3"/>
      <c r="F2840" s="3"/>
    </row>
    <row r="2841" spans="1:6" hidden="1" x14ac:dyDescent="0.3">
      <c r="A2841" s="7" t="str">
        <f>BD_ControlRegimen[[#This Row],[FECHA]]&amp;BD_ControlRegimen[[#This Row],[NOMBRE]]</f>
        <v>45200REYES MAURICIO DAVID</v>
      </c>
      <c r="B2841" s="83">
        <f>WEEKNUM(BD_ControlRegimen[[#This Row],[FECHA]],2)</f>
        <v>40</v>
      </c>
      <c r="C2841" s="7">
        <v>45200</v>
      </c>
      <c r="D2841" s="3" t="s">
        <v>68</v>
      </c>
      <c r="E2841" s="3"/>
      <c r="F2841" s="3"/>
    </row>
    <row r="2842" spans="1:6" hidden="1" x14ac:dyDescent="0.3">
      <c r="A2842" s="7" t="str">
        <f>BD_ControlRegimen[[#This Row],[FECHA]]&amp;BD_ControlRegimen[[#This Row],[NOMBRE]]</f>
        <v>45201REYES MAURICIO DAVID</v>
      </c>
      <c r="B2842" s="83">
        <f>WEEKNUM(BD_ControlRegimen[[#This Row],[FECHA]],2)</f>
        <v>41</v>
      </c>
      <c r="C2842" s="7">
        <v>45201</v>
      </c>
      <c r="D2842" s="3" t="s">
        <v>68</v>
      </c>
      <c r="E2842" s="3"/>
      <c r="F2842" s="3"/>
    </row>
    <row r="2843" spans="1:6" hidden="1" x14ac:dyDescent="0.3">
      <c r="A2843" s="7" t="str">
        <f>BD_ControlRegimen[[#This Row],[FECHA]]&amp;BD_ControlRegimen[[#This Row],[NOMBRE]]</f>
        <v>45202REYES MAURICIO DAVID</v>
      </c>
      <c r="B2843" s="83">
        <f>WEEKNUM(BD_ControlRegimen[[#This Row],[FECHA]],2)</f>
        <v>41</v>
      </c>
      <c r="C2843" s="7">
        <v>45202</v>
      </c>
      <c r="D2843" s="3" t="s">
        <v>68</v>
      </c>
      <c r="E2843" s="3"/>
      <c r="F2843" s="3"/>
    </row>
    <row r="2844" spans="1:6" hidden="1" x14ac:dyDescent="0.3">
      <c r="A2844" s="7" t="str">
        <f>BD_ControlRegimen[[#This Row],[FECHA]]&amp;BD_ControlRegimen[[#This Row],[NOMBRE]]</f>
        <v>45203REYES MAURICIO DAVID</v>
      </c>
      <c r="B2844" s="83">
        <f>WEEKNUM(BD_ControlRegimen[[#This Row],[FECHA]],2)</f>
        <v>41</v>
      </c>
      <c r="C2844" s="7">
        <v>45203</v>
      </c>
      <c r="D2844" s="3" t="s">
        <v>68</v>
      </c>
      <c r="E2844" s="3"/>
      <c r="F2844" s="3"/>
    </row>
    <row r="2845" spans="1:6" hidden="1" x14ac:dyDescent="0.3">
      <c r="A2845" s="7" t="str">
        <f>BD_ControlRegimen[[#This Row],[FECHA]]&amp;BD_ControlRegimen[[#This Row],[NOMBRE]]</f>
        <v>45204REYES MAURICIO DAVID</v>
      </c>
      <c r="B2845" s="83">
        <f>WEEKNUM(BD_ControlRegimen[[#This Row],[FECHA]],2)</f>
        <v>41</v>
      </c>
      <c r="C2845" s="7">
        <v>45204</v>
      </c>
      <c r="D2845" s="3" t="s">
        <v>68</v>
      </c>
      <c r="E2845" s="3"/>
      <c r="F2845" s="3"/>
    </row>
    <row r="2846" spans="1:6" hidden="1" x14ac:dyDescent="0.3">
      <c r="A2846" s="7" t="str">
        <f>BD_ControlRegimen[[#This Row],[FECHA]]&amp;BD_ControlRegimen[[#This Row],[NOMBRE]]</f>
        <v>45205REYES MAURICIO DAVID</v>
      </c>
      <c r="B2846" s="83">
        <f>WEEKNUM(BD_ControlRegimen[[#This Row],[FECHA]],2)</f>
        <v>41</v>
      </c>
      <c r="C2846" s="7">
        <v>45205</v>
      </c>
      <c r="D2846" s="3" t="s">
        <v>68</v>
      </c>
      <c r="E2846" s="3"/>
      <c r="F2846" s="3"/>
    </row>
    <row r="2847" spans="1:6" hidden="1" x14ac:dyDescent="0.3">
      <c r="A2847" s="7" t="str">
        <f>BD_ControlRegimen[[#This Row],[FECHA]]&amp;BD_ControlRegimen[[#This Row],[NOMBRE]]</f>
        <v>45206REYES MAURICIO DAVID</v>
      </c>
      <c r="B2847" s="83">
        <f>WEEKNUM(BD_ControlRegimen[[#This Row],[FECHA]],2)</f>
        <v>41</v>
      </c>
      <c r="C2847" s="7">
        <v>45206</v>
      </c>
      <c r="D2847" s="3" t="s">
        <v>68</v>
      </c>
      <c r="E2847" s="3"/>
      <c r="F2847" s="3"/>
    </row>
    <row r="2848" spans="1:6" hidden="1" x14ac:dyDescent="0.3">
      <c r="A2848" s="7" t="str">
        <f>BD_ControlRegimen[[#This Row],[FECHA]]&amp;BD_ControlRegimen[[#This Row],[NOMBRE]]</f>
        <v>45207REYES MAURICIO DAVID</v>
      </c>
      <c r="B2848" s="83">
        <f>WEEKNUM(BD_ControlRegimen[[#This Row],[FECHA]],2)</f>
        <v>41</v>
      </c>
      <c r="C2848" s="7">
        <v>45207</v>
      </c>
      <c r="D2848" s="3" t="s">
        <v>68</v>
      </c>
      <c r="E2848" s="3"/>
      <c r="F2848" s="3"/>
    </row>
    <row r="2849" spans="1:6" hidden="1" x14ac:dyDescent="0.3">
      <c r="A2849" s="7" t="str">
        <f>BD_ControlRegimen[[#This Row],[FECHA]]&amp;BD_ControlRegimen[[#This Row],[NOMBRE]]</f>
        <v>45208REYES MAURICIO DAVID</v>
      </c>
      <c r="B2849" s="83">
        <f>WEEKNUM(BD_ControlRegimen[[#This Row],[FECHA]],2)</f>
        <v>42</v>
      </c>
      <c r="C2849" s="7">
        <v>45208</v>
      </c>
      <c r="D2849" s="3" t="s">
        <v>68</v>
      </c>
      <c r="E2849" s="3"/>
      <c r="F2849" s="3"/>
    </row>
    <row r="2850" spans="1:6" hidden="1" x14ac:dyDescent="0.3">
      <c r="A2850" s="7" t="str">
        <f>BD_ControlRegimen[[#This Row],[FECHA]]&amp;BD_ControlRegimen[[#This Row],[NOMBRE]]</f>
        <v>45209REYES MAURICIO DAVID</v>
      </c>
      <c r="B2850" s="83">
        <f>WEEKNUM(BD_ControlRegimen[[#This Row],[FECHA]],2)</f>
        <v>42</v>
      </c>
      <c r="C2850" s="7">
        <v>45209</v>
      </c>
      <c r="D2850" s="3" t="s">
        <v>68</v>
      </c>
      <c r="E2850" s="3"/>
      <c r="F2850" s="3"/>
    </row>
    <row r="2851" spans="1:6" hidden="1" x14ac:dyDescent="0.3">
      <c r="A2851" s="7" t="str">
        <f>BD_ControlRegimen[[#This Row],[FECHA]]&amp;BD_ControlRegimen[[#This Row],[NOMBRE]]</f>
        <v>45210REYES MAURICIO DAVID</v>
      </c>
      <c r="B2851" s="83">
        <f>WEEKNUM(BD_ControlRegimen[[#This Row],[FECHA]],2)</f>
        <v>42</v>
      </c>
      <c r="C2851" s="7">
        <v>45210</v>
      </c>
      <c r="D2851" s="3" t="s">
        <v>68</v>
      </c>
      <c r="E2851" s="3"/>
      <c r="F2851" s="3"/>
    </row>
    <row r="2852" spans="1:6" hidden="1" x14ac:dyDescent="0.3">
      <c r="A2852" s="7" t="str">
        <f>BD_ControlRegimen[[#This Row],[FECHA]]&amp;BD_ControlRegimen[[#This Row],[NOMBRE]]</f>
        <v>45211REYES MAURICIO DAVID</v>
      </c>
      <c r="B2852" s="83">
        <f>WEEKNUM(BD_ControlRegimen[[#This Row],[FECHA]],2)</f>
        <v>42</v>
      </c>
      <c r="C2852" s="7">
        <v>45211</v>
      </c>
      <c r="D2852" s="3" t="s">
        <v>68</v>
      </c>
      <c r="E2852" s="3"/>
      <c r="F2852" s="3"/>
    </row>
    <row r="2853" spans="1:6" hidden="1" x14ac:dyDescent="0.3">
      <c r="A2853" s="7" t="str">
        <f>BD_ControlRegimen[[#This Row],[FECHA]]&amp;BD_ControlRegimen[[#This Row],[NOMBRE]]</f>
        <v>45212REYES MAURICIO DAVID</v>
      </c>
      <c r="B2853" s="83">
        <f>WEEKNUM(BD_ControlRegimen[[#This Row],[FECHA]],2)</f>
        <v>42</v>
      </c>
      <c r="C2853" s="7">
        <v>45212</v>
      </c>
      <c r="D2853" s="3" t="s">
        <v>68</v>
      </c>
      <c r="E2853" s="3"/>
      <c r="F2853" s="3"/>
    </row>
    <row r="2854" spans="1:6" hidden="1" x14ac:dyDescent="0.3">
      <c r="A2854" s="7" t="str">
        <f>BD_ControlRegimen[[#This Row],[FECHA]]&amp;BD_ControlRegimen[[#This Row],[NOMBRE]]</f>
        <v>45213REYES MAURICIO DAVID</v>
      </c>
      <c r="B2854" s="83">
        <f>WEEKNUM(BD_ControlRegimen[[#This Row],[FECHA]],2)</f>
        <v>42</v>
      </c>
      <c r="C2854" s="7">
        <v>45213</v>
      </c>
      <c r="D2854" s="3" t="s">
        <v>68</v>
      </c>
      <c r="E2854" s="3"/>
      <c r="F2854" s="3"/>
    </row>
    <row r="2855" spans="1:6" hidden="1" x14ac:dyDescent="0.3">
      <c r="A2855" s="7" t="str">
        <f>BD_ControlRegimen[[#This Row],[FECHA]]&amp;BD_ControlRegimen[[#This Row],[NOMBRE]]</f>
        <v>45214REYES MAURICIO DAVID</v>
      </c>
      <c r="B2855" s="83">
        <f>WEEKNUM(BD_ControlRegimen[[#This Row],[FECHA]],2)</f>
        <v>42</v>
      </c>
      <c r="C2855" s="7">
        <v>45214</v>
      </c>
      <c r="D2855" s="3" t="s">
        <v>68</v>
      </c>
      <c r="E2855" s="3"/>
      <c r="F2855" s="3"/>
    </row>
    <row r="2856" spans="1:6" hidden="1" x14ac:dyDescent="0.3">
      <c r="A2856" s="7" t="str">
        <f>BD_ControlRegimen[[#This Row],[FECHA]]&amp;BD_ControlRegimen[[#This Row],[NOMBRE]]</f>
        <v>45215REYES MAURICIO DAVID</v>
      </c>
      <c r="B2856" s="83">
        <f>WEEKNUM(BD_ControlRegimen[[#This Row],[FECHA]],2)</f>
        <v>43</v>
      </c>
      <c r="C2856" s="7">
        <v>45215</v>
      </c>
      <c r="D2856" s="3" t="s">
        <v>68</v>
      </c>
      <c r="E2856" s="3"/>
      <c r="F2856" s="3"/>
    </row>
    <row r="2857" spans="1:6" hidden="1" x14ac:dyDescent="0.3">
      <c r="A2857" s="7" t="str">
        <f>BD_ControlRegimen[[#This Row],[FECHA]]&amp;BD_ControlRegimen[[#This Row],[NOMBRE]]</f>
        <v>45216REYES MAURICIO DAVID</v>
      </c>
      <c r="B2857" s="83">
        <f>WEEKNUM(BD_ControlRegimen[[#This Row],[FECHA]],2)</f>
        <v>43</v>
      </c>
      <c r="C2857" s="7">
        <v>45216</v>
      </c>
      <c r="D2857" s="3" t="s">
        <v>68</v>
      </c>
      <c r="E2857" s="3"/>
      <c r="F2857" s="3"/>
    </row>
    <row r="2858" spans="1:6" hidden="1" x14ac:dyDescent="0.3">
      <c r="A2858" s="7" t="str">
        <f>BD_ControlRegimen[[#This Row],[FECHA]]&amp;BD_ControlRegimen[[#This Row],[NOMBRE]]</f>
        <v>45217REYES MAURICIO DAVID</v>
      </c>
      <c r="B2858" s="83">
        <f>WEEKNUM(BD_ControlRegimen[[#This Row],[FECHA]],2)</f>
        <v>43</v>
      </c>
      <c r="C2858" s="7">
        <v>45217</v>
      </c>
      <c r="D2858" s="3" t="s">
        <v>68</v>
      </c>
      <c r="E2858" s="3"/>
      <c r="F2858" s="3"/>
    </row>
    <row r="2859" spans="1:6" hidden="1" x14ac:dyDescent="0.3">
      <c r="A2859" s="7" t="str">
        <f>BD_ControlRegimen[[#This Row],[FECHA]]&amp;BD_ControlRegimen[[#This Row],[NOMBRE]]</f>
        <v>45218REYES MAURICIO DAVID</v>
      </c>
      <c r="B2859" s="83">
        <f>WEEKNUM(BD_ControlRegimen[[#This Row],[FECHA]],2)</f>
        <v>43</v>
      </c>
      <c r="C2859" s="7">
        <v>45218</v>
      </c>
      <c r="D2859" s="3" t="s">
        <v>68</v>
      </c>
      <c r="E2859" s="3"/>
      <c r="F2859" s="3"/>
    </row>
    <row r="2860" spans="1:6" hidden="1" x14ac:dyDescent="0.3">
      <c r="A2860" s="7" t="str">
        <f>BD_ControlRegimen[[#This Row],[FECHA]]&amp;BD_ControlRegimen[[#This Row],[NOMBRE]]</f>
        <v>45219REYES MAURICIO DAVID</v>
      </c>
      <c r="B2860" s="83">
        <f>WEEKNUM(BD_ControlRegimen[[#This Row],[FECHA]],2)</f>
        <v>43</v>
      </c>
      <c r="C2860" s="7">
        <v>45219</v>
      </c>
      <c r="D2860" s="3" t="s">
        <v>68</v>
      </c>
      <c r="E2860" s="3"/>
      <c r="F2860" s="3"/>
    </row>
    <row r="2861" spans="1:6" hidden="1" x14ac:dyDescent="0.3">
      <c r="A2861" s="7" t="str">
        <f>BD_ControlRegimen[[#This Row],[FECHA]]&amp;BD_ControlRegimen[[#This Row],[NOMBRE]]</f>
        <v>45220REYES MAURICIO DAVID</v>
      </c>
      <c r="B2861" s="83">
        <f>WEEKNUM(BD_ControlRegimen[[#This Row],[FECHA]],2)</f>
        <v>43</v>
      </c>
      <c r="C2861" s="7">
        <v>45220</v>
      </c>
      <c r="D2861" s="3" t="s">
        <v>68</v>
      </c>
      <c r="E2861" s="3"/>
      <c r="F2861" s="3"/>
    </row>
    <row r="2862" spans="1:6" hidden="1" x14ac:dyDescent="0.3">
      <c r="A2862" s="7" t="str">
        <f>BD_ControlRegimen[[#This Row],[FECHA]]&amp;BD_ControlRegimen[[#This Row],[NOMBRE]]</f>
        <v>45221REYES MAURICIO DAVID</v>
      </c>
      <c r="B2862" s="83">
        <f>WEEKNUM(BD_ControlRegimen[[#This Row],[FECHA]],2)</f>
        <v>43</v>
      </c>
      <c r="C2862" s="7">
        <v>45221</v>
      </c>
      <c r="D2862" s="3" t="s">
        <v>68</v>
      </c>
      <c r="E2862" s="3"/>
      <c r="F2862" s="3"/>
    </row>
    <row r="2863" spans="1:6" hidden="1" x14ac:dyDescent="0.3">
      <c r="A2863" s="7" t="str">
        <f>BD_ControlRegimen[[#This Row],[FECHA]]&amp;BD_ControlRegimen[[#This Row],[NOMBRE]]</f>
        <v>45222REYES MAURICIO DAVID</v>
      </c>
      <c r="B2863" s="83">
        <f>WEEKNUM(BD_ControlRegimen[[#This Row],[FECHA]],2)</f>
        <v>44</v>
      </c>
      <c r="C2863" s="7">
        <v>45222</v>
      </c>
      <c r="D2863" s="3" t="s">
        <v>68</v>
      </c>
      <c r="E2863" s="3"/>
      <c r="F2863" s="3"/>
    </row>
    <row r="2864" spans="1:6" hidden="1" x14ac:dyDescent="0.3">
      <c r="A2864" s="7" t="str">
        <f>BD_ControlRegimen[[#This Row],[FECHA]]&amp;BD_ControlRegimen[[#This Row],[NOMBRE]]</f>
        <v>45223REYES MAURICIO DAVID</v>
      </c>
      <c r="B2864" s="83">
        <f>WEEKNUM(BD_ControlRegimen[[#This Row],[FECHA]],2)</f>
        <v>44</v>
      </c>
      <c r="C2864" s="7">
        <v>45223</v>
      </c>
      <c r="D2864" s="3" t="s">
        <v>68</v>
      </c>
      <c r="E2864" s="3"/>
      <c r="F2864" s="3"/>
    </row>
    <row r="2865" spans="1:6" hidden="1" x14ac:dyDescent="0.3">
      <c r="A2865" s="7" t="str">
        <f>BD_ControlRegimen[[#This Row],[FECHA]]&amp;BD_ControlRegimen[[#This Row],[NOMBRE]]</f>
        <v>45224REYES MAURICIO DAVID</v>
      </c>
      <c r="B2865" s="83">
        <f>WEEKNUM(BD_ControlRegimen[[#This Row],[FECHA]],2)</f>
        <v>44</v>
      </c>
      <c r="C2865" s="7">
        <v>45224</v>
      </c>
      <c r="D2865" s="3" t="s">
        <v>68</v>
      </c>
      <c r="E2865" s="3"/>
      <c r="F2865" s="3"/>
    </row>
    <row r="2866" spans="1:6" hidden="1" x14ac:dyDescent="0.3">
      <c r="A2866" s="7" t="str">
        <f>BD_ControlRegimen[[#This Row],[FECHA]]&amp;BD_ControlRegimen[[#This Row],[NOMBRE]]</f>
        <v>45225REYES MAURICIO DAVID</v>
      </c>
      <c r="B2866" s="83">
        <f>WEEKNUM(BD_ControlRegimen[[#This Row],[FECHA]],2)</f>
        <v>44</v>
      </c>
      <c r="C2866" s="7">
        <v>45225</v>
      </c>
      <c r="D2866" s="3" t="s">
        <v>68</v>
      </c>
      <c r="E2866" s="3"/>
      <c r="F2866" s="3"/>
    </row>
    <row r="2867" spans="1:6" hidden="1" x14ac:dyDescent="0.3">
      <c r="A2867" s="7" t="str">
        <f>BD_ControlRegimen[[#This Row],[FECHA]]&amp;BD_ControlRegimen[[#This Row],[NOMBRE]]</f>
        <v>45226REYES MAURICIO DAVID</v>
      </c>
      <c r="B2867" s="83">
        <f>WEEKNUM(BD_ControlRegimen[[#This Row],[FECHA]],2)</f>
        <v>44</v>
      </c>
      <c r="C2867" s="7">
        <v>45226</v>
      </c>
      <c r="D2867" s="3" t="s">
        <v>68</v>
      </c>
      <c r="E2867" s="3"/>
      <c r="F2867" s="3"/>
    </row>
    <row r="2868" spans="1:6" hidden="1" x14ac:dyDescent="0.3">
      <c r="A2868" s="7" t="str">
        <f>BD_ControlRegimen[[#This Row],[FECHA]]&amp;BD_ControlRegimen[[#This Row],[NOMBRE]]</f>
        <v>45227REYES MAURICIO DAVID</v>
      </c>
      <c r="B2868" s="83">
        <f>WEEKNUM(BD_ControlRegimen[[#This Row],[FECHA]],2)</f>
        <v>44</v>
      </c>
      <c r="C2868" s="7">
        <v>45227</v>
      </c>
      <c r="D2868" s="3" t="s">
        <v>68</v>
      </c>
      <c r="E2868" s="3"/>
      <c r="F2868" s="3"/>
    </row>
    <row r="2869" spans="1:6" hidden="1" x14ac:dyDescent="0.3">
      <c r="A2869" s="7" t="str">
        <f>BD_ControlRegimen[[#This Row],[FECHA]]&amp;BD_ControlRegimen[[#This Row],[NOMBRE]]</f>
        <v>45228REYES MAURICIO DAVID</v>
      </c>
      <c r="B2869" s="83">
        <f>WEEKNUM(BD_ControlRegimen[[#This Row],[FECHA]],2)</f>
        <v>44</v>
      </c>
      <c r="C2869" s="7">
        <v>45228</v>
      </c>
      <c r="D2869" s="3" t="s">
        <v>68</v>
      </c>
      <c r="E2869" s="3"/>
      <c r="F2869" s="3"/>
    </row>
    <row r="2870" spans="1:6" hidden="1" x14ac:dyDescent="0.3">
      <c r="A2870" s="7" t="str">
        <f>BD_ControlRegimen[[#This Row],[FECHA]]&amp;BD_ControlRegimen[[#This Row],[NOMBRE]]</f>
        <v>45229REYES MAURICIO DAVID</v>
      </c>
      <c r="B2870" s="83">
        <f>WEEKNUM(BD_ControlRegimen[[#This Row],[FECHA]],2)</f>
        <v>45</v>
      </c>
      <c r="C2870" s="7">
        <v>45229</v>
      </c>
      <c r="D2870" s="3" t="s">
        <v>68</v>
      </c>
      <c r="E2870" s="3"/>
      <c r="F2870" s="3"/>
    </row>
    <row r="2871" spans="1:6" hidden="1" x14ac:dyDescent="0.3">
      <c r="A2871" s="7" t="str">
        <f>BD_ControlRegimen[[#This Row],[FECHA]]&amp;BD_ControlRegimen[[#This Row],[NOMBRE]]</f>
        <v>45230REYES MAURICIO DAVID</v>
      </c>
      <c r="B2871" s="83">
        <f>WEEKNUM(BD_ControlRegimen[[#This Row],[FECHA]],2)</f>
        <v>45</v>
      </c>
      <c r="C2871" s="7">
        <v>45230</v>
      </c>
      <c r="D2871" s="3" t="s">
        <v>68</v>
      </c>
      <c r="E2871" s="3"/>
      <c r="F2871" s="3"/>
    </row>
    <row r="2872" spans="1:6" hidden="1" x14ac:dyDescent="0.3">
      <c r="A2872" s="14" t="str">
        <f>BD_ControlRegimen[[#This Row],[FECHA]]&amp;BD_ControlRegimen[[#This Row],[NOMBRE]]</f>
        <v>45231REYES MAURICIO DAVID</v>
      </c>
      <c r="B2872" s="105">
        <f>WEEKNUM(BD_ControlRegimen[[#This Row],[FECHA]],2)</f>
        <v>45</v>
      </c>
      <c r="C2872" s="14">
        <v>45231</v>
      </c>
      <c r="D2872" s="3" t="s">
        <v>68</v>
      </c>
      <c r="E2872" s="97"/>
      <c r="F2872" s="97"/>
    </row>
    <row r="2873" spans="1:6" hidden="1" x14ac:dyDescent="0.3">
      <c r="A2873" s="7" t="str">
        <f>BD_ControlRegimen[[#This Row],[FECHA]]&amp;BD_ControlRegimen[[#This Row],[NOMBRE]]</f>
        <v>45232REYES MAURICIO DAVID</v>
      </c>
      <c r="B2873" s="83">
        <f>WEEKNUM(BD_ControlRegimen[[#This Row],[FECHA]],2)</f>
        <v>45</v>
      </c>
      <c r="C2873" s="7">
        <v>45232</v>
      </c>
      <c r="D2873" s="3" t="s">
        <v>68</v>
      </c>
      <c r="E2873" s="3"/>
      <c r="F2873" s="3"/>
    </row>
    <row r="2874" spans="1:6" hidden="1" x14ac:dyDescent="0.3">
      <c r="A2874" s="7" t="str">
        <f>BD_ControlRegimen[[#This Row],[FECHA]]&amp;BD_ControlRegimen[[#This Row],[NOMBRE]]</f>
        <v>45233REYES MAURICIO DAVID</v>
      </c>
      <c r="B2874" s="83">
        <f>WEEKNUM(BD_ControlRegimen[[#This Row],[FECHA]],2)</f>
        <v>45</v>
      </c>
      <c r="C2874" s="7">
        <v>45233</v>
      </c>
      <c r="D2874" s="3" t="s">
        <v>68</v>
      </c>
      <c r="E2874" s="3"/>
      <c r="F2874" s="3"/>
    </row>
    <row r="2875" spans="1:6" hidden="1" x14ac:dyDescent="0.3">
      <c r="A2875" s="7" t="str">
        <f>BD_ControlRegimen[[#This Row],[FECHA]]&amp;BD_ControlRegimen[[#This Row],[NOMBRE]]</f>
        <v>45234REYES MAURICIO DAVID</v>
      </c>
      <c r="B2875" s="83">
        <f>WEEKNUM(BD_ControlRegimen[[#This Row],[FECHA]],2)</f>
        <v>45</v>
      </c>
      <c r="C2875" s="7">
        <v>45234</v>
      </c>
      <c r="D2875" s="3" t="s">
        <v>68</v>
      </c>
      <c r="E2875" s="3"/>
      <c r="F2875" s="3"/>
    </row>
    <row r="2876" spans="1:6" hidden="1" x14ac:dyDescent="0.3">
      <c r="A2876" s="7" t="str">
        <f>BD_ControlRegimen[[#This Row],[FECHA]]&amp;BD_ControlRegimen[[#This Row],[NOMBRE]]</f>
        <v>45235REYES MAURICIO DAVID</v>
      </c>
      <c r="B2876" s="83">
        <f>WEEKNUM(BD_ControlRegimen[[#This Row],[FECHA]],2)</f>
        <v>45</v>
      </c>
      <c r="C2876" s="7">
        <v>45235</v>
      </c>
      <c r="D2876" s="3" t="s">
        <v>68</v>
      </c>
      <c r="E2876" s="3"/>
      <c r="F2876" s="3"/>
    </row>
    <row r="2877" spans="1:6" hidden="1" x14ac:dyDescent="0.3">
      <c r="A2877" s="7" t="str">
        <f>BD_ControlRegimen[[#This Row],[FECHA]]&amp;BD_ControlRegimen[[#This Row],[NOMBRE]]</f>
        <v>45236REYES MAURICIO DAVID</v>
      </c>
      <c r="B2877" s="83">
        <f>WEEKNUM(BD_ControlRegimen[[#This Row],[FECHA]],2)</f>
        <v>46</v>
      </c>
      <c r="C2877" s="7">
        <v>45236</v>
      </c>
      <c r="D2877" s="3" t="s">
        <v>68</v>
      </c>
      <c r="E2877" s="3"/>
      <c r="F2877" s="3"/>
    </row>
    <row r="2878" spans="1:6" hidden="1" x14ac:dyDescent="0.3">
      <c r="A2878" s="7" t="str">
        <f>BD_ControlRegimen[[#This Row],[FECHA]]&amp;BD_ControlRegimen[[#This Row],[NOMBRE]]</f>
        <v>45237REYES MAURICIO DAVID</v>
      </c>
      <c r="B2878" s="83">
        <f>WEEKNUM(BD_ControlRegimen[[#This Row],[FECHA]],2)</f>
        <v>46</v>
      </c>
      <c r="C2878" s="7">
        <v>45237</v>
      </c>
      <c r="D2878" s="3" t="s">
        <v>68</v>
      </c>
      <c r="E2878" s="3"/>
      <c r="F2878" s="3"/>
    </row>
    <row r="2879" spans="1:6" hidden="1" x14ac:dyDescent="0.3">
      <c r="A2879" s="7" t="str">
        <f>BD_ControlRegimen[[#This Row],[FECHA]]&amp;BD_ControlRegimen[[#This Row],[NOMBRE]]</f>
        <v>45238REYES MAURICIO DAVID</v>
      </c>
      <c r="B2879" s="83">
        <f>WEEKNUM(BD_ControlRegimen[[#This Row],[FECHA]],2)</f>
        <v>46</v>
      </c>
      <c r="C2879" s="7">
        <v>45238</v>
      </c>
      <c r="D2879" s="3" t="s">
        <v>68</v>
      </c>
      <c r="E2879" s="3"/>
      <c r="F2879" s="3"/>
    </row>
    <row r="2880" spans="1:6" hidden="1" x14ac:dyDescent="0.3">
      <c r="A2880" s="7" t="str">
        <f>BD_ControlRegimen[[#This Row],[FECHA]]&amp;BD_ControlRegimen[[#This Row],[NOMBRE]]</f>
        <v>45239REYES MAURICIO DAVID</v>
      </c>
      <c r="B2880" s="83">
        <f>WEEKNUM(BD_ControlRegimen[[#This Row],[FECHA]],2)</f>
        <v>46</v>
      </c>
      <c r="C2880" s="7">
        <v>45239</v>
      </c>
      <c r="D2880" s="3" t="s">
        <v>68</v>
      </c>
      <c r="E2880" s="3"/>
      <c r="F2880" s="3"/>
    </row>
    <row r="2881" spans="1:6" hidden="1" x14ac:dyDescent="0.3">
      <c r="A2881" s="7" t="str">
        <f>BD_ControlRegimen[[#This Row],[FECHA]]&amp;BD_ControlRegimen[[#This Row],[NOMBRE]]</f>
        <v>45240REYES MAURICIO DAVID</v>
      </c>
      <c r="B2881" s="83">
        <f>WEEKNUM(BD_ControlRegimen[[#This Row],[FECHA]],2)</f>
        <v>46</v>
      </c>
      <c r="C2881" s="7">
        <v>45240</v>
      </c>
      <c r="D2881" s="3" t="s">
        <v>68</v>
      </c>
      <c r="E2881" s="3"/>
      <c r="F2881" s="3"/>
    </row>
    <row r="2882" spans="1:6" hidden="1" x14ac:dyDescent="0.3">
      <c r="A2882" s="7" t="str">
        <f>BD_ControlRegimen[[#This Row],[FECHA]]&amp;BD_ControlRegimen[[#This Row],[NOMBRE]]</f>
        <v>45241REYES MAURICIO DAVID</v>
      </c>
      <c r="B2882" s="83">
        <f>WEEKNUM(BD_ControlRegimen[[#This Row],[FECHA]],2)</f>
        <v>46</v>
      </c>
      <c r="C2882" s="7">
        <v>45241</v>
      </c>
      <c r="D2882" s="3" t="s">
        <v>68</v>
      </c>
      <c r="E2882" s="3"/>
      <c r="F2882" s="3"/>
    </row>
    <row r="2883" spans="1:6" hidden="1" x14ac:dyDescent="0.3">
      <c r="A2883" s="7" t="str">
        <f>BD_ControlRegimen[[#This Row],[FECHA]]&amp;BD_ControlRegimen[[#This Row],[NOMBRE]]</f>
        <v>45242REYES MAURICIO DAVID</v>
      </c>
      <c r="B2883" s="83">
        <f>WEEKNUM(BD_ControlRegimen[[#This Row],[FECHA]],2)</f>
        <v>46</v>
      </c>
      <c r="C2883" s="7">
        <v>45242</v>
      </c>
      <c r="D2883" s="3" t="s">
        <v>68</v>
      </c>
      <c r="E2883" s="3"/>
      <c r="F2883" s="3"/>
    </row>
    <row r="2884" spans="1:6" hidden="1" x14ac:dyDescent="0.3">
      <c r="A2884" s="7" t="str">
        <f>BD_ControlRegimen[[#This Row],[FECHA]]&amp;BD_ControlRegimen[[#This Row],[NOMBRE]]</f>
        <v>45243REYES MAURICIO DAVID</v>
      </c>
      <c r="B2884" s="83">
        <f>WEEKNUM(BD_ControlRegimen[[#This Row],[FECHA]],2)</f>
        <v>47</v>
      </c>
      <c r="C2884" s="7">
        <v>45243</v>
      </c>
      <c r="D2884" s="3" t="s">
        <v>68</v>
      </c>
      <c r="E2884" s="3"/>
      <c r="F2884" s="3"/>
    </row>
    <row r="2885" spans="1:6" hidden="1" x14ac:dyDescent="0.3">
      <c r="A2885" s="7" t="str">
        <f>BD_ControlRegimen[[#This Row],[FECHA]]&amp;BD_ControlRegimen[[#This Row],[NOMBRE]]</f>
        <v>45244REYES MAURICIO DAVID</v>
      </c>
      <c r="B2885" s="83">
        <f>WEEKNUM(BD_ControlRegimen[[#This Row],[FECHA]],2)</f>
        <v>47</v>
      </c>
      <c r="C2885" s="7">
        <v>45244</v>
      </c>
      <c r="D2885" s="3" t="s">
        <v>68</v>
      </c>
      <c r="E2885" s="3"/>
      <c r="F2885" s="3"/>
    </row>
    <row r="2886" spans="1:6" hidden="1" x14ac:dyDescent="0.3">
      <c r="A2886" s="7" t="str">
        <f>BD_ControlRegimen[[#This Row],[FECHA]]&amp;BD_ControlRegimen[[#This Row],[NOMBRE]]</f>
        <v>45245REYES MAURICIO DAVID</v>
      </c>
      <c r="B2886" s="83">
        <f>WEEKNUM(BD_ControlRegimen[[#This Row],[FECHA]],2)</f>
        <v>47</v>
      </c>
      <c r="C2886" s="7">
        <v>45245</v>
      </c>
      <c r="D2886" s="3" t="s">
        <v>68</v>
      </c>
      <c r="E2886" s="3"/>
      <c r="F2886" s="3"/>
    </row>
    <row r="2887" spans="1:6" hidden="1" x14ac:dyDescent="0.3">
      <c r="A2887" s="7" t="str">
        <f>BD_ControlRegimen[[#This Row],[FECHA]]&amp;BD_ControlRegimen[[#This Row],[NOMBRE]]</f>
        <v>45246REYES MAURICIO DAVID</v>
      </c>
      <c r="B2887" s="83">
        <f>WEEKNUM(BD_ControlRegimen[[#This Row],[FECHA]],2)</f>
        <v>47</v>
      </c>
      <c r="C2887" s="7">
        <v>45246</v>
      </c>
      <c r="D2887" s="3" t="s">
        <v>68</v>
      </c>
      <c r="E2887" s="3"/>
      <c r="F2887" s="3"/>
    </row>
    <row r="2888" spans="1:6" hidden="1" x14ac:dyDescent="0.3">
      <c r="A2888" s="7" t="str">
        <f>BD_ControlRegimen[[#This Row],[FECHA]]&amp;BD_ControlRegimen[[#This Row],[NOMBRE]]</f>
        <v>45247REYES MAURICIO DAVID</v>
      </c>
      <c r="B2888" s="83">
        <f>WEEKNUM(BD_ControlRegimen[[#This Row],[FECHA]],2)</f>
        <v>47</v>
      </c>
      <c r="C2888" s="7">
        <v>45247</v>
      </c>
      <c r="D2888" s="3" t="s">
        <v>68</v>
      </c>
      <c r="E2888" s="3"/>
      <c r="F2888" s="3"/>
    </row>
    <row r="2889" spans="1:6" hidden="1" x14ac:dyDescent="0.3">
      <c r="A2889" s="7" t="str">
        <f>BD_ControlRegimen[[#This Row],[FECHA]]&amp;BD_ControlRegimen[[#This Row],[NOMBRE]]</f>
        <v>45248REYES MAURICIO DAVID</v>
      </c>
      <c r="B2889" s="83">
        <f>WEEKNUM(BD_ControlRegimen[[#This Row],[FECHA]],2)</f>
        <v>47</v>
      </c>
      <c r="C2889" s="7">
        <v>45248</v>
      </c>
      <c r="D2889" s="3" t="s">
        <v>68</v>
      </c>
      <c r="E2889" s="3"/>
      <c r="F2889" s="3"/>
    </row>
    <row r="2890" spans="1:6" hidden="1" x14ac:dyDescent="0.3">
      <c r="A2890" s="7" t="str">
        <f>BD_ControlRegimen[[#This Row],[FECHA]]&amp;BD_ControlRegimen[[#This Row],[NOMBRE]]</f>
        <v>45249REYES MAURICIO DAVID</v>
      </c>
      <c r="B2890" s="83">
        <f>WEEKNUM(BD_ControlRegimen[[#This Row],[FECHA]],2)</f>
        <v>47</v>
      </c>
      <c r="C2890" s="7">
        <v>45249</v>
      </c>
      <c r="D2890" s="3" t="s">
        <v>68</v>
      </c>
      <c r="E2890" s="3"/>
      <c r="F2890" s="3"/>
    </row>
    <row r="2891" spans="1:6" hidden="1" x14ac:dyDescent="0.3">
      <c r="A2891" s="7" t="str">
        <f>BD_ControlRegimen[[#This Row],[FECHA]]&amp;BD_ControlRegimen[[#This Row],[NOMBRE]]</f>
        <v>45250REYES MAURICIO DAVID</v>
      </c>
      <c r="B2891" s="83">
        <f>WEEKNUM(BD_ControlRegimen[[#This Row],[FECHA]],2)</f>
        <v>48</v>
      </c>
      <c r="C2891" s="7">
        <v>45250</v>
      </c>
      <c r="D2891" s="3" t="s">
        <v>68</v>
      </c>
      <c r="E2891" s="3"/>
      <c r="F2891" s="3"/>
    </row>
    <row r="2892" spans="1:6" hidden="1" x14ac:dyDescent="0.3">
      <c r="A2892" s="7" t="str">
        <f>BD_ControlRegimen[[#This Row],[FECHA]]&amp;BD_ControlRegimen[[#This Row],[NOMBRE]]</f>
        <v>45251REYES MAURICIO DAVID</v>
      </c>
      <c r="B2892" s="83">
        <f>WEEKNUM(BD_ControlRegimen[[#This Row],[FECHA]],2)</f>
        <v>48</v>
      </c>
      <c r="C2892" s="7">
        <v>45251</v>
      </c>
      <c r="D2892" s="3" t="s">
        <v>68</v>
      </c>
      <c r="E2892" s="3"/>
      <c r="F2892" s="3"/>
    </row>
    <row r="2893" spans="1:6" hidden="1" x14ac:dyDescent="0.3">
      <c r="A2893" s="7" t="str">
        <f>BD_ControlRegimen[[#This Row],[FECHA]]&amp;BD_ControlRegimen[[#This Row],[NOMBRE]]</f>
        <v>45252REYES MAURICIO DAVID</v>
      </c>
      <c r="B2893" s="83">
        <f>WEEKNUM(BD_ControlRegimen[[#This Row],[FECHA]],2)</f>
        <v>48</v>
      </c>
      <c r="C2893" s="7">
        <v>45252</v>
      </c>
      <c r="D2893" s="3" t="s">
        <v>68</v>
      </c>
      <c r="E2893" s="3"/>
      <c r="F2893" s="3"/>
    </row>
    <row r="2894" spans="1:6" hidden="1" x14ac:dyDescent="0.3">
      <c r="A2894" s="7" t="str">
        <f>BD_ControlRegimen[[#This Row],[FECHA]]&amp;BD_ControlRegimen[[#This Row],[NOMBRE]]</f>
        <v>45253REYES MAURICIO DAVID</v>
      </c>
      <c r="B2894" s="83">
        <f>WEEKNUM(BD_ControlRegimen[[#This Row],[FECHA]],2)</f>
        <v>48</v>
      </c>
      <c r="C2894" s="7">
        <v>45253</v>
      </c>
      <c r="D2894" s="3" t="s">
        <v>68</v>
      </c>
      <c r="E2894" s="3"/>
      <c r="F2894" s="3"/>
    </row>
    <row r="2895" spans="1:6" hidden="1" x14ac:dyDescent="0.3">
      <c r="A2895" s="7" t="str">
        <f>BD_ControlRegimen[[#This Row],[FECHA]]&amp;BD_ControlRegimen[[#This Row],[NOMBRE]]</f>
        <v>45254REYES MAURICIO DAVID</v>
      </c>
      <c r="B2895" s="83">
        <f>WEEKNUM(BD_ControlRegimen[[#This Row],[FECHA]],2)</f>
        <v>48</v>
      </c>
      <c r="C2895" s="7">
        <v>45254</v>
      </c>
      <c r="D2895" s="3" t="s">
        <v>68</v>
      </c>
      <c r="E2895" s="3"/>
      <c r="F2895" s="3"/>
    </row>
    <row r="2896" spans="1:6" hidden="1" x14ac:dyDescent="0.3">
      <c r="A2896" s="7" t="str">
        <f>BD_ControlRegimen[[#This Row],[FECHA]]&amp;BD_ControlRegimen[[#This Row],[NOMBRE]]</f>
        <v>45255REYES MAURICIO DAVID</v>
      </c>
      <c r="B2896" s="83">
        <f>WEEKNUM(BD_ControlRegimen[[#This Row],[FECHA]],2)</f>
        <v>48</v>
      </c>
      <c r="C2896" s="7">
        <v>45255</v>
      </c>
      <c r="D2896" s="3" t="s">
        <v>68</v>
      </c>
      <c r="E2896" s="3"/>
      <c r="F2896" s="3"/>
    </row>
    <row r="2897" spans="1:6" hidden="1" x14ac:dyDescent="0.3">
      <c r="A2897" s="7" t="str">
        <f>BD_ControlRegimen[[#This Row],[FECHA]]&amp;BD_ControlRegimen[[#This Row],[NOMBRE]]</f>
        <v>45256REYES MAURICIO DAVID</v>
      </c>
      <c r="B2897" s="83">
        <f>WEEKNUM(BD_ControlRegimen[[#This Row],[FECHA]],2)</f>
        <v>48</v>
      </c>
      <c r="C2897" s="7">
        <v>45256</v>
      </c>
      <c r="D2897" s="3" t="s">
        <v>68</v>
      </c>
      <c r="E2897" s="3"/>
      <c r="F2897" s="3"/>
    </row>
    <row r="2898" spans="1:6" hidden="1" x14ac:dyDescent="0.3">
      <c r="A2898" s="7" t="str">
        <f>BD_ControlRegimen[[#This Row],[FECHA]]&amp;BD_ControlRegimen[[#This Row],[NOMBRE]]</f>
        <v>45257REYES MAURICIO DAVID</v>
      </c>
      <c r="B2898" s="83">
        <f>WEEKNUM(BD_ControlRegimen[[#This Row],[FECHA]],2)</f>
        <v>49</v>
      </c>
      <c r="C2898" s="7">
        <v>45257</v>
      </c>
      <c r="D2898" s="3" t="s">
        <v>68</v>
      </c>
      <c r="E2898" s="3"/>
      <c r="F2898" s="3"/>
    </row>
    <row r="2899" spans="1:6" hidden="1" x14ac:dyDescent="0.3">
      <c r="A2899" s="7" t="str">
        <f>BD_ControlRegimen[[#This Row],[FECHA]]&amp;BD_ControlRegimen[[#This Row],[NOMBRE]]</f>
        <v>45258REYES MAURICIO DAVID</v>
      </c>
      <c r="B2899" s="83">
        <f>WEEKNUM(BD_ControlRegimen[[#This Row],[FECHA]],2)</f>
        <v>49</v>
      </c>
      <c r="C2899" s="7">
        <v>45258</v>
      </c>
      <c r="D2899" s="3" t="s">
        <v>68</v>
      </c>
      <c r="E2899" s="3"/>
      <c r="F2899" s="3"/>
    </row>
    <row r="2900" spans="1:6" hidden="1" x14ac:dyDescent="0.3">
      <c r="A2900" s="7" t="str">
        <f>BD_ControlRegimen[[#This Row],[FECHA]]&amp;BD_ControlRegimen[[#This Row],[NOMBRE]]</f>
        <v>45259REYES MAURICIO DAVID</v>
      </c>
      <c r="B2900" s="83">
        <f>WEEKNUM(BD_ControlRegimen[[#This Row],[FECHA]],2)</f>
        <v>49</v>
      </c>
      <c r="C2900" s="7">
        <v>45259</v>
      </c>
      <c r="D2900" s="3" t="s">
        <v>68</v>
      </c>
      <c r="E2900" s="3"/>
      <c r="F2900" s="3"/>
    </row>
    <row r="2901" spans="1:6" hidden="1" x14ac:dyDescent="0.3">
      <c r="A2901" s="7" t="str">
        <f>BD_ControlRegimen[[#This Row],[FECHA]]&amp;BD_ControlRegimen[[#This Row],[NOMBRE]]</f>
        <v>45260REYES MAURICIO DAVID</v>
      </c>
      <c r="B2901" s="83">
        <f>WEEKNUM(BD_ControlRegimen[[#This Row],[FECHA]],2)</f>
        <v>49</v>
      </c>
      <c r="C2901" s="7">
        <v>45260</v>
      </c>
      <c r="D2901" s="3" t="s">
        <v>68</v>
      </c>
      <c r="E2901" s="3"/>
      <c r="F2901" s="3"/>
    </row>
    <row r="2902" spans="1:6" hidden="1" x14ac:dyDescent="0.3">
      <c r="A2902" s="7" t="str">
        <f>BD_ControlRegimen[[#This Row],[FECHA]]&amp;BD_ControlRegimen[[#This Row],[NOMBRE]]</f>
        <v>45261REYES MAURICIO DAVID</v>
      </c>
      <c r="B2902" s="83">
        <f>WEEKNUM(BD_ControlRegimen[[#This Row],[FECHA]],2)</f>
        <v>49</v>
      </c>
      <c r="C2902" s="7">
        <v>45261</v>
      </c>
      <c r="D2902" s="3" t="s">
        <v>68</v>
      </c>
      <c r="E2902" s="3"/>
      <c r="F2902" s="3"/>
    </row>
    <row r="2903" spans="1:6" hidden="1" x14ac:dyDescent="0.3">
      <c r="A2903" s="7" t="str">
        <f>BD_ControlRegimen[[#This Row],[FECHA]]&amp;BD_ControlRegimen[[#This Row],[NOMBRE]]</f>
        <v>45262REYES MAURICIO DAVID</v>
      </c>
      <c r="B2903" s="83">
        <f>WEEKNUM(BD_ControlRegimen[[#This Row],[FECHA]],2)</f>
        <v>49</v>
      </c>
      <c r="C2903" s="7">
        <v>45262</v>
      </c>
      <c r="D2903" s="3" t="s">
        <v>68</v>
      </c>
      <c r="E2903" s="3"/>
      <c r="F2903" s="3"/>
    </row>
    <row r="2904" spans="1:6" hidden="1" x14ac:dyDescent="0.3">
      <c r="A2904" s="7" t="str">
        <f>BD_ControlRegimen[[#This Row],[FECHA]]&amp;BD_ControlRegimen[[#This Row],[NOMBRE]]</f>
        <v>45263REYES MAURICIO DAVID</v>
      </c>
      <c r="B2904" s="83">
        <f>WEEKNUM(BD_ControlRegimen[[#This Row],[FECHA]],2)</f>
        <v>49</v>
      </c>
      <c r="C2904" s="7">
        <v>45263</v>
      </c>
      <c r="D2904" s="3" t="s">
        <v>68</v>
      </c>
      <c r="E2904" s="3"/>
      <c r="F2904" s="3"/>
    </row>
    <row r="2905" spans="1:6" hidden="1" x14ac:dyDescent="0.3">
      <c r="A2905" s="7" t="str">
        <f>BD_ControlRegimen[[#This Row],[FECHA]]&amp;BD_ControlRegimen[[#This Row],[NOMBRE]]</f>
        <v>45264REYES MAURICIO DAVID</v>
      </c>
      <c r="B2905" s="83">
        <f>WEEKNUM(BD_ControlRegimen[[#This Row],[FECHA]],2)</f>
        <v>50</v>
      </c>
      <c r="C2905" s="7">
        <v>45264</v>
      </c>
      <c r="D2905" s="3" t="s">
        <v>68</v>
      </c>
      <c r="E2905" s="3"/>
      <c r="F2905" s="3"/>
    </row>
    <row r="2906" spans="1:6" hidden="1" x14ac:dyDescent="0.3">
      <c r="A2906" s="7" t="str">
        <f>BD_ControlRegimen[[#This Row],[FECHA]]&amp;BD_ControlRegimen[[#This Row],[NOMBRE]]</f>
        <v>45265REYES MAURICIO DAVID</v>
      </c>
      <c r="B2906" s="83">
        <f>WEEKNUM(BD_ControlRegimen[[#This Row],[FECHA]],2)</f>
        <v>50</v>
      </c>
      <c r="C2906" s="7">
        <v>45265</v>
      </c>
      <c r="D2906" s="3" t="s">
        <v>68</v>
      </c>
      <c r="E2906" s="3"/>
      <c r="F2906" s="3"/>
    </row>
    <row r="2907" spans="1:6" hidden="1" x14ac:dyDescent="0.3">
      <c r="A2907" s="7" t="str">
        <f>BD_ControlRegimen[[#This Row],[FECHA]]&amp;BD_ControlRegimen[[#This Row],[NOMBRE]]</f>
        <v>45266REYES MAURICIO DAVID</v>
      </c>
      <c r="B2907" s="83">
        <f>WEEKNUM(BD_ControlRegimen[[#This Row],[FECHA]],2)</f>
        <v>50</v>
      </c>
      <c r="C2907" s="7">
        <v>45266</v>
      </c>
      <c r="D2907" s="3" t="s">
        <v>68</v>
      </c>
      <c r="E2907" s="3"/>
      <c r="F2907" s="3"/>
    </row>
    <row r="2908" spans="1:6" hidden="1" x14ac:dyDescent="0.3">
      <c r="A2908" s="7" t="str">
        <f>BD_ControlRegimen[[#This Row],[FECHA]]&amp;BD_ControlRegimen[[#This Row],[NOMBRE]]</f>
        <v>45267REYES MAURICIO DAVID</v>
      </c>
      <c r="B2908" s="83">
        <f>WEEKNUM(BD_ControlRegimen[[#This Row],[FECHA]],2)</f>
        <v>50</v>
      </c>
      <c r="C2908" s="7">
        <v>45267</v>
      </c>
      <c r="D2908" s="3" t="s">
        <v>68</v>
      </c>
      <c r="E2908" s="3"/>
      <c r="F2908" s="3"/>
    </row>
    <row r="2909" spans="1:6" hidden="1" x14ac:dyDescent="0.3">
      <c r="A2909" s="7" t="str">
        <f>BD_ControlRegimen[[#This Row],[FECHA]]&amp;BD_ControlRegimen[[#This Row],[NOMBRE]]</f>
        <v>45268REYES MAURICIO DAVID</v>
      </c>
      <c r="B2909" s="83">
        <f>WEEKNUM(BD_ControlRegimen[[#This Row],[FECHA]],2)</f>
        <v>50</v>
      </c>
      <c r="C2909" s="7">
        <v>45268</v>
      </c>
      <c r="D2909" s="3" t="s">
        <v>68</v>
      </c>
      <c r="E2909" s="3"/>
      <c r="F2909" s="3"/>
    </row>
    <row r="2910" spans="1:6" hidden="1" x14ac:dyDescent="0.3">
      <c r="A2910" s="7" t="str">
        <f>BD_ControlRegimen[[#This Row],[FECHA]]&amp;BD_ControlRegimen[[#This Row],[NOMBRE]]</f>
        <v>45269REYES MAURICIO DAVID</v>
      </c>
      <c r="B2910" s="83">
        <f>WEEKNUM(BD_ControlRegimen[[#This Row],[FECHA]],2)</f>
        <v>50</v>
      </c>
      <c r="C2910" s="7">
        <v>45269</v>
      </c>
      <c r="D2910" s="3" t="s">
        <v>68</v>
      </c>
      <c r="E2910" s="3"/>
      <c r="F2910" s="3"/>
    </row>
    <row r="2911" spans="1:6" hidden="1" x14ac:dyDescent="0.3">
      <c r="A2911" s="7" t="str">
        <f>BD_ControlRegimen[[#This Row],[FECHA]]&amp;BD_ControlRegimen[[#This Row],[NOMBRE]]</f>
        <v>45270REYES MAURICIO DAVID</v>
      </c>
      <c r="B2911" s="83">
        <f>WEEKNUM(BD_ControlRegimen[[#This Row],[FECHA]],2)</f>
        <v>50</v>
      </c>
      <c r="C2911" s="7">
        <v>45270</v>
      </c>
      <c r="D2911" s="3" t="s">
        <v>68</v>
      </c>
      <c r="E2911" s="3"/>
      <c r="F2911" s="3"/>
    </row>
    <row r="2912" spans="1:6" hidden="1" x14ac:dyDescent="0.3">
      <c r="A2912" s="7" t="str">
        <f>BD_ControlRegimen[[#This Row],[FECHA]]&amp;BD_ControlRegimen[[#This Row],[NOMBRE]]</f>
        <v>45271REYES MAURICIO DAVID</v>
      </c>
      <c r="B2912" s="83">
        <f>WEEKNUM(BD_ControlRegimen[[#This Row],[FECHA]],2)</f>
        <v>51</v>
      </c>
      <c r="C2912" s="7">
        <v>45271</v>
      </c>
      <c r="D2912" s="3" t="s">
        <v>68</v>
      </c>
      <c r="E2912" s="3"/>
      <c r="F2912" s="3"/>
    </row>
    <row r="2913" spans="1:6" hidden="1" x14ac:dyDescent="0.3">
      <c r="A2913" s="7" t="str">
        <f>BD_ControlRegimen[[#This Row],[FECHA]]&amp;BD_ControlRegimen[[#This Row],[NOMBRE]]</f>
        <v>45272REYES MAURICIO DAVID</v>
      </c>
      <c r="B2913" s="83">
        <f>WEEKNUM(BD_ControlRegimen[[#This Row],[FECHA]],2)</f>
        <v>51</v>
      </c>
      <c r="C2913" s="7">
        <v>45272</v>
      </c>
      <c r="D2913" s="3" t="s">
        <v>68</v>
      </c>
      <c r="E2913" s="3"/>
      <c r="F2913" s="3"/>
    </row>
    <row r="2914" spans="1:6" hidden="1" x14ac:dyDescent="0.3">
      <c r="A2914" s="7" t="str">
        <f>BD_ControlRegimen[[#This Row],[FECHA]]&amp;BD_ControlRegimen[[#This Row],[NOMBRE]]</f>
        <v>45273REYES MAURICIO DAVID</v>
      </c>
      <c r="B2914" s="83">
        <f>WEEKNUM(BD_ControlRegimen[[#This Row],[FECHA]],2)</f>
        <v>51</v>
      </c>
      <c r="C2914" s="7">
        <v>45273</v>
      </c>
      <c r="D2914" s="3" t="s">
        <v>68</v>
      </c>
      <c r="E2914" s="3"/>
      <c r="F2914" s="3"/>
    </row>
    <row r="2915" spans="1:6" hidden="1" x14ac:dyDescent="0.3">
      <c r="A2915" s="7" t="str">
        <f>BD_ControlRegimen[[#This Row],[FECHA]]&amp;BD_ControlRegimen[[#This Row],[NOMBRE]]</f>
        <v>45274REYES MAURICIO DAVID</v>
      </c>
      <c r="B2915" s="83">
        <f>WEEKNUM(BD_ControlRegimen[[#This Row],[FECHA]],2)</f>
        <v>51</v>
      </c>
      <c r="C2915" s="7">
        <v>45274</v>
      </c>
      <c r="D2915" s="3" t="s">
        <v>68</v>
      </c>
      <c r="E2915" s="3"/>
      <c r="F2915" s="3"/>
    </row>
    <row r="2916" spans="1:6" hidden="1" x14ac:dyDescent="0.3">
      <c r="A2916" s="7" t="str">
        <f>BD_ControlRegimen[[#This Row],[FECHA]]&amp;BD_ControlRegimen[[#This Row],[NOMBRE]]</f>
        <v>45275REYES MAURICIO DAVID</v>
      </c>
      <c r="B2916" s="83">
        <f>WEEKNUM(BD_ControlRegimen[[#This Row],[FECHA]],2)</f>
        <v>51</v>
      </c>
      <c r="C2916" s="7">
        <v>45275</v>
      </c>
      <c r="D2916" s="3" t="s">
        <v>68</v>
      </c>
      <c r="E2916" s="3"/>
      <c r="F2916" s="3"/>
    </row>
    <row r="2917" spans="1:6" hidden="1" x14ac:dyDescent="0.3">
      <c r="A2917" s="7" t="str">
        <f>BD_ControlRegimen[[#This Row],[FECHA]]&amp;BD_ControlRegimen[[#This Row],[NOMBRE]]</f>
        <v>45276REYES MAURICIO DAVID</v>
      </c>
      <c r="B2917" s="83">
        <f>WEEKNUM(BD_ControlRegimen[[#This Row],[FECHA]],2)</f>
        <v>51</v>
      </c>
      <c r="C2917" s="7">
        <v>45276</v>
      </c>
      <c r="D2917" s="3" t="s">
        <v>68</v>
      </c>
      <c r="E2917" s="3"/>
      <c r="F2917" s="3"/>
    </row>
    <row r="2918" spans="1:6" hidden="1" x14ac:dyDescent="0.3">
      <c r="A2918" s="7" t="str">
        <f>BD_ControlRegimen[[#This Row],[FECHA]]&amp;BD_ControlRegimen[[#This Row],[NOMBRE]]</f>
        <v>45277REYES MAURICIO DAVID</v>
      </c>
      <c r="B2918" s="83">
        <f>WEEKNUM(BD_ControlRegimen[[#This Row],[FECHA]],2)</f>
        <v>51</v>
      </c>
      <c r="C2918" s="7">
        <v>45277</v>
      </c>
      <c r="D2918" s="3" t="s">
        <v>68</v>
      </c>
      <c r="E2918" s="3"/>
      <c r="F2918" s="3"/>
    </row>
    <row r="2919" spans="1:6" hidden="1" x14ac:dyDescent="0.3">
      <c r="A2919" s="7" t="str">
        <f>BD_ControlRegimen[[#This Row],[FECHA]]&amp;BD_ControlRegimen[[#This Row],[NOMBRE]]</f>
        <v>45278REYES MAURICIO DAVID</v>
      </c>
      <c r="B2919" s="83">
        <f>WEEKNUM(BD_ControlRegimen[[#This Row],[FECHA]],2)</f>
        <v>52</v>
      </c>
      <c r="C2919" s="7">
        <v>45278</v>
      </c>
      <c r="D2919" s="3" t="s">
        <v>68</v>
      </c>
      <c r="E2919" s="3"/>
      <c r="F2919" s="3"/>
    </row>
    <row r="2920" spans="1:6" hidden="1" x14ac:dyDescent="0.3">
      <c r="A2920" s="7" t="str">
        <f>BD_ControlRegimen[[#This Row],[FECHA]]&amp;BD_ControlRegimen[[#This Row],[NOMBRE]]</f>
        <v>45279REYES MAURICIO DAVID</v>
      </c>
      <c r="B2920" s="83">
        <f>WEEKNUM(BD_ControlRegimen[[#This Row],[FECHA]],2)</f>
        <v>52</v>
      </c>
      <c r="C2920" s="7">
        <v>45279</v>
      </c>
      <c r="D2920" s="3" t="s">
        <v>68</v>
      </c>
      <c r="E2920" s="3"/>
      <c r="F2920" s="3"/>
    </row>
    <row r="2921" spans="1:6" hidden="1" x14ac:dyDescent="0.3">
      <c r="A2921" s="7" t="str">
        <f>BD_ControlRegimen[[#This Row],[FECHA]]&amp;BD_ControlRegimen[[#This Row],[NOMBRE]]</f>
        <v>45280REYES MAURICIO DAVID</v>
      </c>
      <c r="B2921" s="83">
        <f>WEEKNUM(BD_ControlRegimen[[#This Row],[FECHA]],2)</f>
        <v>52</v>
      </c>
      <c r="C2921" s="7">
        <v>45280</v>
      </c>
      <c r="D2921" s="3" t="s">
        <v>68</v>
      </c>
      <c r="E2921" s="3"/>
      <c r="F2921" s="3"/>
    </row>
    <row r="2922" spans="1:6" hidden="1" x14ac:dyDescent="0.3">
      <c r="A2922" s="7" t="str">
        <f>BD_ControlRegimen[[#This Row],[FECHA]]&amp;BD_ControlRegimen[[#This Row],[NOMBRE]]</f>
        <v>45281REYES MAURICIO DAVID</v>
      </c>
      <c r="B2922" s="83">
        <f>WEEKNUM(BD_ControlRegimen[[#This Row],[FECHA]],2)</f>
        <v>52</v>
      </c>
      <c r="C2922" s="7">
        <v>45281</v>
      </c>
      <c r="D2922" s="3" t="s">
        <v>68</v>
      </c>
      <c r="E2922" s="3"/>
      <c r="F2922" s="3"/>
    </row>
    <row r="2923" spans="1:6" hidden="1" x14ac:dyDescent="0.3">
      <c r="A2923" s="7" t="str">
        <f>BD_ControlRegimen[[#This Row],[FECHA]]&amp;BD_ControlRegimen[[#This Row],[NOMBRE]]</f>
        <v>45282REYES MAURICIO DAVID</v>
      </c>
      <c r="B2923" s="83">
        <f>WEEKNUM(BD_ControlRegimen[[#This Row],[FECHA]],2)</f>
        <v>52</v>
      </c>
      <c r="C2923" s="7">
        <v>45282</v>
      </c>
      <c r="D2923" s="3" t="s">
        <v>68</v>
      </c>
      <c r="E2923" s="3"/>
      <c r="F2923" s="3"/>
    </row>
    <row r="2924" spans="1:6" hidden="1" x14ac:dyDescent="0.3">
      <c r="A2924" s="7" t="str">
        <f>BD_ControlRegimen[[#This Row],[FECHA]]&amp;BD_ControlRegimen[[#This Row],[NOMBRE]]</f>
        <v>45283REYES MAURICIO DAVID</v>
      </c>
      <c r="B2924" s="83">
        <f>WEEKNUM(BD_ControlRegimen[[#This Row],[FECHA]],2)</f>
        <v>52</v>
      </c>
      <c r="C2924" s="7">
        <v>45283</v>
      </c>
      <c r="D2924" s="3" t="s">
        <v>68</v>
      </c>
      <c r="E2924" s="3"/>
      <c r="F2924" s="3"/>
    </row>
    <row r="2925" spans="1:6" hidden="1" x14ac:dyDescent="0.3">
      <c r="A2925" s="7" t="str">
        <f>BD_ControlRegimen[[#This Row],[FECHA]]&amp;BD_ControlRegimen[[#This Row],[NOMBRE]]</f>
        <v>45284REYES MAURICIO DAVID</v>
      </c>
      <c r="B2925" s="83">
        <f>WEEKNUM(BD_ControlRegimen[[#This Row],[FECHA]],2)</f>
        <v>52</v>
      </c>
      <c r="C2925" s="7">
        <v>45284</v>
      </c>
      <c r="D2925" s="3" t="s">
        <v>68</v>
      </c>
      <c r="E2925" s="3"/>
      <c r="F2925" s="3"/>
    </row>
    <row r="2926" spans="1:6" hidden="1" x14ac:dyDescent="0.3">
      <c r="A2926" s="7" t="str">
        <f>BD_ControlRegimen[[#This Row],[FECHA]]&amp;BD_ControlRegimen[[#This Row],[NOMBRE]]</f>
        <v>45285REYES MAURICIO DAVID</v>
      </c>
      <c r="B2926" s="83">
        <f>WEEKNUM(BD_ControlRegimen[[#This Row],[FECHA]],2)</f>
        <v>53</v>
      </c>
      <c r="C2926" s="7">
        <v>45285</v>
      </c>
      <c r="D2926" s="3" t="s">
        <v>68</v>
      </c>
      <c r="E2926" s="3"/>
      <c r="F2926" s="3"/>
    </row>
    <row r="2927" spans="1:6" hidden="1" x14ac:dyDescent="0.3">
      <c r="A2927" s="7" t="str">
        <f>BD_ControlRegimen[[#This Row],[FECHA]]&amp;BD_ControlRegimen[[#This Row],[NOMBRE]]</f>
        <v>45286REYES MAURICIO DAVID</v>
      </c>
      <c r="B2927" s="83">
        <f>WEEKNUM(BD_ControlRegimen[[#This Row],[FECHA]],2)</f>
        <v>53</v>
      </c>
      <c r="C2927" s="7">
        <v>45286</v>
      </c>
      <c r="D2927" s="3" t="s">
        <v>68</v>
      </c>
      <c r="E2927" s="3"/>
      <c r="F2927" s="3"/>
    </row>
    <row r="2928" spans="1:6" hidden="1" x14ac:dyDescent="0.3">
      <c r="A2928" s="7" t="str">
        <f>BD_ControlRegimen[[#This Row],[FECHA]]&amp;BD_ControlRegimen[[#This Row],[NOMBRE]]</f>
        <v>45287REYES MAURICIO DAVID</v>
      </c>
      <c r="B2928" s="83">
        <f>WEEKNUM(BD_ControlRegimen[[#This Row],[FECHA]],2)</f>
        <v>53</v>
      </c>
      <c r="C2928" s="7">
        <v>45287</v>
      </c>
      <c r="D2928" s="3" t="s">
        <v>68</v>
      </c>
      <c r="E2928" s="3"/>
      <c r="F2928" s="3"/>
    </row>
    <row r="2929" spans="1:6" hidden="1" x14ac:dyDescent="0.3">
      <c r="A2929" s="7" t="str">
        <f>BD_ControlRegimen[[#This Row],[FECHA]]&amp;BD_ControlRegimen[[#This Row],[NOMBRE]]</f>
        <v>45288REYES MAURICIO DAVID</v>
      </c>
      <c r="B2929" s="83">
        <f>WEEKNUM(BD_ControlRegimen[[#This Row],[FECHA]],2)</f>
        <v>53</v>
      </c>
      <c r="C2929" s="7">
        <v>45288</v>
      </c>
      <c r="D2929" s="3" t="s">
        <v>68</v>
      </c>
      <c r="E2929" s="3"/>
      <c r="F2929" s="3"/>
    </row>
    <row r="2930" spans="1:6" hidden="1" x14ac:dyDescent="0.3">
      <c r="A2930" s="7" t="str">
        <f>BD_ControlRegimen[[#This Row],[FECHA]]&amp;BD_ControlRegimen[[#This Row],[NOMBRE]]</f>
        <v>45289REYES MAURICIO DAVID</v>
      </c>
      <c r="B2930" s="83">
        <f>WEEKNUM(BD_ControlRegimen[[#This Row],[FECHA]],2)</f>
        <v>53</v>
      </c>
      <c r="C2930" s="7">
        <v>45289</v>
      </c>
      <c r="D2930" s="3" t="s">
        <v>68</v>
      </c>
      <c r="E2930" s="3"/>
      <c r="F2930" s="3"/>
    </row>
    <row r="2931" spans="1:6" hidden="1" x14ac:dyDescent="0.3">
      <c r="A2931" s="7" t="str">
        <f>BD_ControlRegimen[[#This Row],[FECHA]]&amp;BD_ControlRegimen[[#This Row],[NOMBRE]]</f>
        <v>45290REYES MAURICIO DAVID</v>
      </c>
      <c r="B2931" s="83">
        <f>WEEKNUM(BD_ControlRegimen[[#This Row],[FECHA]],2)</f>
        <v>53</v>
      </c>
      <c r="C2931" s="7">
        <v>45290</v>
      </c>
      <c r="D2931" s="3" t="s">
        <v>68</v>
      </c>
      <c r="E2931" s="3"/>
      <c r="F2931" s="3"/>
    </row>
    <row r="2932" spans="1:6" hidden="1" x14ac:dyDescent="0.3">
      <c r="A2932" s="7" t="str">
        <f>BD_ControlRegimen[[#This Row],[FECHA]]&amp;BD_ControlRegimen[[#This Row],[NOMBRE]]</f>
        <v>45291REYES MAURICIO DAVID</v>
      </c>
      <c r="B2932" s="83">
        <f>WEEKNUM(BD_ControlRegimen[[#This Row],[FECHA]],2)</f>
        <v>53</v>
      </c>
      <c r="C2932" s="7">
        <v>45291</v>
      </c>
      <c r="D2932" s="3" t="s">
        <v>68</v>
      </c>
      <c r="E2932" s="3"/>
      <c r="F2932" s="3"/>
    </row>
    <row r="2933" spans="1:6" hidden="1" x14ac:dyDescent="0.3">
      <c r="A2933" s="99" t="str">
        <f>BD_ControlRegimen[[#This Row],[FECHA]]&amp;BD_ControlRegimen[[#This Row],[NOMBRE]]</f>
        <v>44927URQUIZA ASCENCIO JORGE LUIS</v>
      </c>
      <c r="B2933" s="100">
        <f>WEEKNUM(BD_ControlRegimen[[#This Row],[FECHA]],2)</f>
        <v>1</v>
      </c>
      <c r="C2933" s="99">
        <v>44927</v>
      </c>
      <c r="D2933" s="3" t="s">
        <v>73</v>
      </c>
      <c r="E2933" s="101"/>
      <c r="F2933" s="101"/>
    </row>
    <row r="2934" spans="1:6" hidden="1" x14ac:dyDescent="0.3">
      <c r="A2934" s="99" t="str">
        <f>BD_ControlRegimen[[#This Row],[FECHA]]&amp;BD_ControlRegimen[[#This Row],[NOMBRE]]</f>
        <v>44928URQUIZA ASCENCIO JORGE LUIS</v>
      </c>
      <c r="B2934" s="100">
        <f>WEEKNUM(BD_ControlRegimen[[#This Row],[FECHA]],2)</f>
        <v>2</v>
      </c>
      <c r="C2934" s="99">
        <v>44928</v>
      </c>
      <c r="D2934" s="3" t="s">
        <v>73</v>
      </c>
      <c r="E2934" s="101"/>
      <c r="F2934" s="101"/>
    </row>
    <row r="2935" spans="1:6" hidden="1" x14ac:dyDescent="0.3">
      <c r="A2935" s="99" t="str">
        <f>BD_ControlRegimen[[#This Row],[FECHA]]&amp;BD_ControlRegimen[[#This Row],[NOMBRE]]</f>
        <v>44929URQUIZA ASCENCIO JORGE LUIS</v>
      </c>
      <c r="B2935" s="100">
        <f>WEEKNUM(BD_ControlRegimen[[#This Row],[FECHA]],2)</f>
        <v>2</v>
      </c>
      <c r="C2935" s="99">
        <v>44929</v>
      </c>
      <c r="D2935" s="3" t="s">
        <v>73</v>
      </c>
      <c r="E2935" s="101"/>
      <c r="F2935" s="101"/>
    </row>
    <row r="2936" spans="1:6" hidden="1" x14ac:dyDescent="0.3">
      <c r="A2936" s="99" t="str">
        <f>BD_ControlRegimen[[#This Row],[FECHA]]&amp;BD_ControlRegimen[[#This Row],[NOMBRE]]</f>
        <v>44930URQUIZA ASCENCIO JORGE LUIS</v>
      </c>
      <c r="B2936" s="100">
        <f>WEEKNUM(BD_ControlRegimen[[#This Row],[FECHA]],2)</f>
        <v>2</v>
      </c>
      <c r="C2936" s="99">
        <v>44930</v>
      </c>
      <c r="D2936" s="3" t="s">
        <v>73</v>
      </c>
      <c r="E2936" s="101"/>
      <c r="F2936" s="101"/>
    </row>
    <row r="2937" spans="1:6" hidden="1" x14ac:dyDescent="0.3">
      <c r="A2937" s="99" t="str">
        <f>BD_ControlRegimen[[#This Row],[FECHA]]&amp;BD_ControlRegimen[[#This Row],[NOMBRE]]</f>
        <v>44931URQUIZA ASCENCIO JORGE LUIS</v>
      </c>
      <c r="B2937" s="100">
        <f>WEEKNUM(BD_ControlRegimen[[#This Row],[FECHA]],2)</f>
        <v>2</v>
      </c>
      <c r="C2937" s="99">
        <v>44931</v>
      </c>
      <c r="D2937" s="3" t="s">
        <v>73</v>
      </c>
      <c r="E2937" s="101"/>
      <c r="F2937" s="101"/>
    </row>
    <row r="2938" spans="1:6" hidden="1" x14ac:dyDescent="0.3">
      <c r="A2938" s="99" t="str">
        <f>BD_ControlRegimen[[#This Row],[FECHA]]&amp;BD_ControlRegimen[[#This Row],[NOMBRE]]</f>
        <v>44932URQUIZA ASCENCIO JORGE LUIS</v>
      </c>
      <c r="B2938" s="100">
        <f>WEEKNUM(BD_ControlRegimen[[#This Row],[FECHA]],2)</f>
        <v>2</v>
      </c>
      <c r="C2938" s="99">
        <v>44932</v>
      </c>
      <c r="D2938" s="3" t="s">
        <v>73</v>
      </c>
      <c r="E2938" s="101"/>
      <c r="F2938" s="101"/>
    </row>
    <row r="2939" spans="1:6" hidden="1" x14ac:dyDescent="0.3">
      <c r="A2939" s="99" t="str">
        <f>BD_ControlRegimen[[#This Row],[FECHA]]&amp;BD_ControlRegimen[[#This Row],[NOMBRE]]</f>
        <v>44933URQUIZA ASCENCIO JORGE LUIS</v>
      </c>
      <c r="B2939" s="100">
        <f>WEEKNUM(BD_ControlRegimen[[#This Row],[FECHA]],2)</f>
        <v>2</v>
      </c>
      <c r="C2939" s="99">
        <v>44933</v>
      </c>
      <c r="D2939" s="3" t="s">
        <v>73</v>
      </c>
      <c r="E2939" s="101"/>
      <c r="F2939" s="101"/>
    </row>
    <row r="2940" spans="1:6" hidden="1" x14ac:dyDescent="0.3">
      <c r="A2940" s="99" t="str">
        <f>BD_ControlRegimen[[#This Row],[FECHA]]&amp;BD_ControlRegimen[[#This Row],[NOMBRE]]</f>
        <v>44934URQUIZA ASCENCIO JORGE LUIS</v>
      </c>
      <c r="B2940" s="100">
        <f>WEEKNUM(BD_ControlRegimen[[#This Row],[FECHA]],2)</f>
        <v>2</v>
      </c>
      <c r="C2940" s="99">
        <v>44934</v>
      </c>
      <c r="D2940" s="3" t="s">
        <v>73</v>
      </c>
      <c r="E2940" s="101"/>
      <c r="F2940" s="101"/>
    </row>
    <row r="2941" spans="1:6" hidden="1" x14ac:dyDescent="0.3">
      <c r="A2941" s="99" t="str">
        <f>BD_ControlRegimen[[#This Row],[FECHA]]&amp;BD_ControlRegimen[[#This Row],[NOMBRE]]</f>
        <v>44935URQUIZA ASCENCIO JORGE LUIS</v>
      </c>
      <c r="B2941" s="100">
        <f>WEEKNUM(BD_ControlRegimen[[#This Row],[FECHA]],2)</f>
        <v>3</v>
      </c>
      <c r="C2941" s="99">
        <v>44935</v>
      </c>
      <c r="D2941" s="3" t="s">
        <v>73</v>
      </c>
      <c r="E2941" s="101"/>
      <c r="F2941" s="101"/>
    </row>
    <row r="2942" spans="1:6" hidden="1" x14ac:dyDescent="0.3">
      <c r="A2942" s="99" t="str">
        <f>BD_ControlRegimen[[#This Row],[FECHA]]&amp;BD_ControlRegimen[[#This Row],[NOMBRE]]</f>
        <v>44936URQUIZA ASCENCIO JORGE LUIS</v>
      </c>
      <c r="B2942" s="100">
        <f>WEEKNUM(BD_ControlRegimen[[#This Row],[FECHA]],2)</f>
        <v>3</v>
      </c>
      <c r="C2942" s="99">
        <v>44936</v>
      </c>
      <c r="D2942" s="3" t="s">
        <v>73</v>
      </c>
      <c r="E2942" s="101"/>
      <c r="F2942" s="101"/>
    </row>
    <row r="2943" spans="1:6" hidden="1" x14ac:dyDescent="0.3">
      <c r="A2943" s="99" t="str">
        <f>BD_ControlRegimen[[#This Row],[FECHA]]&amp;BD_ControlRegimen[[#This Row],[NOMBRE]]</f>
        <v>44937URQUIZA ASCENCIO JORGE LUIS</v>
      </c>
      <c r="B2943" s="100">
        <f>WEEKNUM(BD_ControlRegimen[[#This Row],[FECHA]],2)</f>
        <v>3</v>
      </c>
      <c r="C2943" s="99">
        <v>44937</v>
      </c>
      <c r="D2943" s="3" t="s">
        <v>73</v>
      </c>
      <c r="E2943" s="101"/>
      <c r="F2943" s="101"/>
    </row>
    <row r="2944" spans="1:6" hidden="1" x14ac:dyDescent="0.3">
      <c r="A2944" s="99" t="str">
        <f>BD_ControlRegimen[[#This Row],[FECHA]]&amp;BD_ControlRegimen[[#This Row],[NOMBRE]]</f>
        <v>44938URQUIZA ASCENCIO JORGE LUIS</v>
      </c>
      <c r="B2944" s="100">
        <f>WEEKNUM(BD_ControlRegimen[[#This Row],[FECHA]],2)</f>
        <v>3</v>
      </c>
      <c r="C2944" s="99">
        <v>44938</v>
      </c>
      <c r="D2944" s="3" t="s">
        <v>73</v>
      </c>
      <c r="E2944" s="101"/>
      <c r="F2944" s="101"/>
    </row>
    <row r="2945" spans="1:6" hidden="1" x14ac:dyDescent="0.3">
      <c r="A2945" s="99" t="str">
        <f>BD_ControlRegimen[[#This Row],[FECHA]]&amp;BD_ControlRegimen[[#This Row],[NOMBRE]]</f>
        <v>44939URQUIZA ASCENCIO JORGE LUIS</v>
      </c>
      <c r="B2945" s="100">
        <f>WEEKNUM(BD_ControlRegimen[[#This Row],[FECHA]],2)</f>
        <v>3</v>
      </c>
      <c r="C2945" s="99">
        <v>44939</v>
      </c>
      <c r="D2945" s="3" t="s">
        <v>73</v>
      </c>
      <c r="E2945" s="101"/>
      <c r="F2945" s="101"/>
    </row>
    <row r="2946" spans="1:6" hidden="1" x14ac:dyDescent="0.3">
      <c r="A2946" s="99" t="str">
        <f>BD_ControlRegimen[[#This Row],[FECHA]]&amp;BD_ControlRegimen[[#This Row],[NOMBRE]]</f>
        <v>44940URQUIZA ASCENCIO JORGE LUIS</v>
      </c>
      <c r="B2946" s="100">
        <f>WEEKNUM(BD_ControlRegimen[[#This Row],[FECHA]],2)</f>
        <v>3</v>
      </c>
      <c r="C2946" s="99">
        <v>44940</v>
      </c>
      <c r="D2946" s="3" t="s">
        <v>73</v>
      </c>
      <c r="E2946" s="101"/>
      <c r="F2946" s="101"/>
    </row>
    <row r="2947" spans="1:6" hidden="1" x14ac:dyDescent="0.3">
      <c r="A2947" s="99" t="str">
        <f>BD_ControlRegimen[[#This Row],[FECHA]]&amp;BD_ControlRegimen[[#This Row],[NOMBRE]]</f>
        <v>44941URQUIZA ASCENCIO JORGE LUIS</v>
      </c>
      <c r="B2947" s="100">
        <f>WEEKNUM(BD_ControlRegimen[[#This Row],[FECHA]],2)</f>
        <v>3</v>
      </c>
      <c r="C2947" s="99">
        <v>44941</v>
      </c>
      <c r="D2947" s="3" t="s">
        <v>73</v>
      </c>
      <c r="E2947" s="101"/>
      <c r="F2947" s="101"/>
    </row>
    <row r="2948" spans="1:6" hidden="1" x14ac:dyDescent="0.3">
      <c r="A2948" s="99" t="str">
        <f>BD_ControlRegimen[[#This Row],[FECHA]]&amp;BD_ControlRegimen[[#This Row],[NOMBRE]]</f>
        <v>44942URQUIZA ASCENCIO JORGE LUIS</v>
      </c>
      <c r="B2948" s="100">
        <f>WEEKNUM(BD_ControlRegimen[[#This Row],[FECHA]],2)</f>
        <v>4</v>
      </c>
      <c r="C2948" s="99">
        <v>44942</v>
      </c>
      <c r="D2948" s="3" t="s">
        <v>73</v>
      </c>
      <c r="E2948" s="101"/>
      <c r="F2948" s="101"/>
    </row>
    <row r="2949" spans="1:6" hidden="1" x14ac:dyDescent="0.3">
      <c r="A2949" s="99" t="str">
        <f>BD_ControlRegimen[[#This Row],[FECHA]]&amp;BD_ControlRegimen[[#This Row],[NOMBRE]]</f>
        <v>44943URQUIZA ASCENCIO JORGE LUIS</v>
      </c>
      <c r="B2949" s="100">
        <f>WEEKNUM(BD_ControlRegimen[[#This Row],[FECHA]],2)</f>
        <v>4</v>
      </c>
      <c r="C2949" s="99">
        <v>44943</v>
      </c>
      <c r="D2949" s="3" t="s">
        <v>73</v>
      </c>
      <c r="E2949" s="101"/>
      <c r="F2949" s="101"/>
    </row>
    <row r="2950" spans="1:6" hidden="1" x14ac:dyDescent="0.3">
      <c r="A2950" s="99" t="str">
        <f>BD_ControlRegimen[[#This Row],[FECHA]]&amp;BD_ControlRegimen[[#This Row],[NOMBRE]]</f>
        <v>44944URQUIZA ASCENCIO JORGE LUIS</v>
      </c>
      <c r="B2950" s="100">
        <f>WEEKNUM(BD_ControlRegimen[[#This Row],[FECHA]],2)</f>
        <v>4</v>
      </c>
      <c r="C2950" s="99">
        <v>44944</v>
      </c>
      <c r="D2950" s="3" t="s">
        <v>73</v>
      </c>
      <c r="E2950" s="101"/>
      <c r="F2950" s="101"/>
    </row>
    <row r="2951" spans="1:6" hidden="1" x14ac:dyDescent="0.3">
      <c r="A2951" s="99" t="str">
        <f>BD_ControlRegimen[[#This Row],[FECHA]]&amp;BD_ControlRegimen[[#This Row],[NOMBRE]]</f>
        <v>44945URQUIZA ASCENCIO JORGE LUIS</v>
      </c>
      <c r="B2951" s="100">
        <f>WEEKNUM(BD_ControlRegimen[[#This Row],[FECHA]],2)</f>
        <v>4</v>
      </c>
      <c r="C2951" s="99">
        <v>44945</v>
      </c>
      <c r="D2951" s="3" t="s">
        <v>73</v>
      </c>
      <c r="E2951" s="101"/>
      <c r="F2951" s="101"/>
    </row>
    <row r="2952" spans="1:6" hidden="1" x14ac:dyDescent="0.3">
      <c r="A2952" s="99" t="str">
        <f>BD_ControlRegimen[[#This Row],[FECHA]]&amp;BD_ControlRegimen[[#This Row],[NOMBRE]]</f>
        <v>44946URQUIZA ASCENCIO JORGE LUIS</v>
      </c>
      <c r="B2952" s="100">
        <f>WEEKNUM(BD_ControlRegimen[[#This Row],[FECHA]],2)</f>
        <v>4</v>
      </c>
      <c r="C2952" s="99">
        <v>44946</v>
      </c>
      <c r="D2952" s="3" t="s">
        <v>73</v>
      </c>
      <c r="E2952" s="101"/>
      <c r="F2952" s="101"/>
    </row>
    <row r="2953" spans="1:6" hidden="1" x14ac:dyDescent="0.3">
      <c r="A2953" s="99" t="str">
        <f>BD_ControlRegimen[[#This Row],[FECHA]]&amp;BD_ControlRegimen[[#This Row],[NOMBRE]]</f>
        <v>44947URQUIZA ASCENCIO JORGE LUIS</v>
      </c>
      <c r="B2953" s="100">
        <f>WEEKNUM(BD_ControlRegimen[[#This Row],[FECHA]],2)</f>
        <v>4</v>
      </c>
      <c r="C2953" s="99">
        <v>44947</v>
      </c>
      <c r="D2953" s="3" t="s">
        <v>73</v>
      </c>
      <c r="E2953" s="101"/>
      <c r="F2953" s="101"/>
    </row>
    <row r="2954" spans="1:6" hidden="1" x14ac:dyDescent="0.3">
      <c r="A2954" s="99" t="str">
        <f>BD_ControlRegimen[[#This Row],[FECHA]]&amp;BD_ControlRegimen[[#This Row],[NOMBRE]]</f>
        <v>44948URQUIZA ASCENCIO JORGE LUIS</v>
      </c>
      <c r="B2954" s="100">
        <f>WEEKNUM(BD_ControlRegimen[[#This Row],[FECHA]],2)</f>
        <v>4</v>
      </c>
      <c r="C2954" s="99">
        <v>44948</v>
      </c>
      <c r="D2954" s="3" t="s">
        <v>73</v>
      </c>
      <c r="E2954" s="101"/>
      <c r="F2954" s="101"/>
    </row>
    <row r="2955" spans="1:6" hidden="1" x14ac:dyDescent="0.3">
      <c r="A2955" s="99" t="str">
        <f>BD_ControlRegimen[[#This Row],[FECHA]]&amp;BD_ControlRegimen[[#This Row],[NOMBRE]]</f>
        <v>44949URQUIZA ASCENCIO JORGE LUIS</v>
      </c>
      <c r="B2955" s="100">
        <f>WEEKNUM(BD_ControlRegimen[[#This Row],[FECHA]],2)</f>
        <v>5</v>
      </c>
      <c r="C2955" s="99">
        <v>44949</v>
      </c>
      <c r="D2955" s="3" t="s">
        <v>73</v>
      </c>
      <c r="E2955" s="101"/>
      <c r="F2955" s="101"/>
    </row>
    <row r="2956" spans="1:6" hidden="1" x14ac:dyDescent="0.3">
      <c r="A2956" s="99" t="str">
        <f>BD_ControlRegimen[[#This Row],[FECHA]]&amp;BD_ControlRegimen[[#This Row],[NOMBRE]]</f>
        <v>44950URQUIZA ASCENCIO JORGE LUIS</v>
      </c>
      <c r="B2956" s="100">
        <f>WEEKNUM(BD_ControlRegimen[[#This Row],[FECHA]],2)</f>
        <v>5</v>
      </c>
      <c r="C2956" s="99">
        <v>44950</v>
      </c>
      <c r="D2956" s="3" t="s">
        <v>73</v>
      </c>
      <c r="E2956" s="101"/>
      <c r="F2956" s="101"/>
    </row>
    <row r="2957" spans="1:6" hidden="1" x14ac:dyDescent="0.3">
      <c r="A2957" s="102" t="str">
        <f>BD_ControlRegimen[[#This Row],[FECHA]]&amp;BD_ControlRegimen[[#This Row],[NOMBRE]]</f>
        <v>44951URQUIZA ASCENCIO JORGE LUIS</v>
      </c>
      <c r="B2957" s="103">
        <f>WEEKNUM(BD_ControlRegimen[[#This Row],[FECHA]],2)</f>
        <v>5</v>
      </c>
      <c r="C2957" s="102">
        <v>44951</v>
      </c>
      <c r="D2957" s="3" t="s">
        <v>73</v>
      </c>
      <c r="E2957" s="104"/>
      <c r="F2957" s="104"/>
    </row>
    <row r="2958" spans="1:6" hidden="1" x14ac:dyDescent="0.3">
      <c r="A2958" s="99" t="str">
        <f>BD_ControlRegimen[[#This Row],[FECHA]]&amp;BD_ControlRegimen[[#This Row],[NOMBRE]]</f>
        <v>44952URQUIZA ASCENCIO JORGE LUIS</v>
      </c>
      <c r="B2958" s="100">
        <f>WEEKNUM(BD_ControlRegimen[[#This Row],[FECHA]],2)</f>
        <v>5</v>
      </c>
      <c r="C2958" s="99">
        <v>44952</v>
      </c>
      <c r="D2958" s="3" t="s">
        <v>73</v>
      </c>
      <c r="E2958" s="101"/>
      <c r="F2958" s="101"/>
    </row>
    <row r="2959" spans="1:6" hidden="1" x14ac:dyDescent="0.3">
      <c r="A2959" s="99" t="str">
        <f>BD_ControlRegimen[[#This Row],[FECHA]]&amp;BD_ControlRegimen[[#This Row],[NOMBRE]]</f>
        <v>44953URQUIZA ASCENCIO JORGE LUIS</v>
      </c>
      <c r="B2959" s="100">
        <f>WEEKNUM(BD_ControlRegimen[[#This Row],[FECHA]],2)</f>
        <v>5</v>
      </c>
      <c r="C2959" s="99">
        <v>44953</v>
      </c>
      <c r="D2959" s="3" t="s">
        <v>73</v>
      </c>
      <c r="E2959" s="101"/>
      <c r="F2959" s="101"/>
    </row>
    <row r="2960" spans="1:6" hidden="1" x14ac:dyDescent="0.3">
      <c r="A2960" s="99" t="str">
        <f>BD_ControlRegimen[[#This Row],[FECHA]]&amp;BD_ControlRegimen[[#This Row],[NOMBRE]]</f>
        <v>44954URQUIZA ASCENCIO JORGE LUIS</v>
      </c>
      <c r="B2960" s="100">
        <f>WEEKNUM(BD_ControlRegimen[[#This Row],[FECHA]],2)</f>
        <v>5</v>
      </c>
      <c r="C2960" s="99">
        <v>44954</v>
      </c>
      <c r="D2960" s="3" t="s">
        <v>73</v>
      </c>
      <c r="E2960" s="101"/>
      <c r="F2960" s="101"/>
    </row>
    <row r="2961" spans="1:6" hidden="1" x14ac:dyDescent="0.3">
      <c r="A2961" s="99" t="str">
        <f>BD_ControlRegimen[[#This Row],[FECHA]]&amp;BD_ControlRegimen[[#This Row],[NOMBRE]]</f>
        <v>44955URQUIZA ASCENCIO JORGE LUIS</v>
      </c>
      <c r="B2961" s="100">
        <f>WEEKNUM(BD_ControlRegimen[[#This Row],[FECHA]],2)</f>
        <v>5</v>
      </c>
      <c r="C2961" s="99">
        <v>44955</v>
      </c>
      <c r="D2961" s="3" t="s">
        <v>73</v>
      </c>
      <c r="E2961" s="101"/>
      <c r="F2961" s="101"/>
    </row>
    <row r="2962" spans="1:6" hidden="1" x14ac:dyDescent="0.3">
      <c r="A2962" s="99" t="str">
        <f>BD_ControlRegimen[[#This Row],[FECHA]]&amp;BD_ControlRegimen[[#This Row],[NOMBRE]]</f>
        <v>44956URQUIZA ASCENCIO JORGE LUIS</v>
      </c>
      <c r="B2962" s="100">
        <f>WEEKNUM(BD_ControlRegimen[[#This Row],[FECHA]],2)</f>
        <v>6</v>
      </c>
      <c r="C2962" s="99">
        <v>44956</v>
      </c>
      <c r="D2962" s="3" t="s">
        <v>73</v>
      </c>
      <c r="E2962" s="101"/>
      <c r="F2962" s="101"/>
    </row>
    <row r="2963" spans="1:6" hidden="1" x14ac:dyDescent="0.3">
      <c r="A2963" s="99" t="str">
        <f>BD_ControlRegimen[[#This Row],[FECHA]]&amp;BD_ControlRegimen[[#This Row],[NOMBRE]]</f>
        <v>44957URQUIZA ASCENCIO JORGE LUIS</v>
      </c>
      <c r="B2963" s="100">
        <f>WEEKNUM(BD_ControlRegimen[[#This Row],[FECHA]],2)</f>
        <v>6</v>
      </c>
      <c r="C2963" s="99">
        <v>44957</v>
      </c>
      <c r="D2963" s="3" t="s">
        <v>73</v>
      </c>
      <c r="E2963" s="101"/>
      <c r="F2963" s="101"/>
    </row>
    <row r="2964" spans="1:6" hidden="1" x14ac:dyDescent="0.3">
      <c r="A2964" s="99" t="str">
        <f>BD_ControlRegimen[[#This Row],[FECHA]]&amp;BD_ControlRegimen[[#This Row],[NOMBRE]]</f>
        <v>44958URQUIZA ASCENCIO JORGE LUIS</v>
      </c>
      <c r="B2964" s="100">
        <f>WEEKNUM(BD_ControlRegimen[[#This Row],[FECHA]],2)</f>
        <v>6</v>
      </c>
      <c r="C2964" s="99">
        <v>44958</v>
      </c>
      <c r="D2964" s="3" t="s">
        <v>73</v>
      </c>
      <c r="E2964" s="101"/>
      <c r="F2964" s="101"/>
    </row>
    <row r="2965" spans="1:6" hidden="1" x14ac:dyDescent="0.3">
      <c r="A2965" s="99" t="str">
        <f>BD_ControlRegimen[[#This Row],[FECHA]]&amp;BD_ControlRegimen[[#This Row],[NOMBRE]]</f>
        <v>44959URQUIZA ASCENCIO JORGE LUIS</v>
      </c>
      <c r="B2965" s="100">
        <f>WEEKNUM(BD_ControlRegimen[[#This Row],[FECHA]],2)</f>
        <v>6</v>
      </c>
      <c r="C2965" s="99">
        <v>44959</v>
      </c>
      <c r="D2965" s="3" t="s">
        <v>73</v>
      </c>
      <c r="E2965" s="101"/>
      <c r="F2965" s="101"/>
    </row>
    <row r="2966" spans="1:6" hidden="1" x14ac:dyDescent="0.3">
      <c r="A2966" s="99" t="str">
        <f>BD_ControlRegimen[[#This Row],[FECHA]]&amp;BD_ControlRegimen[[#This Row],[NOMBRE]]</f>
        <v>44960URQUIZA ASCENCIO JORGE LUIS</v>
      </c>
      <c r="B2966" s="100">
        <f>WEEKNUM(BD_ControlRegimen[[#This Row],[FECHA]],2)</f>
        <v>6</v>
      </c>
      <c r="C2966" s="99">
        <v>44960</v>
      </c>
      <c r="D2966" s="3" t="s">
        <v>73</v>
      </c>
      <c r="E2966" s="101"/>
      <c r="F2966" s="101"/>
    </row>
    <row r="2967" spans="1:6" hidden="1" x14ac:dyDescent="0.3">
      <c r="A2967" s="99" t="str">
        <f>BD_ControlRegimen[[#This Row],[FECHA]]&amp;BD_ControlRegimen[[#This Row],[NOMBRE]]</f>
        <v>44961URQUIZA ASCENCIO JORGE LUIS</v>
      </c>
      <c r="B2967" s="100">
        <f>WEEKNUM(BD_ControlRegimen[[#This Row],[FECHA]],2)</f>
        <v>6</v>
      </c>
      <c r="C2967" s="99">
        <v>44961</v>
      </c>
      <c r="D2967" s="3" t="s">
        <v>73</v>
      </c>
      <c r="E2967" s="101"/>
      <c r="F2967" s="101"/>
    </row>
    <row r="2968" spans="1:6" hidden="1" x14ac:dyDescent="0.3">
      <c r="A2968" s="99" t="str">
        <f>BD_ControlRegimen[[#This Row],[FECHA]]&amp;BD_ControlRegimen[[#This Row],[NOMBRE]]</f>
        <v>44962URQUIZA ASCENCIO JORGE LUIS</v>
      </c>
      <c r="B2968" s="100">
        <f>WEEKNUM(BD_ControlRegimen[[#This Row],[FECHA]],2)</f>
        <v>6</v>
      </c>
      <c r="C2968" s="99">
        <v>44962</v>
      </c>
      <c r="D2968" s="3" t="s">
        <v>73</v>
      </c>
      <c r="E2968" s="101"/>
      <c r="F2968" s="101"/>
    </row>
    <row r="2969" spans="1:6" hidden="1" x14ac:dyDescent="0.3">
      <c r="A2969" s="99" t="str">
        <f>BD_ControlRegimen[[#This Row],[FECHA]]&amp;BD_ControlRegimen[[#This Row],[NOMBRE]]</f>
        <v>44963URQUIZA ASCENCIO JORGE LUIS</v>
      </c>
      <c r="B2969" s="100">
        <f>WEEKNUM(BD_ControlRegimen[[#This Row],[FECHA]],2)</f>
        <v>7</v>
      </c>
      <c r="C2969" s="99">
        <v>44963</v>
      </c>
      <c r="D2969" s="3" t="s">
        <v>73</v>
      </c>
      <c r="E2969" s="101"/>
      <c r="F2969" s="101"/>
    </row>
    <row r="2970" spans="1:6" hidden="1" x14ac:dyDescent="0.3">
      <c r="A2970" s="99" t="str">
        <f>BD_ControlRegimen[[#This Row],[FECHA]]&amp;BD_ControlRegimen[[#This Row],[NOMBRE]]</f>
        <v>44964URQUIZA ASCENCIO JORGE LUIS</v>
      </c>
      <c r="B2970" s="100">
        <f>WEEKNUM(BD_ControlRegimen[[#This Row],[FECHA]],2)</f>
        <v>7</v>
      </c>
      <c r="C2970" s="99">
        <v>44964</v>
      </c>
      <c r="D2970" s="3" t="s">
        <v>73</v>
      </c>
      <c r="E2970" s="101"/>
      <c r="F2970" s="101"/>
    </row>
    <row r="2971" spans="1:6" hidden="1" x14ac:dyDescent="0.3">
      <c r="A2971" s="99" t="str">
        <f>BD_ControlRegimen[[#This Row],[FECHA]]&amp;BD_ControlRegimen[[#This Row],[NOMBRE]]</f>
        <v>44965URQUIZA ASCENCIO JORGE LUIS</v>
      </c>
      <c r="B2971" s="100">
        <f>WEEKNUM(BD_ControlRegimen[[#This Row],[FECHA]],2)</f>
        <v>7</v>
      </c>
      <c r="C2971" s="99">
        <v>44965</v>
      </c>
      <c r="D2971" s="3" t="s">
        <v>73</v>
      </c>
      <c r="E2971" s="101"/>
      <c r="F2971" s="101"/>
    </row>
    <row r="2972" spans="1:6" hidden="1" x14ac:dyDescent="0.3">
      <c r="A2972" s="99" t="str">
        <f>BD_ControlRegimen[[#This Row],[FECHA]]&amp;BD_ControlRegimen[[#This Row],[NOMBRE]]</f>
        <v>44966URQUIZA ASCENCIO JORGE LUIS</v>
      </c>
      <c r="B2972" s="100">
        <f>WEEKNUM(BD_ControlRegimen[[#This Row],[FECHA]],2)</f>
        <v>7</v>
      </c>
      <c r="C2972" s="99">
        <v>44966</v>
      </c>
      <c r="D2972" s="3" t="s">
        <v>73</v>
      </c>
      <c r="E2972" s="101"/>
      <c r="F2972" s="101"/>
    </row>
    <row r="2973" spans="1:6" hidden="1" x14ac:dyDescent="0.3">
      <c r="A2973" s="99" t="str">
        <f>BD_ControlRegimen[[#This Row],[FECHA]]&amp;BD_ControlRegimen[[#This Row],[NOMBRE]]</f>
        <v>44967URQUIZA ASCENCIO JORGE LUIS</v>
      </c>
      <c r="B2973" s="100">
        <f>WEEKNUM(BD_ControlRegimen[[#This Row],[FECHA]],2)</f>
        <v>7</v>
      </c>
      <c r="C2973" s="99">
        <v>44967</v>
      </c>
      <c r="D2973" s="3" t="s">
        <v>73</v>
      </c>
      <c r="E2973" s="101"/>
      <c r="F2973" s="101"/>
    </row>
    <row r="2974" spans="1:6" hidden="1" x14ac:dyDescent="0.3">
      <c r="A2974" s="99" t="str">
        <f>BD_ControlRegimen[[#This Row],[FECHA]]&amp;BD_ControlRegimen[[#This Row],[NOMBRE]]</f>
        <v>44968URQUIZA ASCENCIO JORGE LUIS</v>
      </c>
      <c r="B2974" s="100">
        <f>WEEKNUM(BD_ControlRegimen[[#This Row],[FECHA]],2)</f>
        <v>7</v>
      </c>
      <c r="C2974" s="99">
        <v>44968</v>
      </c>
      <c r="D2974" s="3" t="s">
        <v>73</v>
      </c>
      <c r="E2974" s="101"/>
      <c r="F2974" s="101"/>
    </row>
    <row r="2975" spans="1:6" hidden="1" x14ac:dyDescent="0.3">
      <c r="A2975" s="99" t="str">
        <f>BD_ControlRegimen[[#This Row],[FECHA]]&amp;BD_ControlRegimen[[#This Row],[NOMBRE]]</f>
        <v>44969URQUIZA ASCENCIO JORGE LUIS</v>
      </c>
      <c r="B2975" s="100">
        <f>WEEKNUM(BD_ControlRegimen[[#This Row],[FECHA]],2)</f>
        <v>7</v>
      </c>
      <c r="C2975" s="99">
        <v>44969</v>
      </c>
      <c r="D2975" s="3" t="s">
        <v>73</v>
      </c>
      <c r="E2975" s="101"/>
      <c r="F2975" s="101"/>
    </row>
    <row r="2976" spans="1:6" hidden="1" x14ac:dyDescent="0.3">
      <c r="A2976" s="99" t="str">
        <f>BD_ControlRegimen[[#This Row],[FECHA]]&amp;BD_ControlRegimen[[#This Row],[NOMBRE]]</f>
        <v>44970URQUIZA ASCENCIO JORGE LUIS</v>
      </c>
      <c r="B2976" s="100">
        <f>WEEKNUM(BD_ControlRegimen[[#This Row],[FECHA]],2)</f>
        <v>8</v>
      </c>
      <c r="C2976" s="99">
        <v>44970</v>
      </c>
      <c r="D2976" s="3" t="s">
        <v>73</v>
      </c>
      <c r="E2976" s="101"/>
      <c r="F2976" s="101"/>
    </row>
    <row r="2977" spans="1:6" hidden="1" x14ac:dyDescent="0.3">
      <c r="A2977" s="99" t="str">
        <f>BD_ControlRegimen[[#This Row],[FECHA]]&amp;BD_ControlRegimen[[#This Row],[NOMBRE]]</f>
        <v>44971URQUIZA ASCENCIO JORGE LUIS</v>
      </c>
      <c r="B2977" s="100">
        <f>WEEKNUM(BD_ControlRegimen[[#This Row],[FECHA]],2)</f>
        <v>8</v>
      </c>
      <c r="C2977" s="99">
        <v>44971</v>
      </c>
      <c r="D2977" s="3" t="s">
        <v>73</v>
      </c>
      <c r="E2977" s="101"/>
      <c r="F2977" s="101"/>
    </row>
    <row r="2978" spans="1:6" hidden="1" x14ac:dyDescent="0.3">
      <c r="A2978" s="99" t="str">
        <f>BD_ControlRegimen[[#This Row],[FECHA]]&amp;BD_ControlRegimen[[#This Row],[NOMBRE]]</f>
        <v>44972URQUIZA ASCENCIO JORGE LUIS</v>
      </c>
      <c r="B2978" s="100">
        <f>WEEKNUM(BD_ControlRegimen[[#This Row],[FECHA]],2)</f>
        <v>8</v>
      </c>
      <c r="C2978" s="99">
        <v>44972</v>
      </c>
      <c r="D2978" s="3" t="s">
        <v>73</v>
      </c>
      <c r="E2978" s="101"/>
      <c r="F2978" s="101"/>
    </row>
    <row r="2979" spans="1:6" hidden="1" x14ac:dyDescent="0.3">
      <c r="A2979" s="99" t="str">
        <f>BD_ControlRegimen[[#This Row],[FECHA]]&amp;BD_ControlRegimen[[#This Row],[NOMBRE]]</f>
        <v>44973URQUIZA ASCENCIO JORGE LUIS</v>
      </c>
      <c r="B2979" s="100">
        <f>WEEKNUM(BD_ControlRegimen[[#This Row],[FECHA]],2)</f>
        <v>8</v>
      </c>
      <c r="C2979" s="99">
        <v>44973</v>
      </c>
      <c r="D2979" s="3" t="s">
        <v>73</v>
      </c>
      <c r="E2979" s="101"/>
      <c r="F2979" s="101"/>
    </row>
    <row r="2980" spans="1:6" hidden="1" x14ac:dyDescent="0.3">
      <c r="A2980" s="99" t="str">
        <f>BD_ControlRegimen[[#This Row],[FECHA]]&amp;BD_ControlRegimen[[#This Row],[NOMBRE]]</f>
        <v>44974URQUIZA ASCENCIO JORGE LUIS</v>
      </c>
      <c r="B2980" s="100">
        <f>WEEKNUM(BD_ControlRegimen[[#This Row],[FECHA]],2)</f>
        <v>8</v>
      </c>
      <c r="C2980" s="99">
        <v>44974</v>
      </c>
      <c r="D2980" s="3" t="s">
        <v>73</v>
      </c>
      <c r="E2980" s="101"/>
      <c r="F2980" s="101"/>
    </row>
    <row r="2981" spans="1:6" hidden="1" x14ac:dyDescent="0.3">
      <c r="A2981" s="99" t="str">
        <f>BD_ControlRegimen[[#This Row],[FECHA]]&amp;BD_ControlRegimen[[#This Row],[NOMBRE]]</f>
        <v>44975URQUIZA ASCENCIO JORGE LUIS</v>
      </c>
      <c r="B2981" s="100">
        <f>WEEKNUM(BD_ControlRegimen[[#This Row],[FECHA]],2)</f>
        <v>8</v>
      </c>
      <c r="C2981" s="99">
        <v>44975</v>
      </c>
      <c r="D2981" s="3" t="s">
        <v>73</v>
      </c>
      <c r="E2981" s="101"/>
      <c r="F2981" s="101"/>
    </row>
    <row r="2982" spans="1:6" hidden="1" x14ac:dyDescent="0.3">
      <c r="A2982" s="99" t="str">
        <f>BD_ControlRegimen[[#This Row],[FECHA]]&amp;BD_ControlRegimen[[#This Row],[NOMBRE]]</f>
        <v>44976URQUIZA ASCENCIO JORGE LUIS</v>
      </c>
      <c r="B2982" s="100">
        <f>WEEKNUM(BD_ControlRegimen[[#This Row],[FECHA]],2)</f>
        <v>8</v>
      </c>
      <c r="C2982" s="99">
        <v>44976</v>
      </c>
      <c r="D2982" s="3" t="s">
        <v>73</v>
      </c>
      <c r="E2982" s="101"/>
      <c r="F2982" s="101"/>
    </row>
    <row r="2983" spans="1:6" hidden="1" x14ac:dyDescent="0.3">
      <c r="A2983" s="99" t="str">
        <f>BD_ControlRegimen[[#This Row],[FECHA]]&amp;BD_ControlRegimen[[#This Row],[NOMBRE]]</f>
        <v>44977URQUIZA ASCENCIO JORGE LUIS</v>
      </c>
      <c r="B2983" s="100">
        <f>WEEKNUM(BD_ControlRegimen[[#This Row],[FECHA]],2)</f>
        <v>9</v>
      </c>
      <c r="C2983" s="99">
        <v>44977</v>
      </c>
      <c r="D2983" s="3" t="s">
        <v>73</v>
      </c>
      <c r="E2983" s="101"/>
      <c r="F2983" s="101"/>
    </row>
    <row r="2984" spans="1:6" hidden="1" x14ac:dyDescent="0.3">
      <c r="A2984" s="99" t="str">
        <f>BD_ControlRegimen[[#This Row],[FECHA]]&amp;BD_ControlRegimen[[#This Row],[NOMBRE]]</f>
        <v>44978URQUIZA ASCENCIO JORGE LUIS</v>
      </c>
      <c r="B2984" s="100">
        <f>WEEKNUM(BD_ControlRegimen[[#This Row],[FECHA]],2)</f>
        <v>9</v>
      </c>
      <c r="C2984" s="99">
        <v>44978</v>
      </c>
      <c r="D2984" s="3" t="s">
        <v>73</v>
      </c>
      <c r="E2984" s="101"/>
      <c r="F2984" s="101"/>
    </row>
    <row r="2985" spans="1:6" hidden="1" x14ac:dyDescent="0.3">
      <c r="A2985" s="99" t="str">
        <f>BD_ControlRegimen[[#This Row],[FECHA]]&amp;BD_ControlRegimen[[#This Row],[NOMBRE]]</f>
        <v>44979URQUIZA ASCENCIO JORGE LUIS</v>
      </c>
      <c r="B2985" s="100">
        <f>WEEKNUM(BD_ControlRegimen[[#This Row],[FECHA]],2)</f>
        <v>9</v>
      </c>
      <c r="C2985" s="99">
        <v>44979</v>
      </c>
      <c r="D2985" s="3" t="s">
        <v>73</v>
      </c>
      <c r="E2985" s="101"/>
      <c r="F2985" s="101"/>
    </row>
    <row r="2986" spans="1:6" hidden="1" x14ac:dyDescent="0.3">
      <c r="A2986" s="99" t="str">
        <f>BD_ControlRegimen[[#This Row],[FECHA]]&amp;BD_ControlRegimen[[#This Row],[NOMBRE]]</f>
        <v>44980URQUIZA ASCENCIO JORGE LUIS</v>
      </c>
      <c r="B2986" s="100">
        <f>WEEKNUM(BD_ControlRegimen[[#This Row],[FECHA]],2)</f>
        <v>9</v>
      </c>
      <c r="C2986" s="99">
        <v>44980</v>
      </c>
      <c r="D2986" s="3" t="s">
        <v>73</v>
      </c>
      <c r="E2986" s="101"/>
      <c r="F2986" s="101"/>
    </row>
    <row r="2987" spans="1:6" hidden="1" x14ac:dyDescent="0.3">
      <c r="A2987" s="99" t="str">
        <f>BD_ControlRegimen[[#This Row],[FECHA]]&amp;BD_ControlRegimen[[#This Row],[NOMBRE]]</f>
        <v>44981URQUIZA ASCENCIO JORGE LUIS</v>
      </c>
      <c r="B2987" s="100">
        <f>WEEKNUM(BD_ControlRegimen[[#This Row],[FECHA]],2)</f>
        <v>9</v>
      </c>
      <c r="C2987" s="99">
        <v>44981</v>
      </c>
      <c r="D2987" s="3" t="s">
        <v>73</v>
      </c>
      <c r="E2987" s="101"/>
      <c r="F2987" s="101"/>
    </row>
    <row r="2988" spans="1:6" hidden="1" x14ac:dyDescent="0.3">
      <c r="A2988" s="99" t="str">
        <f>BD_ControlRegimen[[#This Row],[FECHA]]&amp;BD_ControlRegimen[[#This Row],[NOMBRE]]</f>
        <v>44982URQUIZA ASCENCIO JORGE LUIS</v>
      </c>
      <c r="B2988" s="100">
        <f>WEEKNUM(BD_ControlRegimen[[#This Row],[FECHA]],2)</f>
        <v>9</v>
      </c>
      <c r="C2988" s="99">
        <v>44982</v>
      </c>
      <c r="D2988" s="3" t="s">
        <v>73</v>
      </c>
      <c r="E2988" s="101"/>
      <c r="F2988" s="101"/>
    </row>
    <row r="2989" spans="1:6" hidden="1" x14ac:dyDescent="0.3">
      <c r="A2989" s="99" t="str">
        <f>BD_ControlRegimen[[#This Row],[FECHA]]&amp;BD_ControlRegimen[[#This Row],[NOMBRE]]</f>
        <v>44983URQUIZA ASCENCIO JORGE LUIS</v>
      </c>
      <c r="B2989" s="100">
        <f>WEEKNUM(BD_ControlRegimen[[#This Row],[FECHA]],2)</f>
        <v>9</v>
      </c>
      <c r="C2989" s="99">
        <v>44983</v>
      </c>
      <c r="D2989" s="3" t="s">
        <v>73</v>
      </c>
      <c r="E2989" s="101"/>
      <c r="F2989" s="101"/>
    </row>
    <row r="2990" spans="1:6" hidden="1" x14ac:dyDescent="0.3">
      <c r="A2990" s="99" t="str">
        <f>BD_ControlRegimen[[#This Row],[FECHA]]&amp;BD_ControlRegimen[[#This Row],[NOMBRE]]</f>
        <v>44984URQUIZA ASCENCIO JORGE LUIS</v>
      </c>
      <c r="B2990" s="100">
        <f>WEEKNUM(BD_ControlRegimen[[#This Row],[FECHA]],2)</f>
        <v>10</v>
      </c>
      <c r="C2990" s="99">
        <v>44984</v>
      </c>
      <c r="D2990" s="3" t="s">
        <v>73</v>
      </c>
      <c r="E2990" s="101"/>
      <c r="F2990" s="101"/>
    </row>
    <row r="2991" spans="1:6" hidden="1" x14ac:dyDescent="0.3">
      <c r="A2991" s="99" t="str">
        <f>BD_ControlRegimen[[#This Row],[FECHA]]&amp;BD_ControlRegimen[[#This Row],[NOMBRE]]</f>
        <v>44985URQUIZA ASCENCIO JORGE LUIS</v>
      </c>
      <c r="B2991" s="100">
        <f>WEEKNUM(BD_ControlRegimen[[#This Row],[FECHA]],2)</f>
        <v>10</v>
      </c>
      <c r="C2991" s="99">
        <v>44985</v>
      </c>
      <c r="D2991" s="3" t="s">
        <v>73</v>
      </c>
      <c r="E2991" s="101"/>
      <c r="F2991" s="101"/>
    </row>
    <row r="2992" spans="1:6" hidden="1" x14ac:dyDescent="0.3">
      <c r="A2992" s="99" t="str">
        <f>BD_ControlRegimen[[#This Row],[FECHA]]&amp;BD_ControlRegimen[[#This Row],[NOMBRE]]</f>
        <v>44986URQUIZA ASCENCIO JORGE LUIS</v>
      </c>
      <c r="B2992" s="100">
        <f>WEEKNUM(BD_ControlRegimen[[#This Row],[FECHA]],2)</f>
        <v>10</v>
      </c>
      <c r="C2992" s="99">
        <v>44986</v>
      </c>
      <c r="D2992" s="3" t="s">
        <v>73</v>
      </c>
      <c r="E2992" s="101"/>
      <c r="F2992" s="101"/>
    </row>
    <row r="2993" spans="1:6" hidden="1" x14ac:dyDescent="0.3">
      <c r="A2993" s="99" t="str">
        <f>BD_ControlRegimen[[#This Row],[FECHA]]&amp;BD_ControlRegimen[[#This Row],[NOMBRE]]</f>
        <v>44987URQUIZA ASCENCIO JORGE LUIS</v>
      </c>
      <c r="B2993" s="100">
        <f>WEEKNUM(BD_ControlRegimen[[#This Row],[FECHA]],2)</f>
        <v>10</v>
      </c>
      <c r="C2993" s="99">
        <v>44987</v>
      </c>
      <c r="D2993" s="3" t="s">
        <v>73</v>
      </c>
      <c r="E2993" s="101"/>
      <c r="F2993" s="101"/>
    </row>
    <row r="2994" spans="1:6" hidden="1" x14ac:dyDescent="0.3">
      <c r="A2994" s="99" t="str">
        <f>BD_ControlRegimen[[#This Row],[FECHA]]&amp;BD_ControlRegimen[[#This Row],[NOMBRE]]</f>
        <v>44988URQUIZA ASCENCIO JORGE LUIS</v>
      </c>
      <c r="B2994" s="100">
        <f>WEEKNUM(BD_ControlRegimen[[#This Row],[FECHA]],2)</f>
        <v>10</v>
      </c>
      <c r="C2994" s="99">
        <v>44988</v>
      </c>
      <c r="D2994" s="3" t="s">
        <v>73</v>
      </c>
      <c r="E2994" s="101"/>
      <c r="F2994" s="101"/>
    </row>
    <row r="2995" spans="1:6" hidden="1" x14ac:dyDescent="0.3">
      <c r="A2995" s="99" t="str">
        <f>BD_ControlRegimen[[#This Row],[FECHA]]&amp;BD_ControlRegimen[[#This Row],[NOMBRE]]</f>
        <v>44989URQUIZA ASCENCIO JORGE LUIS</v>
      </c>
      <c r="B2995" s="100">
        <f>WEEKNUM(BD_ControlRegimen[[#This Row],[FECHA]],2)</f>
        <v>10</v>
      </c>
      <c r="C2995" s="99">
        <v>44989</v>
      </c>
      <c r="D2995" s="3" t="s">
        <v>73</v>
      </c>
      <c r="E2995" s="101"/>
      <c r="F2995" s="101"/>
    </row>
    <row r="2996" spans="1:6" hidden="1" x14ac:dyDescent="0.3">
      <c r="A2996" s="99" t="str">
        <f>BD_ControlRegimen[[#This Row],[FECHA]]&amp;BD_ControlRegimen[[#This Row],[NOMBRE]]</f>
        <v>44990URQUIZA ASCENCIO JORGE LUIS</v>
      </c>
      <c r="B2996" s="100">
        <f>WEEKNUM(BD_ControlRegimen[[#This Row],[FECHA]],2)</f>
        <v>10</v>
      </c>
      <c r="C2996" s="99">
        <v>44990</v>
      </c>
      <c r="D2996" s="3" t="s">
        <v>73</v>
      </c>
      <c r="E2996" s="101"/>
      <c r="F2996" s="101"/>
    </row>
    <row r="2997" spans="1:6" hidden="1" x14ac:dyDescent="0.3">
      <c r="A2997" s="99" t="str">
        <f>BD_ControlRegimen[[#This Row],[FECHA]]&amp;BD_ControlRegimen[[#This Row],[NOMBRE]]</f>
        <v>44991URQUIZA ASCENCIO JORGE LUIS</v>
      </c>
      <c r="B2997" s="100">
        <f>WEEKNUM(BD_ControlRegimen[[#This Row],[FECHA]],2)</f>
        <v>11</v>
      </c>
      <c r="C2997" s="99">
        <v>44991</v>
      </c>
      <c r="D2997" s="3" t="s">
        <v>73</v>
      </c>
      <c r="E2997" s="101"/>
      <c r="F2997" s="101"/>
    </row>
    <row r="2998" spans="1:6" hidden="1" x14ac:dyDescent="0.3">
      <c r="A2998" s="99" t="str">
        <f>BD_ControlRegimen[[#This Row],[FECHA]]&amp;BD_ControlRegimen[[#This Row],[NOMBRE]]</f>
        <v>44992URQUIZA ASCENCIO JORGE LUIS</v>
      </c>
      <c r="B2998" s="100">
        <f>WEEKNUM(BD_ControlRegimen[[#This Row],[FECHA]],2)</f>
        <v>11</v>
      </c>
      <c r="C2998" s="99">
        <v>44992</v>
      </c>
      <c r="D2998" s="3" t="s">
        <v>73</v>
      </c>
      <c r="E2998" s="101"/>
      <c r="F2998" s="101"/>
    </row>
    <row r="2999" spans="1:6" hidden="1" x14ac:dyDescent="0.3">
      <c r="A2999" s="99" t="str">
        <f>BD_ControlRegimen[[#This Row],[FECHA]]&amp;BD_ControlRegimen[[#This Row],[NOMBRE]]</f>
        <v>44993URQUIZA ASCENCIO JORGE LUIS</v>
      </c>
      <c r="B2999" s="100">
        <f>WEEKNUM(BD_ControlRegimen[[#This Row],[FECHA]],2)</f>
        <v>11</v>
      </c>
      <c r="C2999" s="99">
        <v>44993</v>
      </c>
      <c r="D2999" s="3" t="s">
        <v>73</v>
      </c>
      <c r="E2999" s="101"/>
      <c r="F2999" s="101"/>
    </row>
    <row r="3000" spans="1:6" hidden="1" x14ac:dyDescent="0.3">
      <c r="A3000" s="99" t="str">
        <f>BD_ControlRegimen[[#This Row],[FECHA]]&amp;BD_ControlRegimen[[#This Row],[NOMBRE]]</f>
        <v>44994URQUIZA ASCENCIO JORGE LUIS</v>
      </c>
      <c r="B3000" s="100">
        <f>WEEKNUM(BD_ControlRegimen[[#This Row],[FECHA]],2)</f>
        <v>11</v>
      </c>
      <c r="C3000" s="99">
        <v>44994</v>
      </c>
      <c r="D3000" s="3" t="s">
        <v>73</v>
      </c>
      <c r="E3000" s="101"/>
      <c r="F3000" s="101"/>
    </row>
    <row r="3001" spans="1:6" hidden="1" x14ac:dyDescent="0.3">
      <c r="A3001" s="99" t="str">
        <f>BD_ControlRegimen[[#This Row],[FECHA]]&amp;BD_ControlRegimen[[#This Row],[NOMBRE]]</f>
        <v>44995URQUIZA ASCENCIO JORGE LUIS</v>
      </c>
      <c r="B3001" s="100">
        <f>WEEKNUM(BD_ControlRegimen[[#This Row],[FECHA]],2)</f>
        <v>11</v>
      </c>
      <c r="C3001" s="99">
        <v>44995</v>
      </c>
      <c r="D3001" s="3" t="s">
        <v>73</v>
      </c>
      <c r="E3001" s="101"/>
      <c r="F3001" s="101"/>
    </row>
    <row r="3002" spans="1:6" hidden="1" x14ac:dyDescent="0.3">
      <c r="A3002" s="99" t="str">
        <f>BD_ControlRegimen[[#This Row],[FECHA]]&amp;BD_ControlRegimen[[#This Row],[NOMBRE]]</f>
        <v>44996URQUIZA ASCENCIO JORGE LUIS</v>
      </c>
      <c r="B3002" s="100">
        <f>WEEKNUM(BD_ControlRegimen[[#This Row],[FECHA]],2)</f>
        <v>11</v>
      </c>
      <c r="C3002" s="99">
        <v>44996</v>
      </c>
      <c r="D3002" s="3" t="s">
        <v>73</v>
      </c>
      <c r="E3002" s="101"/>
      <c r="F3002" s="101"/>
    </row>
    <row r="3003" spans="1:6" hidden="1" x14ac:dyDescent="0.3">
      <c r="A3003" s="99" t="str">
        <f>BD_ControlRegimen[[#This Row],[FECHA]]&amp;BD_ControlRegimen[[#This Row],[NOMBRE]]</f>
        <v>44997URQUIZA ASCENCIO JORGE LUIS</v>
      </c>
      <c r="B3003" s="100">
        <f>WEEKNUM(BD_ControlRegimen[[#This Row],[FECHA]],2)</f>
        <v>11</v>
      </c>
      <c r="C3003" s="99">
        <v>44997</v>
      </c>
      <c r="D3003" s="3" t="s">
        <v>73</v>
      </c>
      <c r="E3003" s="101"/>
      <c r="F3003" s="101"/>
    </row>
    <row r="3004" spans="1:6" hidden="1" x14ac:dyDescent="0.3">
      <c r="A3004" s="99" t="str">
        <f>BD_ControlRegimen[[#This Row],[FECHA]]&amp;BD_ControlRegimen[[#This Row],[NOMBRE]]</f>
        <v>44998URQUIZA ASCENCIO JORGE LUIS</v>
      </c>
      <c r="B3004" s="100">
        <f>WEEKNUM(BD_ControlRegimen[[#This Row],[FECHA]],2)</f>
        <v>12</v>
      </c>
      <c r="C3004" s="99">
        <v>44998</v>
      </c>
      <c r="D3004" s="3" t="s">
        <v>73</v>
      </c>
      <c r="E3004" s="101"/>
      <c r="F3004" s="101"/>
    </row>
    <row r="3005" spans="1:6" hidden="1" x14ac:dyDescent="0.3">
      <c r="A3005" s="99" t="str">
        <f>BD_ControlRegimen[[#This Row],[FECHA]]&amp;BD_ControlRegimen[[#This Row],[NOMBRE]]</f>
        <v>44999URQUIZA ASCENCIO JORGE LUIS</v>
      </c>
      <c r="B3005" s="100">
        <f>WEEKNUM(BD_ControlRegimen[[#This Row],[FECHA]],2)</f>
        <v>12</v>
      </c>
      <c r="C3005" s="99">
        <v>44999</v>
      </c>
      <c r="D3005" s="3" t="s">
        <v>73</v>
      </c>
      <c r="E3005" s="101"/>
      <c r="F3005" s="101"/>
    </row>
    <row r="3006" spans="1:6" hidden="1" x14ac:dyDescent="0.3">
      <c r="A3006" s="99" t="str">
        <f>BD_ControlRegimen[[#This Row],[FECHA]]&amp;BD_ControlRegimen[[#This Row],[NOMBRE]]</f>
        <v>45000URQUIZA ASCENCIO JORGE LUIS</v>
      </c>
      <c r="B3006" s="100">
        <f>WEEKNUM(BD_ControlRegimen[[#This Row],[FECHA]],2)</f>
        <v>12</v>
      </c>
      <c r="C3006" s="99">
        <v>45000</v>
      </c>
      <c r="D3006" s="3" t="s">
        <v>73</v>
      </c>
      <c r="E3006" s="101"/>
      <c r="F3006" s="101"/>
    </row>
    <row r="3007" spans="1:6" hidden="1" x14ac:dyDescent="0.3">
      <c r="A3007" s="99" t="str">
        <f>BD_ControlRegimen[[#This Row],[FECHA]]&amp;BD_ControlRegimen[[#This Row],[NOMBRE]]</f>
        <v>45001URQUIZA ASCENCIO JORGE LUIS</v>
      </c>
      <c r="B3007" s="100">
        <f>WEEKNUM(BD_ControlRegimen[[#This Row],[FECHA]],2)</f>
        <v>12</v>
      </c>
      <c r="C3007" s="99">
        <v>45001</v>
      </c>
      <c r="D3007" s="3" t="s">
        <v>73</v>
      </c>
      <c r="E3007" s="101"/>
      <c r="F3007" s="101"/>
    </row>
    <row r="3008" spans="1:6" hidden="1" x14ac:dyDescent="0.3">
      <c r="A3008" s="99" t="str">
        <f>BD_ControlRegimen[[#This Row],[FECHA]]&amp;BD_ControlRegimen[[#This Row],[NOMBRE]]</f>
        <v>45002URQUIZA ASCENCIO JORGE LUIS</v>
      </c>
      <c r="B3008" s="100">
        <f>WEEKNUM(BD_ControlRegimen[[#This Row],[FECHA]],2)</f>
        <v>12</v>
      </c>
      <c r="C3008" s="99">
        <v>45002</v>
      </c>
      <c r="D3008" s="3" t="s">
        <v>73</v>
      </c>
      <c r="E3008" s="101"/>
      <c r="F3008" s="101"/>
    </row>
    <row r="3009" spans="1:6" hidden="1" x14ac:dyDescent="0.3">
      <c r="A3009" s="99" t="str">
        <f>BD_ControlRegimen[[#This Row],[FECHA]]&amp;BD_ControlRegimen[[#This Row],[NOMBRE]]</f>
        <v>45003URQUIZA ASCENCIO JORGE LUIS</v>
      </c>
      <c r="B3009" s="100">
        <f>WEEKNUM(BD_ControlRegimen[[#This Row],[FECHA]],2)</f>
        <v>12</v>
      </c>
      <c r="C3009" s="99">
        <v>45003</v>
      </c>
      <c r="D3009" s="3" t="s">
        <v>73</v>
      </c>
      <c r="E3009" s="101"/>
      <c r="F3009" s="101"/>
    </row>
    <row r="3010" spans="1:6" hidden="1" x14ac:dyDescent="0.3">
      <c r="A3010" s="99" t="str">
        <f>BD_ControlRegimen[[#This Row],[FECHA]]&amp;BD_ControlRegimen[[#This Row],[NOMBRE]]</f>
        <v>45004URQUIZA ASCENCIO JORGE LUIS</v>
      </c>
      <c r="B3010" s="100">
        <f>WEEKNUM(BD_ControlRegimen[[#This Row],[FECHA]],2)</f>
        <v>12</v>
      </c>
      <c r="C3010" s="99">
        <v>45004</v>
      </c>
      <c r="D3010" s="3" t="s">
        <v>73</v>
      </c>
      <c r="E3010" s="101"/>
      <c r="F3010" s="101"/>
    </row>
    <row r="3011" spans="1:6" hidden="1" x14ac:dyDescent="0.3">
      <c r="A3011" s="99" t="str">
        <f>BD_ControlRegimen[[#This Row],[FECHA]]&amp;BD_ControlRegimen[[#This Row],[NOMBRE]]</f>
        <v>45005URQUIZA ASCENCIO JORGE LUIS</v>
      </c>
      <c r="B3011" s="100">
        <f>WEEKNUM(BD_ControlRegimen[[#This Row],[FECHA]],2)</f>
        <v>13</v>
      </c>
      <c r="C3011" s="99">
        <v>45005</v>
      </c>
      <c r="D3011" s="3" t="s">
        <v>73</v>
      </c>
      <c r="E3011" s="101"/>
      <c r="F3011" s="101"/>
    </row>
    <row r="3012" spans="1:6" hidden="1" x14ac:dyDescent="0.3">
      <c r="A3012" s="99" t="str">
        <f>BD_ControlRegimen[[#This Row],[FECHA]]&amp;BD_ControlRegimen[[#This Row],[NOMBRE]]</f>
        <v>45006URQUIZA ASCENCIO JORGE LUIS</v>
      </c>
      <c r="B3012" s="100">
        <f>WEEKNUM(BD_ControlRegimen[[#This Row],[FECHA]],2)</f>
        <v>13</v>
      </c>
      <c r="C3012" s="99">
        <v>45006</v>
      </c>
      <c r="D3012" s="3" t="s">
        <v>73</v>
      </c>
      <c r="E3012" s="101"/>
      <c r="F3012" s="101"/>
    </row>
    <row r="3013" spans="1:6" hidden="1" x14ac:dyDescent="0.3">
      <c r="A3013" s="99" t="str">
        <f>BD_ControlRegimen[[#This Row],[FECHA]]&amp;BD_ControlRegimen[[#This Row],[NOMBRE]]</f>
        <v>45007URQUIZA ASCENCIO JORGE LUIS</v>
      </c>
      <c r="B3013" s="100">
        <f>WEEKNUM(BD_ControlRegimen[[#This Row],[FECHA]],2)</f>
        <v>13</v>
      </c>
      <c r="C3013" s="99">
        <v>45007</v>
      </c>
      <c r="D3013" s="3" t="s">
        <v>73</v>
      </c>
      <c r="E3013" s="101"/>
      <c r="F3013" s="101"/>
    </row>
    <row r="3014" spans="1:6" hidden="1" x14ac:dyDescent="0.3">
      <c r="A3014" s="99" t="str">
        <f>BD_ControlRegimen[[#This Row],[FECHA]]&amp;BD_ControlRegimen[[#This Row],[NOMBRE]]</f>
        <v>45008URQUIZA ASCENCIO JORGE LUIS</v>
      </c>
      <c r="B3014" s="100">
        <f>WEEKNUM(BD_ControlRegimen[[#This Row],[FECHA]],2)</f>
        <v>13</v>
      </c>
      <c r="C3014" s="99">
        <v>45008</v>
      </c>
      <c r="D3014" s="3" t="s">
        <v>73</v>
      </c>
      <c r="E3014" s="101"/>
      <c r="F3014" s="101"/>
    </row>
    <row r="3015" spans="1:6" hidden="1" x14ac:dyDescent="0.3">
      <c r="A3015" s="99" t="str">
        <f>BD_ControlRegimen[[#This Row],[FECHA]]&amp;BD_ControlRegimen[[#This Row],[NOMBRE]]</f>
        <v>45009URQUIZA ASCENCIO JORGE LUIS</v>
      </c>
      <c r="B3015" s="100">
        <f>WEEKNUM(BD_ControlRegimen[[#This Row],[FECHA]],2)</f>
        <v>13</v>
      </c>
      <c r="C3015" s="99">
        <v>45009</v>
      </c>
      <c r="D3015" s="3" t="s">
        <v>73</v>
      </c>
      <c r="E3015" s="101"/>
      <c r="F3015" s="101"/>
    </row>
    <row r="3016" spans="1:6" hidden="1" x14ac:dyDescent="0.3">
      <c r="A3016" s="99" t="str">
        <f>BD_ControlRegimen[[#This Row],[FECHA]]&amp;BD_ControlRegimen[[#This Row],[NOMBRE]]</f>
        <v>45010URQUIZA ASCENCIO JORGE LUIS</v>
      </c>
      <c r="B3016" s="100">
        <f>WEEKNUM(BD_ControlRegimen[[#This Row],[FECHA]],2)</f>
        <v>13</v>
      </c>
      <c r="C3016" s="99">
        <v>45010</v>
      </c>
      <c r="D3016" s="3" t="s">
        <v>73</v>
      </c>
      <c r="E3016" s="101"/>
      <c r="F3016" s="101"/>
    </row>
    <row r="3017" spans="1:6" hidden="1" x14ac:dyDescent="0.3">
      <c r="A3017" s="99" t="str">
        <f>BD_ControlRegimen[[#This Row],[FECHA]]&amp;BD_ControlRegimen[[#This Row],[NOMBRE]]</f>
        <v>45011URQUIZA ASCENCIO JORGE LUIS</v>
      </c>
      <c r="B3017" s="100">
        <f>WEEKNUM(BD_ControlRegimen[[#This Row],[FECHA]],2)</f>
        <v>13</v>
      </c>
      <c r="C3017" s="99">
        <v>45011</v>
      </c>
      <c r="D3017" s="3" t="s">
        <v>73</v>
      </c>
      <c r="E3017" s="101"/>
      <c r="F3017" s="101"/>
    </row>
    <row r="3018" spans="1:6" hidden="1" x14ac:dyDescent="0.3">
      <c r="A3018" s="7" t="str">
        <f>BD_ControlRegimen[[#This Row],[FECHA]]&amp;BD_ControlRegimen[[#This Row],[NOMBRE]]</f>
        <v>45012URQUIZA ASCENCIO JORGE LUIS</v>
      </c>
      <c r="B3018" s="83">
        <f>WEEKNUM(BD_ControlRegimen[[#This Row],[FECHA]],2)</f>
        <v>14</v>
      </c>
      <c r="C3018" s="7">
        <v>45012</v>
      </c>
      <c r="D3018" s="3" t="s">
        <v>73</v>
      </c>
      <c r="E3018" s="3"/>
      <c r="F3018" s="3"/>
    </row>
    <row r="3019" spans="1:6" hidden="1" x14ac:dyDescent="0.3">
      <c r="A3019" s="7" t="str">
        <f>BD_ControlRegimen[[#This Row],[FECHA]]&amp;BD_ControlRegimen[[#This Row],[NOMBRE]]</f>
        <v>45013URQUIZA ASCENCIO JORGE LUIS</v>
      </c>
      <c r="B3019" s="83">
        <f>WEEKNUM(BD_ControlRegimen[[#This Row],[FECHA]],2)</f>
        <v>14</v>
      </c>
      <c r="C3019" s="7">
        <v>45013</v>
      </c>
      <c r="D3019" s="3" t="s">
        <v>73</v>
      </c>
      <c r="E3019" s="3"/>
      <c r="F3019" s="3"/>
    </row>
    <row r="3020" spans="1:6" hidden="1" x14ac:dyDescent="0.3">
      <c r="A3020" s="7" t="str">
        <f>BD_ControlRegimen[[#This Row],[FECHA]]&amp;BD_ControlRegimen[[#This Row],[NOMBRE]]</f>
        <v>45014URQUIZA ASCENCIO JORGE LUIS</v>
      </c>
      <c r="B3020" s="83">
        <f>WEEKNUM(BD_ControlRegimen[[#This Row],[FECHA]],2)</f>
        <v>14</v>
      </c>
      <c r="C3020" s="7">
        <v>45014</v>
      </c>
      <c r="D3020" s="3" t="s">
        <v>73</v>
      </c>
      <c r="E3020" s="3"/>
      <c r="F3020" s="3"/>
    </row>
    <row r="3021" spans="1:6" hidden="1" x14ac:dyDescent="0.3">
      <c r="A3021" s="7" t="str">
        <f>BD_ControlRegimen[[#This Row],[FECHA]]&amp;BD_ControlRegimen[[#This Row],[NOMBRE]]</f>
        <v>45015URQUIZA ASCENCIO JORGE LUIS</v>
      </c>
      <c r="B3021" s="83">
        <f>WEEKNUM(BD_ControlRegimen[[#This Row],[FECHA]],2)</f>
        <v>14</v>
      </c>
      <c r="C3021" s="7">
        <v>45015</v>
      </c>
      <c r="D3021" s="3" t="s">
        <v>73</v>
      </c>
      <c r="E3021" s="3"/>
      <c r="F3021" s="3"/>
    </row>
    <row r="3022" spans="1:6" hidden="1" x14ac:dyDescent="0.3">
      <c r="A3022" s="7" t="str">
        <f>BD_ControlRegimen[[#This Row],[FECHA]]&amp;BD_ControlRegimen[[#This Row],[NOMBRE]]</f>
        <v>45016URQUIZA ASCENCIO JORGE LUIS</v>
      </c>
      <c r="B3022" s="83">
        <f>WEEKNUM(BD_ControlRegimen[[#This Row],[FECHA]],2)</f>
        <v>14</v>
      </c>
      <c r="C3022" s="7">
        <v>45016</v>
      </c>
      <c r="D3022" s="3" t="s">
        <v>73</v>
      </c>
      <c r="E3022" s="3"/>
      <c r="F3022" s="3"/>
    </row>
    <row r="3023" spans="1:6" hidden="1" x14ac:dyDescent="0.3">
      <c r="A3023" s="7" t="str">
        <f>BD_ControlRegimen[[#This Row],[FECHA]]&amp;BD_ControlRegimen[[#This Row],[NOMBRE]]</f>
        <v>45017URQUIZA ASCENCIO JORGE LUIS</v>
      </c>
      <c r="B3023" s="83">
        <f>WEEKNUM(BD_ControlRegimen[[#This Row],[FECHA]],2)</f>
        <v>14</v>
      </c>
      <c r="C3023" s="7">
        <v>45017</v>
      </c>
      <c r="D3023" s="3" t="s">
        <v>73</v>
      </c>
      <c r="E3023" s="3"/>
      <c r="F3023" s="3"/>
    </row>
    <row r="3024" spans="1:6" hidden="1" x14ac:dyDescent="0.3">
      <c r="A3024" s="7" t="str">
        <f>BD_ControlRegimen[[#This Row],[FECHA]]&amp;BD_ControlRegimen[[#This Row],[NOMBRE]]</f>
        <v>45018URQUIZA ASCENCIO JORGE LUIS</v>
      </c>
      <c r="B3024" s="83">
        <f>WEEKNUM(BD_ControlRegimen[[#This Row],[FECHA]],2)</f>
        <v>14</v>
      </c>
      <c r="C3024" s="7">
        <v>45018</v>
      </c>
      <c r="D3024" s="3" t="s">
        <v>73</v>
      </c>
      <c r="E3024" s="3"/>
      <c r="F3024" s="3"/>
    </row>
    <row r="3025" spans="1:6" hidden="1" x14ac:dyDescent="0.3">
      <c r="A3025" s="7" t="str">
        <f>BD_ControlRegimen[[#This Row],[FECHA]]&amp;BD_ControlRegimen[[#This Row],[NOMBRE]]</f>
        <v>45019URQUIZA ASCENCIO JORGE LUIS</v>
      </c>
      <c r="B3025" s="83">
        <f>WEEKNUM(BD_ControlRegimen[[#This Row],[FECHA]],2)</f>
        <v>15</v>
      </c>
      <c r="C3025" s="7">
        <v>45019</v>
      </c>
      <c r="D3025" s="3" t="s">
        <v>73</v>
      </c>
      <c r="E3025" s="3"/>
      <c r="F3025" s="3"/>
    </row>
    <row r="3026" spans="1:6" hidden="1" x14ac:dyDescent="0.3">
      <c r="A3026" s="7" t="str">
        <f>BD_ControlRegimen[[#This Row],[FECHA]]&amp;BD_ControlRegimen[[#This Row],[NOMBRE]]</f>
        <v>45020URQUIZA ASCENCIO JORGE LUIS</v>
      </c>
      <c r="B3026" s="83">
        <f>WEEKNUM(BD_ControlRegimen[[#This Row],[FECHA]],2)</f>
        <v>15</v>
      </c>
      <c r="C3026" s="7">
        <v>45020</v>
      </c>
      <c r="D3026" s="3" t="s">
        <v>73</v>
      </c>
      <c r="E3026" s="3"/>
      <c r="F3026" s="3"/>
    </row>
    <row r="3027" spans="1:6" hidden="1" x14ac:dyDescent="0.3">
      <c r="A3027" s="7" t="str">
        <f>BD_ControlRegimen[[#This Row],[FECHA]]&amp;BD_ControlRegimen[[#This Row],[NOMBRE]]</f>
        <v>45021URQUIZA ASCENCIO JORGE LUIS</v>
      </c>
      <c r="B3027" s="83">
        <f>WEEKNUM(BD_ControlRegimen[[#This Row],[FECHA]],2)</f>
        <v>15</v>
      </c>
      <c r="C3027" s="7">
        <v>45021</v>
      </c>
      <c r="D3027" s="3" t="s">
        <v>73</v>
      </c>
      <c r="E3027" s="3"/>
      <c r="F3027" s="3"/>
    </row>
    <row r="3028" spans="1:6" hidden="1" x14ac:dyDescent="0.3">
      <c r="A3028" s="7" t="str">
        <f>BD_ControlRegimen[[#This Row],[FECHA]]&amp;BD_ControlRegimen[[#This Row],[NOMBRE]]</f>
        <v>45022URQUIZA ASCENCIO JORGE LUIS</v>
      </c>
      <c r="B3028" s="83">
        <f>WEEKNUM(BD_ControlRegimen[[#This Row],[FECHA]],2)</f>
        <v>15</v>
      </c>
      <c r="C3028" s="7">
        <v>45022</v>
      </c>
      <c r="D3028" s="3" t="s">
        <v>73</v>
      </c>
      <c r="E3028" s="3"/>
      <c r="F3028" s="3"/>
    </row>
    <row r="3029" spans="1:6" hidden="1" x14ac:dyDescent="0.3">
      <c r="A3029" s="7" t="str">
        <f>BD_ControlRegimen[[#This Row],[FECHA]]&amp;BD_ControlRegimen[[#This Row],[NOMBRE]]</f>
        <v>45023URQUIZA ASCENCIO JORGE LUIS</v>
      </c>
      <c r="B3029" s="83">
        <f>WEEKNUM(BD_ControlRegimen[[#This Row],[FECHA]],2)</f>
        <v>15</v>
      </c>
      <c r="C3029" s="7">
        <v>45023</v>
      </c>
      <c r="D3029" s="3" t="s">
        <v>73</v>
      </c>
      <c r="E3029" s="3"/>
      <c r="F3029" s="3"/>
    </row>
    <row r="3030" spans="1:6" hidden="1" x14ac:dyDescent="0.3">
      <c r="A3030" s="7" t="str">
        <f>BD_ControlRegimen[[#This Row],[FECHA]]&amp;BD_ControlRegimen[[#This Row],[NOMBRE]]</f>
        <v>45024URQUIZA ASCENCIO JORGE LUIS</v>
      </c>
      <c r="B3030" s="83">
        <f>WEEKNUM(BD_ControlRegimen[[#This Row],[FECHA]],2)</f>
        <v>15</v>
      </c>
      <c r="C3030" s="7">
        <v>45024</v>
      </c>
      <c r="D3030" s="3" t="s">
        <v>73</v>
      </c>
      <c r="E3030" s="3"/>
      <c r="F3030" s="3"/>
    </row>
    <row r="3031" spans="1:6" hidden="1" x14ac:dyDescent="0.3">
      <c r="A3031" s="7" t="str">
        <f>BD_ControlRegimen[[#This Row],[FECHA]]&amp;BD_ControlRegimen[[#This Row],[NOMBRE]]</f>
        <v>45025URQUIZA ASCENCIO JORGE LUIS</v>
      </c>
      <c r="B3031" s="83">
        <f>WEEKNUM(BD_ControlRegimen[[#This Row],[FECHA]],2)</f>
        <v>15</v>
      </c>
      <c r="C3031" s="7">
        <v>45025</v>
      </c>
      <c r="D3031" s="3" t="s">
        <v>73</v>
      </c>
      <c r="E3031" s="3"/>
      <c r="F3031" s="3"/>
    </row>
    <row r="3032" spans="1:6" hidden="1" x14ac:dyDescent="0.3">
      <c r="A3032" s="7" t="str">
        <f>BD_ControlRegimen[[#This Row],[FECHA]]&amp;BD_ControlRegimen[[#This Row],[NOMBRE]]</f>
        <v>45026URQUIZA ASCENCIO JORGE LUIS</v>
      </c>
      <c r="B3032" s="83">
        <f>WEEKNUM(BD_ControlRegimen[[#This Row],[FECHA]],2)</f>
        <v>16</v>
      </c>
      <c r="C3032" s="7">
        <v>45026</v>
      </c>
      <c r="D3032" s="3" t="s">
        <v>73</v>
      </c>
      <c r="E3032" s="3"/>
      <c r="F3032" s="3"/>
    </row>
    <row r="3033" spans="1:6" hidden="1" x14ac:dyDescent="0.3">
      <c r="A3033" s="7" t="str">
        <f>BD_ControlRegimen[[#This Row],[FECHA]]&amp;BD_ControlRegimen[[#This Row],[NOMBRE]]</f>
        <v>45027URQUIZA ASCENCIO JORGE LUIS</v>
      </c>
      <c r="B3033" s="83">
        <f>WEEKNUM(BD_ControlRegimen[[#This Row],[FECHA]],2)</f>
        <v>16</v>
      </c>
      <c r="C3033" s="7">
        <v>45027</v>
      </c>
      <c r="D3033" s="3" t="s">
        <v>73</v>
      </c>
      <c r="E3033" s="3"/>
      <c r="F3033" s="3"/>
    </row>
    <row r="3034" spans="1:6" hidden="1" x14ac:dyDescent="0.3">
      <c r="A3034" s="7" t="str">
        <f>BD_ControlRegimen[[#This Row],[FECHA]]&amp;BD_ControlRegimen[[#This Row],[NOMBRE]]</f>
        <v>45028URQUIZA ASCENCIO JORGE LUIS</v>
      </c>
      <c r="B3034" s="83">
        <f>WEEKNUM(BD_ControlRegimen[[#This Row],[FECHA]],2)</f>
        <v>16</v>
      </c>
      <c r="C3034" s="7">
        <v>45028</v>
      </c>
      <c r="D3034" s="3" t="s">
        <v>73</v>
      </c>
      <c r="E3034" s="3"/>
      <c r="F3034" s="3"/>
    </row>
    <row r="3035" spans="1:6" hidden="1" x14ac:dyDescent="0.3">
      <c r="A3035" s="7" t="str">
        <f>BD_ControlRegimen[[#This Row],[FECHA]]&amp;BD_ControlRegimen[[#This Row],[NOMBRE]]</f>
        <v>45029URQUIZA ASCENCIO JORGE LUIS</v>
      </c>
      <c r="B3035" s="83">
        <f>WEEKNUM(BD_ControlRegimen[[#This Row],[FECHA]],2)</f>
        <v>16</v>
      </c>
      <c r="C3035" s="7">
        <v>45029</v>
      </c>
      <c r="D3035" s="3" t="s">
        <v>73</v>
      </c>
      <c r="E3035" s="3"/>
      <c r="F3035" s="3"/>
    </row>
    <row r="3036" spans="1:6" hidden="1" x14ac:dyDescent="0.3">
      <c r="A3036" s="7" t="str">
        <f>BD_ControlRegimen[[#This Row],[FECHA]]&amp;BD_ControlRegimen[[#This Row],[NOMBRE]]</f>
        <v>45030URQUIZA ASCENCIO JORGE LUIS</v>
      </c>
      <c r="B3036" s="83">
        <f>WEEKNUM(BD_ControlRegimen[[#This Row],[FECHA]],2)</f>
        <v>16</v>
      </c>
      <c r="C3036" s="7">
        <v>45030</v>
      </c>
      <c r="D3036" s="3" t="s">
        <v>73</v>
      </c>
      <c r="E3036" s="3"/>
      <c r="F3036" s="3"/>
    </row>
    <row r="3037" spans="1:6" hidden="1" x14ac:dyDescent="0.3">
      <c r="A3037" s="7" t="str">
        <f>BD_ControlRegimen[[#This Row],[FECHA]]&amp;BD_ControlRegimen[[#This Row],[NOMBRE]]</f>
        <v>45031URQUIZA ASCENCIO JORGE LUIS</v>
      </c>
      <c r="B3037" s="83">
        <f>WEEKNUM(BD_ControlRegimen[[#This Row],[FECHA]],2)</f>
        <v>16</v>
      </c>
      <c r="C3037" s="7">
        <v>45031</v>
      </c>
      <c r="D3037" s="3" t="s">
        <v>73</v>
      </c>
      <c r="E3037" s="3"/>
      <c r="F3037" s="3"/>
    </row>
    <row r="3038" spans="1:6" hidden="1" x14ac:dyDescent="0.3">
      <c r="A3038" s="7" t="str">
        <f>BD_ControlRegimen[[#This Row],[FECHA]]&amp;BD_ControlRegimen[[#This Row],[NOMBRE]]</f>
        <v>45032URQUIZA ASCENCIO JORGE LUIS</v>
      </c>
      <c r="B3038" s="83">
        <f>WEEKNUM(BD_ControlRegimen[[#This Row],[FECHA]],2)</f>
        <v>16</v>
      </c>
      <c r="C3038" s="7">
        <v>45032</v>
      </c>
      <c r="D3038" s="3" t="s">
        <v>73</v>
      </c>
      <c r="E3038" s="3"/>
      <c r="F3038" s="3"/>
    </row>
    <row r="3039" spans="1:6" hidden="1" x14ac:dyDescent="0.3">
      <c r="A3039" s="7" t="str">
        <f>BD_ControlRegimen[[#This Row],[FECHA]]&amp;BD_ControlRegimen[[#This Row],[NOMBRE]]</f>
        <v>45033URQUIZA ASCENCIO JORGE LUIS</v>
      </c>
      <c r="B3039" s="83">
        <f>WEEKNUM(BD_ControlRegimen[[#This Row],[FECHA]],2)</f>
        <v>17</v>
      </c>
      <c r="C3039" s="7">
        <v>45033</v>
      </c>
      <c r="D3039" s="3" t="s">
        <v>73</v>
      </c>
      <c r="E3039" s="3"/>
      <c r="F3039" s="3"/>
    </row>
    <row r="3040" spans="1:6" hidden="1" x14ac:dyDescent="0.3">
      <c r="A3040" s="7" t="str">
        <f>BD_ControlRegimen[[#This Row],[FECHA]]&amp;BD_ControlRegimen[[#This Row],[NOMBRE]]</f>
        <v>45034URQUIZA ASCENCIO JORGE LUIS</v>
      </c>
      <c r="B3040" s="83">
        <f>WEEKNUM(BD_ControlRegimen[[#This Row],[FECHA]],2)</f>
        <v>17</v>
      </c>
      <c r="C3040" s="7">
        <v>45034</v>
      </c>
      <c r="D3040" s="3" t="s">
        <v>73</v>
      </c>
      <c r="E3040" s="3"/>
      <c r="F3040" s="3"/>
    </row>
    <row r="3041" spans="1:6" hidden="1" x14ac:dyDescent="0.3">
      <c r="A3041" s="7" t="str">
        <f>BD_ControlRegimen[[#This Row],[FECHA]]&amp;BD_ControlRegimen[[#This Row],[NOMBRE]]</f>
        <v>45035URQUIZA ASCENCIO JORGE LUIS</v>
      </c>
      <c r="B3041" s="83">
        <f>WEEKNUM(BD_ControlRegimen[[#This Row],[FECHA]],2)</f>
        <v>17</v>
      </c>
      <c r="C3041" s="7">
        <v>45035</v>
      </c>
      <c r="D3041" s="3" t="s">
        <v>73</v>
      </c>
      <c r="E3041" s="3"/>
      <c r="F3041" s="3"/>
    </row>
    <row r="3042" spans="1:6" hidden="1" x14ac:dyDescent="0.3">
      <c r="A3042" s="14" t="str">
        <f>BD_ControlRegimen[[#This Row],[FECHA]]&amp;BD_ControlRegimen[[#This Row],[NOMBRE]]</f>
        <v>45036URQUIZA ASCENCIO JORGE LUIS</v>
      </c>
      <c r="B3042" s="105">
        <f>WEEKNUM(BD_ControlRegimen[[#This Row],[FECHA]],2)</f>
        <v>17</v>
      </c>
      <c r="C3042" s="14">
        <v>45036</v>
      </c>
      <c r="D3042" s="3" t="s">
        <v>73</v>
      </c>
      <c r="E3042" s="97"/>
      <c r="F3042" s="97"/>
    </row>
    <row r="3043" spans="1:6" hidden="1" x14ac:dyDescent="0.3">
      <c r="A3043" s="7" t="str">
        <f>BD_ControlRegimen[[#This Row],[FECHA]]&amp;BD_ControlRegimen[[#This Row],[NOMBRE]]</f>
        <v>45037URQUIZA ASCENCIO JORGE LUIS</v>
      </c>
      <c r="B3043" s="83">
        <f>WEEKNUM(BD_ControlRegimen[[#This Row],[FECHA]],2)</f>
        <v>17</v>
      </c>
      <c r="C3043" s="7">
        <v>45037</v>
      </c>
      <c r="D3043" s="3" t="s">
        <v>73</v>
      </c>
      <c r="E3043" s="3"/>
      <c r="F3043" s="3"/>
    </row>
    <row r="3044" spans="1:6" hidden="1" x14ac:dyDescent="0.3">
      <c r="A3044" s="7" t="str">
        <f>BD_ControlRegimen[[#This Row],[FECHA]]&amp;BD_ControlRegimen[[#This Row],[NOMBRE]]</f>
        <v>45038URQUIZA ASCENCIO JORGE LUIS</v>
      </c>
      <c r="B3044" s="83">
        <f>WEEKNUM(BD_ControlRegimen[[#This Row],[FECHA]],2)</f>
        <v>17</v>
      </c>
      <c r="C3044" s="7">
        <v>45038</v>
      </c>
      <c r="D3044" s="3" t="s">
        <v>73</v>
      </c>
      <c r="E3044" s="3"/>
      <c r="F3044" s="3"/>
    </row>
    <row r="3045" spans="1:6" hidden="1" x14ac:dyDescent="0.3">
      <c r="A3045" s="7" t="str">
        <f>BD_ControlRegimen[[#This Row],[FECHA]]&amp;BD_ControlRegimen[[#This Row],[NOMBRE]]</f>
        <v>45039URQUIZA ASCENCIO JORGE LUIS</v>
      </c>
      <c r="B3045" s="83">
        <f>WEEKNUM(BD_ControlRegimen[[#This Row],[FECHA]],2)</f>
        <v>17</v>
      </c>
      <c r="C3045" s="7">
        <v>45039</v>
      </c>
      <c r="D3045" s="3" t="s">
        <v>73</v>
      </c>
      <c r="E3045" s="3"/>
      <c r="F3045" s="3"/>
    </row>
    <row r="3046" spans="1:6" x14ac:dyDescent="0.3">
      <c r="A3046" s="7" t="str">
        <f>BD_ControlRegimen[[#This Row],[FECHA]]&amp;BD_ControlRegimen[[#This Row],[NOMBRE]]</f>
        <v>45040URQUIZA ASCENCIO JORGE LUIS</v>
      </c>
      <c r="B3046" s="83">
        <f>WEEKNUM(BD_ControlRegimen[[#This Row],[FECHA]],2)</f>
        <v>18</v>
      </c>
      <c r="C3046" s="7">
        <v>45040</v>
      </c>
      <c r="D3046" s="3" t="s">
        <v>73</v>
      </c>
      <c r="E3046" s="3" t="s">
        <v>154</v>
      </c>
      <c r="F3046" s="3"/>
    </row>
    <row r="3047" spans="1:6" x14ac:dyDescent="0.3">
      <c r="A3047" s="7" t="str">
        <f>BD_ControlRegimen[[#This Row],[FECHA]]&amp;BD_ControlRegimen[[#This Row],[NOMBRE]]</f>
        <v>45041URQUIZA ASCENCIO JORGE LUIS</v>
      </c>
      <c r="B3047" s="83">
        <f>WEEKNUM(BD_ControlRegimen[[#This Row],[FECHA]],2)</f>
        <v>18</v>
      </c>
      <c r="C3047" s="7">
        <v>45041</v>
      </c>
      <c r="D3047" s="3" t="s">
        <v>73</v>
      </c>
      <c r="E3047" s="3" t="s">
        <v>154</v>
      </c>
      <c r="F3047" s="3"/>
    </row>
    <row r="3048" spans="1:6" x14ac:dyDescent="0.3">
      <c r="A3048" s="7" t="str">
        <f>BD_ControlRegimen[[#This Row],[FECHA]]&amp;BD_ControlRegimen[[#This Row],[NOMBRE]]</f>
        <v>45042URQUIZA ASCENCIO JORGE LUIS</v>
      </c>
      <c r="B3048" s="83">
        <f>WEEKNUM(BD_ControlRegimen[[#This Row],[FECHA]],2)</f>
        <v>18</v>
      </c>
      <c r="C3048" s="7">
        <v>45042</v>
      </c>
      <c r="D3048" s="3" t="s">
        <v>73</v>
      </c>
      <c r="E3048" s="3" t="s">
        <v>154</v>
      </c>
      <c r="F3048" s="3"/>
    </row>
    <row r="3049" spans="1:6" x14ac:dyDescent="0.3">
      <c r="A3049" s="7" t="str">
        <f>BD_ControlRegimen[[#This Row],[FECHA]]&amp;BD_ControlRegimen[[#This Row],[NOMBRE]]</f>
        <v>45043URQUIZA ASCENCIO JORGE LUIS</v>
      </c>
      <c r="B3049" s="83">
        <f>WEEKNUM(BD_ControlRegimen[[#This Row],[FECHA]],2)</f>
        <v>18</v>
      </c>
      <c r="C3049" s="7">
        <v>45043</v>
      </c>
      <c r="D3049" s="3" t="s">
        <v>73</v>
      </c>
      <c r="E3049" s="3" t="s">
        <v>154</v>
      </c>
      <c r="F3049" s="3"/>
    </row>
    <row r="3050" spans="1:6" x14ac:dyDescent="0.3">
      <c r="A3050" s="7" t="str">
        <f>BD_ControlRegimen[[#This Row],[FECHA]]&amp;BD_ControlRegimen[[#This Row],[NOMBRE]]</f>
        <v>45044URQUIZA ASCENCIO JORGE LUIS</v>
      </c>
      <c r="B3050" s="83">
        <f>WEEKNUM(BD_ControlRegimen[[#This Row],[FECHA]],2)</f>
        <v>18</v>
      </c>
      <c r="C3050" s="7">
        <v>45044</v>
      </c>
      <c r="D3050" s="3" t="s">
        <v>73</v>
      </c>
      <c r="E3050" s="3" t="s">
        <v>154</v>
      </c>
      <c r="F3050" s="3"/>
    </row>
    <row r="3051" spans="1:6" x14ac:dyDescent="0.3">
      <c r="A3051" s="7" t="str">
        <f>BD_ControlRegimen[[#This Row],[FECHA]]&amp;BD_ControlRegimen[[#This Row],[NOMBRE]]</f>
        <v>45045URQUIZA ASCENCIO JORGE LUIS</v>
      </c>
      <c r="B3051" s="83">
        <f>WEEKNUM(BD_ControlRegimen[[#This Row],[FECHA]],2)</f>
        <v>18</v>
      </c>
      <c r="C3051" s="7">
        <v>45045</v>
      </c>
      <c r="D3051" s="3" t="s">
        <v>73</v>
      </c>
      <c r="E3051" s="3" t="s">
        <v>154</v>
      </c>
      <c r="F3051" s="3"/>
    </row>
    <row r="3052" spans="1:6" x14ac:dyDescent="0.3">
      <c r="A3052" s="7" t="str">
        <f>BD_ControlRegimen[[#This Row],[FECHA]]&amp;BD_ControlRegimen[[#This Row],[NOMBRE]]</f>
        <v>45046URQUIZA ASCENCIO JORGE LUIS</v>
      </c>
      <c r="B3052" s="83">
        <f>WEEKNUM(BD_ControlRegimen[[#This Row],[FECHA]],2)</f>
        <v>18</v>
      </c>
      <c r="C3052" s="7">
        <v>45046</v>
      </c>
      <c r="D3052" s="3" t="s">
        <v>73</v>
      </c>
      <c r="E3052" s="3" t="s">
        <v>154</v>
      </c>
      <c r="F3052" s="3"/>
    </row>
    <row r="3053" spans="1:6" x14ac:dyDescent="0.3">
      <c r="A3053" s="7" t="str">
        <f>BD_ControlRegimen[[#This Row],[FECHA]]&amp;BD_ControlRegimen[[#This Row],[NOMBRE]]</f>
        <v>45047URQUIZA ASCENCIO JORGE LUIS</v>
      </c>
      <c r="B3053" s="83">
        <f>WEEKNUM(BD_ControlRegimen[[#This Row],[FECHA]],2)</f>
        <v>19</v>
      </c>
      <c r="C3053" s="7">
        <v>45047</v>
      </c>
      <c r="D3053" s="3" t="s">
        <v>73</v>
      </c>
      <c r="E3053" s="3" t="s">
        <v>154</v>
      </c>
      <c r="F3053" s="3"/>
    </row>
    <row r="3054" spans="1:6" x14ac:dyDescent="0.3">
      <c r="A3054" s="7" t="str">
        <f>BD_ControlRegimen[[#This Row],[FECHA]]&amp;BD_ControlRegimen[[#This Row],[NOMBRE]]</f>
        <v>45048URQUIZA ASCENCIO JORGE LUIS</v>
      </c>
      <c r="B3054" s="83">
        <f>WEEKNUM(BD_ControlRegimen[[#This Row],[FECHA]],2)</f>
        <v>19</v>
      </c>
      <c r="C3054" s="7">
        <v>45048</v>
      </c>
      <c r="D3054" s="3" t="s">
        <v>73</v>
      </c>
      <c r="E3054" s="3" t="s">
        <v>154</v>
      </c>
      <c r="F3054" s="3"/>
    </row>
    <row r="3055" spans="1:6" x14ac:dyDescent="0.3">
      <c r="A3055" s="7" t="str">
        <f>BD_ControlRegimen[[#This Row],[FECHA]]&amp;BD_ControlRegimen[[#This Row],[NOMBRE]]</f>
        <v>45049URQUIZA ASCENCIO JORGE LUIS</v>
      </c>
      <c r="B3055" s="83">
        <f>WEEKNUM(BD_ControlRegimen[[#This Row],[FECHA]],2)</f>
        <v>19</v>
      </c>
      <c r="C3055" s="7">
        <v>45049</v>
      </c>
      <c r="D3055" s="3" t="s">
        <v>73</v>
      </c>
      <c r="E3055" s="3" t="s">
        <v>154</v>
      </c>
      <c r="F3055" s="3"/>
    </row>
    <row r="3056" spans="1:6" x14ac:dyDescent="0.3">
      <c r="A3056" s="7" t="str">
        <f>BD_ControlRegimen[[#This Row],[FECHA]]&amp;BD_ControlRegimen[[#This Row],[NOMBRE]]</f>
        <v>45050URQUIZA ASCENCIO JORGE LUIS</v>
      </c>
      <c r="B3056" s="83">
        <f>WEEKNUM(BD_ControlRegimen[[#This Row],[FECHA]],2)</f>
        <v>19</v>
      </c>
      <c r="C3056" s="7">
        <v>45050</v>
      </c>
      <c r="D3056" s="3" t="s">
        <v>73</v>
      </c>
      <c r="E3056" s="3" t="s">
        <v>154</v>
      </c>
      <c r="F3056" s="3"/>
    </row>
    <row r="3057" spans="1:6" x14ac:dyDescent="0.3">
      <c r="A3057" s="7" t="str">
        <f>BD_ControlRegimen[[#This Row],[FECHA]]&amp;BD_ControlRegimen[[#This Row],[NOMBRE]]</f>
        <v>45051URQUIZA ASCENCIO JORGE LUIS</v>
      </c>
      <c r="B3057" s="83">
        <f>WEEKNUM(BD_ControlRegimen[[#This Row],[FECHA]],2)</f>
        <v>19</v>
      </c>
      <c r="C3057" s="7">
        <v>45051</v>
      </c>
      <c r="D3057" s="3" t="s">
        <v>73</v>
      </c>
      <c r="E3057" s="3" t="s">
        <v>154</v>
      </c>
      <c r="F3057" s="3"/>
    </row>
    <row r="3058" spans="1:6" x14ac:dyDescent="0.3">
      <c r="A3058" s="7" t="str">
        <f>BD_ControlRegimen[[#This Row],[FECHA]]&amp;BD_ControlRegimen[[#This Row],[NOMBRE]]</f>
        <v>45052URQUIZA ASCENCIO JORGE LUIS</v>
      </c>
      <c r="B3058" s="83">
        <f>WEEKNUM(BD_ControlRegimen[[#This Row],[FECHA]],2)</f>
        <v>19</v>
      </c>
      <c r="C3058" s="7">
        <v>45052</v>
      </c>
      <c r="D3058" s="3" t="s">
        <v>73</v>
      </c>
      <c r="E3058" s="3" t="s">
        <v>154</v>
      </c>
      <c r="F3058" s="3"/>
    </row>
    <row r="3059" spans="1:6" x14ac:dyDescent="0.3">
      <c r="A3059" s="7" t="str">
        <f>BD_ControlRegimen[[#This Row],[FECHA]]&amp;BD_ControlRegimen[[#This Row],[NOMBRE]]</f>
        <v>45053URQUIZA ASCENCIO JORGE LUIS</v>
      </c>
      <c r="B3059" s="83">
        <f>WEEKNUM(BD_ControlRegimen[[#This Row],[FECHA]],2)</f>
        <v>19</v>
      </c>
      <c r="C3059" s="7">
        <v>45053</v>
      </c>
      <c r="D3059" s="3" t="s">
        <v>73</v>
      </c>
      <c r="E3059" s="3" t="s">
        <v>154</v>
      </c>
      <c r="F3059" s="3"/>
    </row>
    <row r="3060" spans="1:6" x14ac:dyDescent="0.3">
      <c r="A3060" s="7" t="str">
        <f>BD_ControlRegimen[[#This Row],[FECHA]]&amp;BD_ControlRegimen[[#This Row],[NOMBRE]]</f>
        <v>45054URQUIZA ASCENCIO JORGE LUIS</v>
      </c>
      <c r="B3060" s="83">
        <f>WEEKNUM(BD_ControlRegimen[[#This Row],[FECHA]],2)</f>
        <v>20</v>
      </c>
      <c r="C3060" s="7">
        <v>45054</v>
      </c>
      <c r="D3060" s="3" t="s">
        <v>73</v>
      </c>
      <c r="E3060" s="3" t="s">
        <v>154</v>
      </c>
      <c r="F3060" s="3"/>
    </row>
    <row r="3061" spans="1:6" x14ac:dyDescent="0.3">
      <c r="A3061" s="7" t="str">
        <f>BD_ControlRegimen[[#This Row],[FECHA]]&amp;BD_ControlRegimen[[#This Row],[NOMBRE]]</f>
        <v>45055URQUIZA ASCENCIO JORGE LUIS</v>
      </c>
      <c r="B3061" s="83">
        <f>WEEKNUM(BD_ControlRegimen[[#This Row],[FECHA]],2)</f>
        <v>20</v>
      </c>
      <c r="C3061" s="7">
        <v>45055</v>
      </c>
      <c r="D3061" s="3" t="s">
        <v>73</v>
      </c>
      <c r="E3061" s="3" t="s">
        <v>154</v>
      </c>
      <c r="F3061" s="3"/>
    </row>
    <row r="3062" spans="1:6" x14ac:dyDescent="0.3">
      <c r="A3062" s="7" t="str">
        <f>BD_ControlRegimen[[#This Row],[FECHA]]&amp;BD_ControlRegimen[[#This Row],[NOMBRE]]</f>
        <v>45056URQUIZA ASCENCIO JORGE LUIS</v>
      </c>
      <c r="B3062" s="83">
        <f>WEEKNUM(BD_ControlRegimen[[#This Row],[FECHA]],2)</f>
        <v>20</v>
      </c>
      <c r="C3062" s="7">
        <v>45056</v>
      </c>
      <c r="D3062" s="3" t="s">
        <v>73</v>
      </c>
      <c r="E3062" s="3" t="s">
        <v>154</v>
      </c>
      <c r="F3062" s="3"/>
    </row>
    <row r="3063" spans="1:6" x14ac:dyDescent="0.3">
      <c r="A3063" s="7" t="str">
        <f>BD_ControlRegimen[[#This Row],[FECHA]]&amp;BD_ControlRegimen[[#This Row],[NOMBRE]]</f>
        <v>45057URQUIZA ASCENCIO JORGE LUIS</v>
      </c>
      <c r="B3063" s="83">
        <f>WEEKNUM(BD_ControlRegimen[[#This Row],[FECHA]],2)</f>
        <v>20</v>
      </c>
      <c r="C3063" s="7">
        <v>45057</v>
      </c>
      <c r="D3063" s="3" t="s">
        <v>73</v>
      </c>
      <c r="E3063" s="3" t="s">
        <v>154</v>
      </c>
      <c r="F3063" s="3"/>
    </row>
    <row r="3064" spans="1:6" x14ac:dyDescent="0.3">
      <c r="A3064" s="7" t="str">
        <f>BD_ControlRegimen[[#This Row],[FECHA]]&amp;BD_ControlRegimen[[#This Row],[NOMBRE]]</f>
        <v>45058URQUIZA ASCENCIO JORGE LUIS</v>
      </c>
      <c r="B3064" s="83">
        <f>WEEKNUM(BD_ControlRegimen[[#This Row],[FECHA]],2)</f>
        <v>20</v>
      </c>
      <c r="C3064" s="7">
        <v>45058</v>
      </c>
      <c r="D3064" s="3" t="s">
        <v>73</v>
      </c>
      <c r="E3064" s="3" t="s">
        <v>154</v>
      </c>
      <c r="F3064" s="3"/>
    </row>
    <row r="3065" spans="1:6" x14ac:dyDescent="0.3">
      <c r="A3065" s="7" t="str">
        <f>BD_ControlRegimen[[#This Row],[FECHA]]&amp;BD_ControlRegimen[[#This Row],[NOMBRE]]</f>
        <v>45059URQUIZA ASCENCIO JORGE LUIS</v>
      </c>
      <c r="B3065" s="83">
        <f>WEEKNUM(BD_ControlRegimen[[#This Row],[FECHA]],2)</f>
        <v>20</v>
      </c>
      <c r="C3065" s="7">
        <v>45059</v>
      </c>
      <c r="D3065" s="3" t="s">
        <v>73</v>
      </c>
      <c r="E3065" s="3" t="s">
        <v>154</v>
      </c>
      <c r="F3065" s="3"/>
    </row>
    <row r="3066" spans="1:6" x14ac:dyDescent="0.3">
      <c r="A3066" s="7" t="str">
        <f>BD_ControlRegimen[[#This Row],[FECHA]]&amp;BD_ControlRegimen[[#This Row],[NOMBRE]]</f>
        <v>45060URQUIZA ASCENCIO JORGE LUIS</v>
      </c>
      <c r="B3066" s="83">
        <f>WEEKNUM(BD_ControlRegimen[[#This Row],[FECHA]],2)</f>
        <v>20</v>
      </c>
      <c r="C3066" s="7">
        <v>45060</v>
      </c>
      <c r="D3066" s="3" t="s">
        <v>73</v>
      </c>
      <c r="E3066" s="3" t="s">
        <v>154</v>
      </c>
      <c r="F3066" s="3"/>
    </row>
    <row r="3067" spans="1:6" x14ac:dyDescent="0.3">
      <c r="A3067" s="7" t="str">
        <f>BD_ControlRegimen[[#This Row],[FECHA]]&amp;BD_ControlRegimen[[#This Row],[NOMBRE]]</f>
        <v>45061URQUIZA ASCENCIO JORGE LUIS</v>
      </c>
      <c r="B3067" s="83">
        <f>WEEKNUM(BD_ControlRegimen[[#This Row],[FECHA]],2)</f>
        <v>21</v>
      </c>
      <c r="C3067" s="7">
        <v>45061</v>
      </c>
      <c r="D3067" s="3" t="s">
        <v>73</v>
      </c>
      <c r="E3067" s="3" t="s">
        <v>155</v>
      </c>
      <c r="F3067" s="3"/>
    </row>
    <row r="3068" spans="1:6" x14ac:dyDescent="0.3">
      <c r="A3068" s="7" t="str">
        <f>BD_ControlRegimen[[#This Row],[FECHA]]&amp;BD_ControlRegimen[[#This Row],[NOMBRE]]</f>
        <v>45062URQUIZA ASCENCIO JORGE LUIS</v>
      </c>
      <c r="B3068" s="83">
        <f>WEEKNUM(BD_ControlRegimen[[#This Row],[FECHA]],2)</f>
        <v>21</v>
      </c>
      <c r="C3068" s="7">
        <v>45062</v>
      </c>
      <c r="D3068" s="3" t="s">
        <v>73</v>
      </c>
      <c r="E3068" s="3" t="s">
        <v>155</v>
      </c>
      <c r="F3068" s="3"/>
    </row>
    <row r="3069" spans="1:6" x14ac:dyDescent="0.3">
      <c r="A3069" s="7" t="str">
        <f>BD_ControlRegimen[[#This Row],[FECHA]]&amp;BD_ControlRegimen[[#This Row],[NOMBRE]]</f>
        <v>45063URQUIZA ASCENCIO JORGE LUIS</v>
      </c>
      <c r="B3069" s="83">
        <f>WEEKNUM(BD_ControlRegimen[[#This Row],[FECHA]],2)</f>
        <v>21</v>
      </c>
      <c r="C3069" s="7">
        <v>45063</v>
      </c>
      <c r="D3069" s="3" t="s">
        <v>73</v>
      </c>
      <c r="E3069" s="3" t="s">
        <v>155</v>
      </c>
      <c r="F3069" s="3"/>
    </row>
    <row r="3070" spans="1:6" x14ac:dyDescent="0.3">
      <c r="A3070" s="7" t="str">
        <f>BD_ControlRegimen[[#This Row],[FECHA]]&amp;BD_ControlRegimen[[#This Row],[NOMBRE]]</f>
        <v>45064URQUIZA ASCENCIO JORGE LUIS</v>
      </c>
      <c r="B3070" s="83">
        <f>WEEKNUM(BD_ControlRegimen[[#This Row],[FECHA]],2)</f>
        <v>21</v>
      </c>
      <c r="C3070" s="7">
        <v>45064</v>
      </c>
      <c r="D3070" s="3" t="s">
        <v>73</v>
      </c>
      <c r="E3070" s="3" t="s">
        <v>155</v>
      </c>
      <c r="F3070" s="3"/>
    </row>
    <row r="3071" spans="1:6" x14ac:dyDescent="0.3">
      <c r="A3071" s="7" t="str">
        <f>BD_ControlRegimen[[#This Row],[FECHA]]&amp;BD_ControlRegimen[[#This Row],[NOMBRE]]</f>
        <v>45065URQUIZA ASCENCIO JORGE LUIS</v>
      </c>
      <c r="B3071" s="83">
        <f>WEEKNUM(BD_ControlRegimen[[#This Row],[FECHA]],2)</f>
        <v>21</v>
      </c>
      <c r="C3071" s="7">
        <v>45065</v>
      </c>
      <c r="D3071" s="3" t="s">
        <v>73</v>
      </c>
      <c r="E3071" s="3" t="s">
        <v>155</v>
      </c>
      <c r="F3071" s="3"/>
    </row>
    <row r="3072" spans="1:6" x14ac:dyDescent="0.3">
      <c r="A3072" s="7" t="str">
        <f>BD_ControlRegimen[[#This Row],[FECHA]]&amp;BD_ControlRegimen[[#This Row],[NOMBRE]]</f>
        <v>45066URQUIZA ASCENCIO JORGE LUIS</v>
      </c>
      <c r="B3072" s="83">
        <f>WEEKNUM(BD_ControlRegimen[[#This Row],[FECHA]],2)</f>
        <v>21</v>
      </c>
      <c r="C3072" s="7">
        <v>45066</v>
      </c>
      <c r="D3072" s="3" t="s">
        <v>73</v>
      </c>
      <c r="E3072" s="3" t="s">
        <v>155</v>
      </c>
      <c r="F3072" s="3"/>
    </row>
    <row r="3073" spans="1:6" x14ac:dyDescent="0.3">
      <c r="A3073" s="7" t="str">
        <f>BD_ControlRegimen[[#This Row],[FECHA]]&amp;BD_ControlRegimen[[#This Row],[NOMBRE]]</f>
        <v>45067URQUIZA ASCENCIO JORGE LUIS</v>
      </c>
      <c r="B3073" s="83">
        <f>WEEKNUM(BD_ControlRegimen[[#This Row],[FECHA]],2)</f>
        <v>21</v>
      </c>
      <c r="C3073" s="7">
        <v>45067</v>
      </c>
      <c r="D3073" s="3" t="s">
        <v>73</v>
      </c>
      <c r="E3073" s="3" t="s">
        <v>155</v>
      </c>
      <c r="F3073" s="3"/>
    </row>
    <row r="3074" spans="1:6" hidden="1" x14ac:dyDescent="0.3">
      <c r="A3074" s="7" t="str">
        <f>BD_ControlRegimen[[#This Row],[FECHA]]&amp;BD_ControlRegimen[[#This Row],[NOMBRE]]</f>
        <v>45068URQUIZA ASCENCIO JORGE LUIS</v>
      </c>
      <c r="B3074" s="83">
        <f>WEEKNUM(BD_ControlRegimen[[#This Row],[FECHA]],2)</f>
        <v>22</v>
      </c>
      <c r="C3074" s="7">
        <v>45068</v>
      </c>
      <c r="D3074" s="3" t="s">
        <v>73</v>
      </c>
      <c r="E3074" s="3"/>
      <c r="F3074" s="3"/>
    </row>
    <row r="3075" spans="1:6" hidden="1" x14ac:dyDescent="0.3">
      <c r="A3075" s="7" t="str">
        <f>BD_ControlRegimen[[#This Row],[FECHA]]&amp;BD_ControlRegimen[[#This Row],[NOMBRE]]</f>
        <v>45069URQUIZA ASCENCIO JORGE LUIS</v>
      </c>
      <c r="B3075" s="83">
        <f>WEEKNUM(BD_ControlRegimen[[#This Row],[FECHA]],2)</f>
        <v>22</v>
      </c>
      <c r="C3075" s="7">
        <v>45069</v>
      </c>
      <c r="D3075" s="3" t="s">
        <v>73</v>
      </c>
      <c r="E3075" s="3"/>
      <c r="F3075" s="3"/>
    </row>
    <row r="3076" spans="1:6" hidden="1" x14ac:dyDescent="0.3">
      <c r="A3076" s="7" t="str">
        <f>BD_ControlRegimen[[#This Row],[FECHA]]&amp;BD_ControlRegimen[[#This Row],[NOMBRE]]</f>
        <v>45070URQUIZA ASCENCIO JORGE LUIS</v>
      </c>
      <c r="B3076" s="83">
        <f>WEEKNUM(BD_ControlRegimen[[#This Row],[FECHA]],2)</f>
        <v>22</v>
      </c>
      <c r="C3076" s="7">
        <v>45070</v>
      </c>
      <c r="D3076" s="3" t="s">
        <v>73</v>
      </c>
      <c r="E3076" s="3"/>
      <c r="F3076" s="3"/>
    </row>
    <row r="3077" spans="1:6" hidden="1" x14ac:dyDescent="0.3">
      <c r="A3077" s="7" t="str">
        <f>BD_ControlRegimen[[#This Row],[FECHA]]&amp;BD_ControlRegimen[[#This Row],[NOMBRE]]</f>
        <v>45071URQUIZA ASCENCIO JORGE LUIS</v>
      </c>
      <c r="B3077" s="83">
        <f>WEEKNUM(BD_ControlRegimen[[#This Row],[FECHA]],2)</f>
        <v>22</v>
      </c>
      <c r="C3077" s="7">
        <v>45071</v>
      </c>
      <c r="D3077" s="3" t="s">
        <v>73</v>
      </c>
      <c r="E3077" s="3"/>
      <c r="F3077" s="3"/>
    </row>
    <row r="3078" spans="1:6" hidden="1" x14ac:dyDescent="0.3">
      <c r="A3078" s="7" t="str">
        <f>BD_ControlRegimen[[#This Row],[FECHA]]&amp;BD_ControlRegimen[[#This Row],[NOMBRE]]</f>
        <v>45072URQUIZA ASCENCIO JORGE LUIS</v>
      </c>
      <c r="B3078" s="83">
        <f>WEEKNUM(BD_ControlRegimen[[#This Row],[FECHA]],2)</f>
        <v>22</v>
      </c>
      <c r="C3078" s="7">
        <v>45072</v>
      </c>
      <c r="D3078" s="3" t="s">
        <v>73</v>
      </c>
      <c r="E3078" s="3"/>
      <c r="F3078" s="3"/>
    </row>
    <row r="3079" spans="1:6" hidden="1" x14ac:dyDescent="0.3">
      <c r="A3079" s="7" t="str">
        <f>BD_ControlRegimen[[#This Row],[FECHA]]&amp;BD_ControlRegimen[[#This Row],[NOMBRE]]</f>
        <v>45073URQUIZA ASCENCIO JORGE LUIS</v>
      </c>
      <c r="B3079" s="83">
        <f>WEEKNUM(BD_ControlRegimen[[#This Row],[FECHA]],2)</f>
        <v>22</v>
      </c>
      <c r="C3079" s="7">
        <v>45073</v>
      </c>
      <c r="D3079" s="3" t="s">
        <v>73</v>
      </c>
      <c r="E3079" s="3"/>
      <c r="F3079" s="3"/>
    </row>
    <row r="3080" spans="1:6" hidden="1" x14ac:dyDescent="0.3">
      <c r="A3080" s="7" t="str">
        <f>BD_ControlRegimen[[#This Row],[FECHA]]&amp;BD_ControlRegimen[[#This Row],[NOMBRE]]</f>
        <v>45074URQUIZA ASCENCIO JORGE LUIS</v>
      </c>
      <c r="B3080" s="83">
        <f>WEEKNUM(BD_ControlRegimen[[#This Row],[FECHA]],2)</f>
        <v>22</v>
      </c>
      <c r="C3080" s="7">
        <v>45074</v>
      </c>
      <c r="D3080" s="3" t="s">
        <v>73</v>
      </c>
      <c r="E3080" s="3"/>
      <c r="F3080" s="3"/>
    </row>
    <row r="3081" spans="1:6" hidden="1" x14ac:dyDescent="0.3">
      <c r="A3081" s="7" t="str">
        <f>BD_ControlRegimen[[#This Row],[FECHA]]&amp;BD_ControlRegimen[[#This Row],[NOMBRE]]</f>
        <v>45075URQUIZA ASCENCIO JORGE LUIS</v>
      </c>
      <c r="B3081" s="83">
        <f>WEEKNUM(BD_ControlRegimen[[#This Row],[FECHA]],2)</f>
        <v>23</v>
      </c>
      <c r="C3081" s="7">
        <v>45075</v>
      </c>
      <c r="D3081" s="3" t="s">
        <v>73</v>
      </c>
      <c r="E3081" s="3"/>
      <c r="F3081" s="3"/>
    </row>
    <row r="3082" spans="1:6" hidden="1" x14ac:dyDescent="0.3">
      <c r="A3082" s="7" t="str">
        <f>BD_ControlRegimen[[#This Row],[FECHA]]&amp;BD_ControlRegimen[[#This Row],[NOMBRE]]</f>
        <v>45076URQUIZA ASCENCIO JORGE LUIS</v>
      </c>
      <c r="B3082" s="83">
        <f>WEEKNUM(BD_ControlRegimen[[#This Row],[FECHA]],2)</f>
        <v>23</v>
      </c>
      <c r="C3082" s="7">
        <v>45076</v>
      </c>
      <c r="D3082" s="3" t="s">
        <v>73</v>
      </c>
      <c r="E3082" s="3"/>
      <c r="F3082" s="3"/>
    </row>
    <row r="3083" spans="1:6" hidden="1" x14ac:dyDescent="0.3">
      <c r="A3083" s="7" t="str">
        <f>BD_ControlRegimen[[#This Row],[FECHA]]&amp;BD_ControlRegimen[[#This Row],[NOMBRE]]</f>
        <v>45077URQUIZA ASCENCIO JORGE LUIS</v>
      </c>
      <c r="B3083" s="83">
        <f>WEEKNUM(BD_ControlRegimen[[#This Row],[FECHA]],2)</f>
        <v>23</v>
      </c>
      <c r="C3083" s="7">
        <v>45077</v>
      </c>
      <c r="D3083" s="3" t="s">
        <v>73</v>
      </c>
      <c r="E3083" s="3"/>
      <c r="F3083" s="3"/>
    </row>
    <row r="3084" spans="1:6" hidden="1" x14ac:dyDescent="0.3">
      <c r="A3084" s="7" t="str">
        <f>BD_ControlRegimen[[#This Row],[FECHA]]&amp;BD_ControlRegimen[[#This Row],[NOMBRE]]</f>
        <v>45078URQUIZA ASCENCIO JORGE LUIS</v>
      </c>
      <c r="B3084" s="83">
        <f>WEEKNUM(BD_ControlRegimen[[#This Row],[FECHA]],2)</f>
        <v>23</v>
      </c>
      <c r="C3084" s="7">
        <v>45078</v>
      </c>
      <c r="D3084" s="3" t="s">
        <v>73</v>
      </c>
      <c r="E3084" s="3"/>
      <c r="F3084" s="3"/>
    </row>
    <row r="3085" spans="1:6" hidden="1" x14ac:dyDescent="0.3">
      <c r="A3085" s="7" t="str">
        <f>BD_ControlRegimen[[#This Row],[FECHA]]&amp;BD_ControlRegimen[[#This Row],[NOMBRE]]</f>
        <v>45079URQUIZA ASCENCIO JORGE LUIS</v>
      </c>
      <c r="B3085" s="83">
        <f>WEEKNUM(BD_ControlRegimen[[#This Row],[FECHA]],2)</f>
        <v>23</v>
      </c>
      <c r="C3085" s="7">
        <v>45079</v>
      </c>
      <c r="D3085" s="3" t="s">
        <v>73</v>
      </c>
      <c r="E3085" s="3"/>
      <c r="F3085" s="3"/>
    </row>
    <row r="3086" spans="1:6" hidden="1" x14ac:dyDescent="0.3">
      <c r="A3086" s="7" t="str">
        <f>BD_ControlRegimen[[#This Row],[FECHA]]&amp;BD_ControlRegimen[[#This Row],[NOMBRE]]</f>
        <v>45080URQUIZA ASCENCIO JORGE LUIS</v>
      </c>
      <c r="B3086" s="83">
        <f>WEEKNUM(BD_ControlRegimen[[#This Row],[FECHA]],2)</f>
        <v>23</v>
      </c>
      <c r="C3086" s="7">
        <v>45080</v>
      </c>
      <c r="D3086" s="3" t="s">
        <v>73</v>
      </c>
      <c r="E3086" s="3"/>
      <c r="F3086" s="3"/>
    </row>
    <row r="3087" spans="1:6" hidden="1" x14ac:dyDescent="0.3">
      <c r="A3087" s="7" t="str">
        <f>BD_ControlRegimen[[#This Row],[FECHA]]&amp;BD_ControlRegimen[[#This Row],[NOMBRE]]</f>
        <v>45081URQUIZA ASCENCIO JORGE LUIS</v>
      </c>
      <c r="B3087" s="83">
        <f>WEEKNUM(BD_ControlRegimen[[#This Row],[FECHA]],2)</f>
        <v>23</v>
      </c>
      <c r="C3087" s="7">
        <v>45081</v>
      </c>
      <c r="D3087" s="3" t="s">
        <v>73</v>
      </c>
      <c r="E3087" s="3"/>
      <c r="F3087" s="3"/>
    </row>
    <row r="3088" spans="1:6" hidden="1" x14ac:dyDescent="0.3">
      <c r="A3088" s="7" t="str">
        <f>BD_ControlRegimen[[#This Row],[FECHA]]&amp;BD_ControlRegimen[[#This Row],[NOMBRE]]</f>
        <v>45082URQUIZA ASCENCIO JORGE LUIS</v>
      </c>
      <c r="B3088" s="83">
        <f>WEEKNUM(BD_ControlRegimen[[#This Row],[FECHA]],2)</f>
        <v>24</v>
      </c>
      <c r="C3088" s="7">
        <v>45082</v>
      </c>
      <c r="D3088" s="3" t="s">
        <v>73</v>
      </c>
      <c r="E3088" s="3"/>
      <c r="F3088" s="3"/>
    </row>
    <row r="3089" spans="1:6" hidden="1" x14ac:dyDescent="0.3">
      <c r="A3089" s="7" t="str">
        <f>BD_ControlRegimen[[#This Row],[FECHA]]&amp;BD_ControlRegimen[[#This Row],[NOMBRE]]</f>
        <v>45083URQUIZA ASCENCIO JORGE LUIS</v>
      </c>
      <c r="B3089" s="83">
        <f>WEEKNUM(BD_ControlRegimen[[#This Row],[FECHA]],2)</f>
        <v>24</v>
      </c>
      <c r="C3089" s="7">
        <v>45083</v>
      </c>
      <c r="D3089" s="3" t="s">
        <v>73</v>
      </c>
      <c r="E3089" s="3"/>
      <c r="F3089" s="3"/>
    </row>
    <row r="3090" spans="1:6" hidden="1" x14ac:dyDescent="0.3">
      <c r="A3090" s="7" t="str">
        <f>BD_ControlRegimen[[#This Row],[FECHA]]&amp;BD_ControlRegimen[[#This Row],[NOMBRE]]</f>
        <v>45084URQUIZA ASCENCIO JORGE LUIS</v>
      </c>
      <c r="B3090" s="83">
        <f>WEEKNUM(BD_ControlRegimen[[#This Row],[FECHA]],2)</f>
        <v>24</v>
      </c>
      <c r="C3090" s="7">
        <v>45084</v>
      </c>
      <c r="D3090" s="3" t="s">
        <v>73</v>
      </c>
      <c r="E3090" s="3"/>
      <c r="F3090" s="3"/>
    </row>
    <row r="3091" spans="1:6" hidden="1" x14ac:dyDescent="0.3">
      <c r="A3091" s="7" t="str">
        <f>BD_ControlRegimen[[#This Row],[FECHA]]&amp;BD_ControlRegimen[[#This Row],[NOMBRE]]</f>
        <v>45085URQUIZA ASCENCIO JORGE LUIS</v>
      </c>
      <c r="B3091" s="83">
        <f>WEEKNUM(BD_ControlRegimen[[#This Row],[FECHA]],2)</f>
        <v>24</v>
      </c>
      <c r="C3091" s="7">
        <v>45085</v>
      </c>
      <c r="D3091" s="3" t="s">
        <v>73</v>
      </c>
      <c r="E3091" s="3"/>
      <c r="F3091" s="3"/>
    </row>
    <row r="3092" spans="1:6" hidden="1" x14ac:dyDescent="0.3">
      <c r="A3092" s="7" t="str">
        <f>BD_ControlRegimen[[#This Row],[FECHA]]&amp;BD_ControlRegimen[[#This Row],[NOMBRE]]</f>
        <v>45086URQUIZA ASCENCIO JORGE LUIS</v>
      </c>
      <c r="B3092" s="83">
        <f>WEEKNUM(BD_ControlRegimen[[#This Row],[FECHA]],2)</f>
        <v>24</v>
      </c>
      <c r="C3092" s="7">
        <v>45086</v>
      </c>
      <c r="D3092" s="3" t="s">
        <v>73</v>
      </c>
      <c r="E3092" s="3"/>
      <c r="F3092" s="3"/>
    </row>
    <row r="3093" spans="1:6" hidden="1" x14ac:dyDescent="0.3">
      <c r="A3093" s="7" t="str">
        <f>BD_ControlRegimen[[#This Row],[FECHA]]&amp;BD_ControlRegimen[[#This Row],[NOMBRE]]</f>
        <v>45087URQUIZA ASCENCIO JORGE LUIS</v>
      </c>
      <c r="B3093" s="83">
        <f>WEEKNUM(BD_ControlRegimen[[#This Row],[FECHA]],2)</f>
        <v>24</v>
      </c>
      <c r="C3093" s="7">
        <v>45087</v>
      </c>
      <c r="D3093" s="3" t="s">
        <v>73</v>
      </c>
      <c r="E3093" s="3"/>
      <c r="F3093" s="3"/>
    </row>
    <row r="3094" spans="1:6" hidden="1" x14ac:dyDescent="0.3">
      <c r="A3094" s="7" t="str">
        <f>BD_ControlRegimen[[#This Row],[FECHA]]&amp;BD_ControlRegimen[[#This Row],[NOMBRE]]</f>
        <v>45088URQUIZA ASCENCIO JORGE LUIS</v>
      </c>
      <c r="B3094" s="83">
        <f>WEEKNUM(BD_ControlRegimen[[#This Row],[FECHA]],2)</f>
        <v>24</v>
      </c>
      <c r="C3094" s="7">
        <v>45088</v>
      </c>
      <c r="D3094" s="3" t="s">
        <v>73</v>
      </c>
      <c r="E3094" s="3"/>
      <c r="F3094" s="3"/>
    </row>
    <row r="3095" spans="1:6" hidden="1" x14ac:dyDescent="0.3">
      <c r="A3095" s="7" t="str">
        <f>BD_ControlRegimen[[#This Row],[FECHA]]&amp;BD_ControlRegimen[[#This Row],[NOMBRE]]</f>
        <v>45089URQUIZA ASCENCIO JORGE LUIS</v>
      </c>
      <c r="B3095" s="83">
        <f>WEEKNUM(BD_ControlRegimen[[#This Row],[FECHA]],2)</f>
        <v>25</v>
      </c>
      <c r="C3095" s="7">
        <v>45089</v>
      </c>
      <c r="D3095" s="3" t="s">
        <v>73</v>
      </c>
      <c r="E3095" s="3"/>
      <c r="F3095" s="3"/>
    </row>
    <row r="3096" spans="1:6" hidden="1" x14ac:dyDescent="0.3">
      <c r="A3096" s="7" t="str">
        <f>BD_ControlRegimen[[#This Row],[FECHA]]&amp;BD_ControlRegimen[[#This Row],[NOMBRE]]</f>
        <v>45090URQUIZA ASCENCIO JORGE LUIS</v>
      </c>
      <c r="B3096" s="83">
        <f>WEEKNUM(BD_ControlRegimen[[#This Row],[FECHA]],2)</f>
        <v>25</v>
      </c>
      <c r="C3096" s="7">
        <v>45090</v>
      </c>
      <c r="D3096" s="3" t="s">
        <v>73</v>
      </c>
      <c r="E3096" s="3"/>
      <c r="F3096" s="3"/>
    </row>
    <row r="3097" spans="1:6" hidden="1" x14ac:dyDescent="0.3">
      <c r="A3097" s="7" t="str">
        <f>BD_ControlRegimen[[#This Row],[FECHA]]&amp;BD_ControlRegimen[[#This Row],[NOMBRE]]</f>
        <v>45091URQUIZA ASCENCIO JORGE LUIS</v>
      </c>
      <c r="B3097" s="83">
        <f>WEEKNUM(BD_ControlRegimen[[#This Row],[FECHA]],2)</f>
        <v>25</v>
      </c>
      <c r="C3097" s="7">
        <v>45091</v>
      </c>
      <c r="D3097" s="3" t="s">
        <v>73</v>
      </c>
      <c r="E3097" s="3"/>
      <c r="F3097" s="3"/>
    </row>
    <row r="3098" spans="1:6" hidden="1" x14ac:dyDescent="0.3">
      <c r="A3098" s="7" t="str">
        <f>BD_ControlRegimen[[#This Row],[FECHA]]&amp;BD_ControlRegimen[[#This Row],[NOMBRE]]</f>
        <v>45092URQUIZA ASCENCIO JORGE LUIS</v>
      </c>
      <c r="B3098" s="83">
        <f>WEEKNUM(BD_ControlRegimen[[#This Row],[FECHA]],2)</f>
        <v>25</v>
      </c>
      <c r="C3098" s="7">
        <v>45092</v>
      </c>
      <c r="D3098" s="3" t="s">
        <v>73</v>
      </c>
      <c r="E3098" s="3"/>
      <c r="F3098" s="3"/>
    </row>
    <row r="3099" spans="1:6" hidden="1" x14ac:dyDescent="0.3">
      <c r="A3099" s="7" t="str">
        <f>BD_ControlRegimen[[#This Row],[FECHA]]&amp;BD_ControlRegimen[[#This Row],[NOMBRE]]</f>
        <v>45093URQUIZA ASCENCIO JORGE LUIS</v>
      </c>
      <c r="B3099" s="83">
        <f>WEEKNUM(BD_ControlRegimen[[#This Row],[FECHA]],2)</f>
        <v>25</v>
      </c>
      <c r="C3099" s="7">
        <v>45093</v>
      </c>
      <c r="D3099" s="3" t="s">
        <v>73</v>
      </c>
      <c r="E3099" s="3"/>
      <c r="F3099" s="3"/>
    </row>
    <row r="3100" spans="1:6" hidden="1" x14ac:dyDescent="0.3">
      <c r="A3100" s="7" t="str">
        <f>BD_ControlRegimen[[#This Row],[FECHA]]&amp;BD_ControlRegimen[[#This Row],[NOMBRE]]</f>
        <v>45094URQUIZA ASCENCIO JORGE LUIS</v>
      </c>
      <c r="B3100" s="83">
        <f>WEEKNUM(BD_ControlRegimen[[#This Row],[FECHA]],2)</f>
        <v>25</v>
      </c>
      <c r="C3100" s="7">
        <v>45094</v>
      </c>
      <c r="D3100" s="3" t="s">
        <v>73</v>
      </c>
      <c r="E3100" s="3"/>
      <c r="F3100" s="3"/>
    </row>
    <row r="3101" spans="1:6" hidden="1" x14ac:dyDescent="0.3">
      <c r="A3101" s="7" t="str">
        <f>BD_ControlRegimen[[#This Row],[FECHA]]&amp;BD_ControlRegimen[[#This Row],[NOMBRE]]</f>
        <v>45095URQUIZA ASCENCIO JORGE LUIS</v>
      </c>
      <c r="B3101" s="83">
        <f>WEEKNUM(BD_ControlRegimen[[#This Row],[FECHA]],2)</f>
        <v>25</v>
      </c>
      <c r="C3101" s="7">
        <v>45095</v>
      </c>
      <c r="D3101" s="3" t="s">
        <v>73</v>
      </c>
      <c r="E3101" s="3"/>
      <c r="F3101" s="3"/>
    </row>
    <row r="3102" spans="1:6" hidden="1" x14ac:dyDescent="0.3">
      <c r="A3102" s="7" t="str">
        <f>BD_ControlRegimen[[#This Row],[FECHA]]&amp;BD_ControlRegimen[[#This Row],[NOMBRE]]</f>
        <v>45096URQUIZA ASCENCIO JORGE LUIS</v>
      </c>
      <c r="B3102" s="83">
        <f>WEEKNUM(BD_ControlRegimen[[#This Row],[FECHA]],2)</f>
        <v>26</v>
      </c>
      <c r="C3102" s="7">
        <v>45096</v>
      </c>
      <c r="D3102" s="3" t="s">
        <v>73</v>
      </c>
      <c r="E3102" s="3"/>
      <c r="F3102" s="3"/>
    </row>
    <row r="3103" spans="1:6" hidden="1" x14ac:dyDescent="0.3">
      <c r="A3103" s="7" t="str">
        <f>BD_ControlRegimen[[#This Row],[FECHA]]&amp;BD_ControlRegimen[[#This Row],[NOMBRE]]</f>
        <v>45097URQUIZA ASCENCIO JORGE LUIS</v>
      </c>
      <c r="B3103" s="83">
        <f>WEEKNUM(BD_ControlRegimen[[#This Row],[FECHA]],2)</f>
        <v>26</v>
      </c>
      <c r="C3103" s="7">
        <v>45097</v>
      </c>
      <c r="D3103" s="3" t="s">
        <v>73</v>
      </c>
      <c r="E3103" s="3"/>
      <c r="F3103" s="3"/>
    </row>
    <row r="3104" spans="1:6" hidden="1" x14ac:dyDescent="0.3">
      <c r="A3104" s="7" t="str">
        <f>BD_ControlRegimen[[#This Row],[FECHA]]&amp;BD_ControlRegimen[[#This Row],[NOMBRE]]</f>
        <v>45098URQUIZA ASCENCIO JORGE LUIS</v>
      </c>
      <c r="B3104" s="83">
        <f>WEEKNUM(BD_ControlRegimen[[#This Row],[FECHA]],2)</f>
        <v>26</v>
      </c>
      <c r="C3104" s="7">
        <v>45098</v>
      </c>
      <c r="D3104" s="3" t="s">
        <v>73</v>
      </c>
      <c r="E3104" s="3"/>
      <c r="F3104" s="3"/>
    </row>
    <row r="3105" spans="1:6" hidden="1" x14ac:dyDescent="0.3">
      <c r="A3105" s="7" t="str">
        <f>BD_ControlRegimen[[#This Row],[FECHA]]&amp;BD_ControlRegimen[[#This Row],[NOMBRE]]</f>
        <v>45099URQUIZA ASCENCIO JORGE LUIS</v>
      </c>
      <c r="B3105" s="83">
        <f>WEEKNUM(BD_ControlRegimen[[#This Row],[FECHA]],2)</f>
        <v>26</v>
      </c>
      <c r="C3105" s="7">
        <v>45099</v>
      </c>
      <c r="D3105" s="3" t="s">
        <v>73</v>
      </c>
      <c r="E3105" s="3"/>
      <c r="F3105" s="3"/>
    </row>
    <row r="3106" spans="1:6" hidden="1" x14ac:dyDescent="0.3">
      <c r="A3106" s="7" t="str">
        <f>BD_ControlRegimen[[#This Row],[FECHA]]&amp;BD_ControlRegimen[[#This Row],[NOMBRE]]</f>
        <v>45100URQUIZA ASCENCIO JORGE LUIS</v>
      </c>
      <c r="B3106" s="83">
        <f>WEEKNUM(BD_ControlRegimen[[#This Row],[FECHA]],2)</f>
        <v>26</v>
      </c>
      <c r="C3106" s="7">
        <v>45100</v>
      </c>
      <c r="D3106" s="3" t="s">
        <v>73</v>
      </c>
      <c r="E3106" s="3"/>
      <c r="F3106" s="3"/>
    </row>
    <row r="3107" spans="1:6" hidden="1" x14ac:dyDescent="0.3">
      <c r="A3107" s="7" t="str">
        <f>BD_ControlRegimen[[#This Row],[FECHA]]&amp;BD_ControlRegimen[[#This Row],[NOMBRE]]</f>
        <v>45101URQUIZA ASCENCIO JORGE LUIS</v>
      </c>
      <c r="B3107" s="83">
        <f>WEEKNUM(BD_ControlRegimen[[#This Row],[FECHA]],2)</f>
        <v>26</v>
      </c>
      <c r="C3107" s="7">
        <v>45101</v>
      </c>
      <c r="D3107" s="3" t="s">
        <v>73</v>
      </c>
      <c r="E3107" s="3"/>
      <c r="F3107" s="3"/>
    </row>
    <row r="3108" spans="1:6" hidden="1" x14ac:dyDescent="0.3">
      <c r="A3108" s="7" t="str">
        <f>BD_ControlRegimen[[#This Row],[FECHA]]&amp;BD_ControlRegimen[[#This Row],[NOMBRE]]</f>
        <v>45102URQUIZA ASCENCIO JORGE LUIS</v>
      </c>
      <c r="B3108" s="83">
        <f>WEEKNUM(BD_ControlRegimen[[#This Row],[FECHA]],2)</f>
        <v>26</v>
      </c>
      <c r="C3108" s="7">
        <v>45102</v>
      </c>
      <c r="D3108" s="3" t="s">
        <v>73</v>
      </c>
      <c r="E3108" s="3"/>
      <c r="F3108" s="3"/>
    </row>
    <row r="3109" spans="1:6" hidden="1" x14ac:dyDescent="0.3">
      <c r="A3109" s="7" t="str">
        <f>BD_ControlRegimen[[#This Row],[FECHA]]&amp;BD_ControlRegimen[[#This Row],[NOMBRE]]</f>
        <v>45103URQUIZA ASCENCIO JORGE LUIS</v>
      </c>
      <c r="B3109" s="83">
        <f>WEEKNUM(BD_ControlRegimen[[#This Row],[FECHA]],2)</f>
        <v>27</v>
      </c>
      <c r="C3109" s="7">
        <v>45103</v>
      </c>
      <c r="D3109" s="3" t="s">
        <v>73</v>
      </c>
      <c r="E3109" s="3"/>
      <c r="F3109" s="3"/>
    </row>
    <row r="3110" spans="1:6" hidden="1" x14ac:dyDescent="0.3">
      <c r="A3110" s="7" t="str">
        <f>BD_ControlRegimen[[#This Row],[FECHA]]&amp;BD_ControlRegimen[[#This Row],[NOMBRE]]</f>
        <v>45104URQUIZA ASCENCIO JORGE LUIS</v>
      </c>
      <c r="B3110" s="83">
        <f>WEEKNUM(BD_ControlRegimen[[#This Row],[FECHA]],2)</f>
        <v>27</v>
      </c>
      <c r="C3110" s="7">
        <v>45104</v>
      </c>
      <c r="D3110" s="3" t="s">
        <v>73</v>
      </c>
      <c r="E3110" s="3"/>
      <c r="F3110" s="3"/>
    </row>
    <row r="3111" spans="1:6" hidden="1" x14ac:dyDescent="0.3">
      <c r="A3111" s="7" t="str">
        <f>BD_ControlRegimen[[#This Row],[FECHA]]&amp;BD_ControlRegimen[[#This Row],[NOMBRE]]</f>
        <v>45105URQUIZA ASCENCIO JORGE LUIS</v>
      </c>
      <c r="B3111" s="83">
        <f>WEEKNUM(BD_ControlRegimen[[#This Row],[FECHA]],2)</f>
        <v>27</v>
      </c>
      <c r="C3111" s="7">
        <v>45105</v>
      </c>
      <c r="D3111" s="3" t="s">
        <v>73</v>
      </c>
      <c r="E3111" s="3"/>
      <c r="F3111" s="3"/>
    </row>
    <row r="3112" spans="1:6" hidden="1" x14ac:dyDescent="0.3">
      <c r="A3112" s="7" t="str">
        <f>BD_ControlRegimen[[#This Row],[FECHA]]&amp;BD_ControlRegimen[[#This Row],[NOMBRE]]</f>
        <v>45106URQUIZA ASCENCIO JORGE LUIS</v>
      </c>
      <c r="B3112" s="83">
        <f>WEEKNUM(BD_ControlRegimen[[#This Row],[FECHA]],2)</f>
        <v>27</v>
      </c>
      <c r="C3112" s="7">
        <v>45106</v>
      </c>
      <c r="D3112" s="3" t="s">
        <v>73</v>
      </c>
      <c r="E3112" s="3"/>
      <c r="F3112" s="3"/>
    </row>
    <row r="3113" spans="1:6" hidden="1" x14ac:dyDescent="0.3">
      <c r="A3113" s="7" t="str">
        <f>BD_ControlRegimen[[#This Row],[FECHA]]&amp;BD_ControlRegimen[[#This Row],[NOMBRE]]</f>
        <v>45107URQUIZA ASCENCIO JORGE LUIS</v>
      </c>
      <c r="B3113" s="83">
        <f>WEEKNUM(BD_ControlRegimen[[#This Row],[FECHA]],2)</f>
        <v>27</v>
      </c>
      <c r="C3113" s="7">
        <v>45107</v>
      </c>
      <c r="D3113" s="3" t="s">
        <v>73</v>
      </c>
      <c r="E3113" s="3"/>
      <c r="F3113" s="3"/>
    </row>
    <row r="3114" spans="1:6" hidden="1" x14ac:dyDescent="0.3">
      <c r="A3114" s="7" t="str">
        <f>BD_ControlRegimen[[#This Row],[FECHA]]&amp;BD_ControlRegimen[[#This Row],[NOMBRE]]</f>
        <v>45108URQUIZA ASCENCIO JORGE LUIS</v>
      </c>
      <c r="B3114" s="83">
        <f>WEEKNUM(BD_ControlRegimen[[#This Row],[FECHA]],2)</f>
        <v>27</v>
      </c>
      <c r="C3114" s="7">
        <v>45108</v>
      </c>
      <c r="D3114" s="3" t="s">
        <v>73</v>
      </c>
      <c r="E3114" s="3"/>
      <c r="F3114" s="3"/>
    </row>
    <row r="3115" spans="1:6" hidden="1" x14ac:dyDescent="0.3">
      <c r="A3115" s="7" t="str">
        <f>BD_ControlRegimen[[#This Row],[FECHA]]&amp;BD_ControlRegimen[[#This Row],[NOMBRE]]</f>
        <v>45109URQUIZA ASCENCIO JORGE LUIS</v>
      </c>
      <c r="B3115" s="83">
        <f>WEEKNUM(BD_ControlRegimen[[#This Row],[FECHA]],2)</f>
        <v>27</v>
      </c>
      <c r="C3115" s="7">
        <v>45109</v>
      </c>
      <c r="D3115" s="3" t="s">
        <v>73</v>
      </c>
      <c r="E3115" s="3"/>
      <c r="F3115" s="3"/>
    </row>
    <row r="3116" spans="1:6" hidden="1" x14ac:dyDescent="0.3">
      <c r="A3116" s="7" t="str">
        <f>BD_ControlRegimen[[#This Row],[FECHA]]&amp;BD_ControlRegimen[[#This Row],[NOMBRE]]</f>
        <v>45110URQUIZA ASCENCIO JORGE LUIS</v>
      </c>
      <c r="B3116" s="83">
        <f>WEEKNUM(BD_ControlRegimen[[#This Row],[FECHA]],2)</f>
        <v>28</v>
      </c>
      <c r="C3116" s="7">
        <v>45110</v>
      </c>
      <c r="D3116" s="3" t="s">
        <v>73</v>
      </c>
      <c r="E3116" s="3"/>
      <c r="F3116" s="3"/>
    </row>
    <row r="3117" spans="1:6" hidden="1" x14ac:dyDescent="0.3">
      <c r="A3117" s="7" t="str">
        <f>BD_ControlRegimen[[#This Row],[FECHA]]&amp;BD_ControlRegimen[[#This Row],[NOMBRE]]</f>
        <v>45111URQUIZA ASCENCIO JORGE LUIS</v>
      </c>
      <c r="B3117" s="83">
        <f>WEEKNUM(BD_ControlRegimen[[#This Row],[FECHA]],2)</f>
        <v>28</v>
      </c>
      <c r="C3117" s="7">
        <v>45111</v>
      </c>
      <c r="D3117" s="3" t="s">
        <v>73</v>
      </c>
      <c r="E3117" s="3"/>
      <c r="F3117" s="3"/>
    </row>
    <row r="3118" spans="1:6" hidden="1" x14ac:dyDescent="0.3">
      <c r="A3118" s="7" t="str">
        <f>BD_ControlRegimen[[#This Row],[FECHA]]&amp;BD_ControlRegimen[[#This Row],[NOMBRE]]</f>
        <v>45112URQUIZA ASCENCIO JORGE LUIS</v>
      </c>
      <c r="B3118" s="83">
        <f>WEEKNUM(BD_ControlRegimen[[#This Row],[FECHA]],2)</f>
        <v>28</v>
      </c>
      <c r="C3118" s="7">
        <v>45112</v>
      </c>
      <c r="D3118" s="3" t="s">
        <v>73</v>
      </c>
      <c r="E3118" s="3"/>
      <c r="F3118" s="3"/>
    </row>
    <row r="3119" spans="1:6" hidden="1" x14ac:dyDescent="0.3">
      <c r="A3119" s="7" t="str">
        <f>BD_ControlRegimen[[#This Row],[FECHA]]&amp;BD_ControlRegimen[[#This Row],[NOMBRE]]</f>
        <v>45113URQUIZA ASCENCIO JORGE LUIS</v>
      </c>
      <c r="B3119" s="83">
        <f>WEEKNUM(BD_ControlRegimen[[#This Row],[FECHA]],2)</f>
        <v>28</v>
      </c>
      <c r="C3119" s="7">
        <v>45113</v>
      </c>
      <c r="D3119" s="3" t="s">
        <v>73</v>
      </c>
      <c r="E3119" s="3"/>
      <c r="F3119" s="3"/>
    </row>
    <row r="3120" spans="1:6" hidden="1" x14ac:dyDescent="0.3">
      <c r="A3120" s="7" t="str">
        <f>BD_ControlRegimen[[#This Row],[FECHA]]&amp;BD_ControlRegimen[[#This Row],[NOMBRE]]</f>
        <v>45114URQUIZA ASCENCIO JORGE LUIS</v>
      </c>
      <c r="B3120" s="83">
        <f>WEEKNUM(BD_ControlRegimen[[#This Row],[FECHA]],2)</f>
        <v>28</v>
      </c>
      <c r="C3120" s="7">
        <v>45114</v>
      </c>
      <c r="D3120" s="3" t="s">
        <v>73</v>
      </c>
      <c r="E3120" s="3"/>
      <c r="F3120" s="3"/>
    </row>
    <row r="3121" spans="1:6" hidden="1" x14ac:dyDescent="0.3">
      <c r="A3121" s="7" t="str">
        <f>BD_ControlRegimen[[#This Row],[FECHA]]&amp;BD_ControlRegimen[[#This Row],[NOMBRE]]</f>
        <v>45115URQUIZA ASCENCIO JORGE LUIS</v>
      </c>
      <c r="B3121" s="83">
        <f>WEEKNUM(BD_ControlRegimen[[#This Row],[FECHA]],2)</f>
        <v>28</v>
      </c>
      <c r="C3121" s="7">
        <v>45115</v>
      </c>
      <c r="D3121" s="3" t="s">
        <v>73</v>
      </c>
      <c r="E3121" s="3"/>
      <c r="F3121" s="3"/>
    </row>
    <row r="3122" spans="1:6" hidden="1" x14ac:dyDescent="0.3">
      <c r="A3122" s="7" t="str">
        <f>BD_ControlRegimen[[#This Row],[FECHA]]&amp;BD_ControlRegimen[[#This Row],[NOMBRE]]</f>
        <v>45116URQUIZA ASCENCIO JORGE LUIS</v>
      </c>
      <c r="B3122" s="83">
        <f>WEEKNUM(BD_ControlRegimen[[#This Row],[FECHA]],2)</f>
        <v>28</v>
      </c>
      <c r="C3122" s="7">
        <v>45116</v>
      </c>
      <c r="D3122" s="3" t="s">
        <v>73</v>
      </c>
      <c r="E3122" s="3"/>
      <c r="F3122" s="3"/>
    </row>
    <row r="3123" spans="1:6" hidden="1" x14ac:dyDescent="0.3">
      <c r="A3123" s="7" t="str">
        <f>BD_ControlRegimen[[#This Row],[FECHA]]&amp;BD_ControlRegimen[[#This Row],[NOMBRE]]</f>
        <v>45117URQUIZA ASCENCIO JORGE LUIS</v>
      </c>
      <c r="B3123" s="83">
        <f>WEEKNUM(BD_ControlRegimen[[#This Row],[FECHA]],2)</f>
        <v>29</v>
      </c>
      <c r="C3123" s="7">
        <v>45117</v>
      </c>
      <c r="D3123" s="3" t="s">
        <v>73</v>
      </c>
      <c r="E3123" s="3"/>
      <c r="F3123" s="3"/>
    </row>
    <row r="3124" spans="1:6" hidden="1" x14ac:dyDescent="0.3">
      <c r="A3124" s="7" t="str">
        <f>BD_ControlRegimen[[#This Row],[FECHA]]&amp;BD_ControlRegimen[[#This Row],[NOMBRE]]</f>
        <v>45118URQUIZA ASCENCIO JORGE LUIS</v>
      </c>
      <c r="B3124" s="83">
        <f>WEEKNUM(BD_ControlRegimen[[#This Row],[FECHA]],2)</f>
        <v>29</v>
      </c>
      <c r="C3124" s="7">
        <v>45118</v>
      </c>
      <c r="D3124" s="3" t="s">
        <v>73</v>
      </c>
      <c r="E3124" s="3"/>
      <c r="F3124" s="3"/>
    </row>
    <row r="3125" spans="1:6" hidden="1" x14ac:dyDescent="0.3">
      <c r="A3125" s="7" t="str">
        <f>BD_ControlRegimen[[#This Row],[FECHA]]&amp;BD_ControlRegimen[[#This Row],[NOMBRE]]</f>
        <v>45119URQUIZA ASCENCIO JORGE LUIS</v>
      </c>
      <c r="B3125" s="83">
        <f>WEEKNUM(BD_ControlRegimen[[#This Row],[FECHA]],2)</f>
        <v>29</v>
      </c>
      <c r="C3125" s="7">
        <v>45119</v>
      </c>
      <c r="D3125" s="3" t="s">
        <v>73</v>
      </c>
      <c r="E3125" s="3"/>
      <c r="F3125" s="3"/>
    </row>
    <row r="3126" spans="1:6" hidden="1" x14ac:dyDescent="0.3">
      <c r="A3126" s="7" t="str">
        <f>BD_ControlRegimen[[#This Row],[FECHA]]&amp;BD_ControlRegimen[[#This Row],[NOMBRE]]</f>
        <v>45120URQUIZA ASCENCIO JORGE LUIS</v>
      </c>
      <c r="B3126" s="83">
        <f>WEEKNUM(BD_ControlRegimen[[#This Row],[FECHA]],2)</f>
        <v>29</v>
      </c>
      <c r="C3126" s="7">
        <v>45120</v>
      </c>
      <c r="D3126" s="3" t="s">
        <v>73</v>
      </c>
      <c r="E3126" s="3"/>
      <c r="F3126" s="3"/>
    </row>
    <row r="3127" spans="1:6" hidden="1" x14ac:dyDescent="0.3">
      <c r="A3127" s="14" t="str">
        <f>BD_ControlRegimen[[#This Row],[FECHA]]&amp;BD_ControlRegimen[[#This Row],[NOMBRE]]</f>
        <v>45121URQUIZA ASCENCIO JORGE LUIS</v>
      </c>
      <c r="B3127" s="105">
        <f>WEEKNUM(BD_ControlRegimen[[#This Row],[FECHA]],2)</f>
        <v>29</v>
      </c>
      <c r="C3127" s="14">
        <v>45121</v>
      </c>
      <c r="D3127" s="3" t="s">
        <v>73</v>
      </c>
      <c r="E3127" s="97"/>
      <c r="F3127" s="97"/>
    </row>
    <row r="3128" spans="1:6" hidden="1" x14ac:dyDescent="0.3">
      <c r="A3128" s="7" t="str">
        <f>BD_ControlRegimen[[#This Row],[FECHA]]&amp;BD_ControlRegimen[[#This Row],[NOMBRE]]</f>
        <v>45122URQUIZA ASCENCIO JORGE LUIS</v>
      </c>
      <c r="B3128" s="83">
        <f>WEEKNUM(BD_ControlRegimen[[#This Row],[FECHA]],2)</f>
        <v>29</v>
      </c>
      <c r="C3128" s="7">
        <v>45122</v>
      </c>
      <c r="D3128" s="3" t="s">
        <v>73</v>
      </c>
      <c r="E3128" s="3"/>
      <c r="F3128" s="3"/>
    </row>
    <row r="3129" spans="1:6" hidden="1" x14ac:dyDescent="0.3">
      <c r="A3129" s="7" t="str">
        <f>BD_ControlRegimen[[#This Row],[FECHA]]&amp;BD_ControlRegimen[[#This Row],[NOMBRE]]</f>
        <v>45123URQUIZA ASCENCIO JORGE LUIS</v>
      </c>
      <c r="B3129" s="83">
        <f>WEEKNUM(BD_ControlRegimen[[#This Row],[FECHA]],2)</f>
        <v>29</v>
      </c>
      <c r="C3129" s="7">
        <v>45123</v>
      </c>
      <c r="D3129" s="3" t="s">
        <v>73</v>
      </c>
      <c r="E3129" s="3"/>
      <c r="F3129" s="3"/>
    </row>
    <row r="3130" spans="1:6" hidden="1" x14ac:dyDescent="0.3">
      <c r="A3130" s="7" t="str">
        <f>BD_ControlRegimen[[#This Row],[FECHA]]&amp;BD_ControlRegimen[[#This Row],[NOMBRE]]</f>
        <v>45124URQUIZA ASCENCIO JORGE LUIS</v>
      </c>
      <c r="B3130" s="83">
        <f>WEEKNUM(BD_ControlRegimen[[#This Row],[FECHA]],2)</f>
        <v>30</v>
      </c>
      <c r="C3130" s="7">
        <v>45124</v>
      </c>
      <c r="D3130" s="3" t="s">
        <v>73</v>
      </c>
      <c r="E3130" s="3"/>
      <c r="F3130" s="3"/>
    </row>
    <row r="3131" spans="1:6" hidden="1" x14ac:dyDescent="0.3">
      <c r="A3131" s="7" t="str">
        <f>BD_ControlRegimen[[#This Row],[FECHA]]&amp;BD_ControlRegimen[[#This Row],[NOMBRE]]</f>
        <v>45125URQUIZA ASCENCIO JORGE LUIS</v>
      </c>
      <c r="B3131" s="83">
        <f>WEEKNUM(BD_ControlRegimen[[#This Row],[FECHA]],2)</f>
        <v>30</v>
      </c>
      <c r="C3131" s="7">
        <v>45125</v>
      </c>
      <c r="D3131" s="3" t="s">
        <v>73</v>
      </c>
      <c r="E3131" s="3"/>
      <c r="F3131" s="3"/>
    </row>
    <row r="3132" spans="1:6" hidden="1" x14ac:dyDescent="0.3">
      <c r="A3132" s="7" t="str">
        <f>BD_ControlRegimen[[#This Row],[FECHA]]&amp;BD_ControlRegimen[[#This Row],[NOMBRE]]</f>
        <v>45126URQUIZA ASCENCIO JORGE LUIS</v>
      </c>
      <c r="B3132" s="83">
        <f>WEEKNUM(BD_ControlRegimen[[#This Row],[FECHA]],2)</f>
        <v>30</v>
      </c>
      <c r="C3132" s="7">
        <v>45126</v>
      </c>
      <c r="D3132" s="3" t="s">
        <v>73</v>
      </c>
      <c r="E3132" s="3"/>
      <c r="F3132" s="3"/>
    </row>
    <row r="3133" spans="1:6" hidden="1" x14ac:dyDescent="0.3">
      <c r="A3133" s="7" t="str">
        <f>BD_ControlRegimen[[#This Row],[FECHA]]&amp;BD_ControlRegimen[[#This Row],[NOMBRE]]</f>
        <v>45127URQUIZA ASCENCIO JORGE LUIS</v>
      </c>
      <c r="B3133" s="83">
        <f>WEEKNUM(BD_ControlRegimen[[#This Row],[FECHA]],2)</f>
        <v>30</v>
      </c>
      <c r="C3133" s="7">
        <v>45127</v>
      </c>
      <c r="D3133" s="3" t="s">
        <v>73</v>
      </c>
      <c r="E3133" s="3"/>
      <c r="F3133" s="3"/>
    </row>
    <row r="3134" spans="1:6" hidden="1" x14ac:dyDescent="0.3">
      <c r="A3134" s="7" t="str">
        <f>BD_ControlRegimen[[#This Row],[FECHA]]&amp;BD_ControlRegimen[[#This Row],[NOMBRE]]</f>
        <v>45128URQUIZA ASCENCIO JORGE LUIS</v>
      </c>
      <c r="B3134" s="83">
        <f>WEEKNUM(BD_ControlRegimen[[#This Row],[FECHA]],2)</f>
        <v>30</v>
      </c>
      <c r="C3134" s="7">
        <v>45128</v>
      </c>
      <c r="D3134" s="3" t="s">
        <v>73</v>
      </c>
      <c r="E3134" s="3"/>
      <c r="F3134" s="3"/>
    </row>
    <row r="3135" spans="1:6" hidden="1" x14ac:dyDescent="0.3">
      <c r="A3135" s="7" t="str">
        <f>BD_ControlRegimen[[#This Row],[FECHA]]&amp;BD_ControlRegimen[[#This Row],[NOMBRE]]</f>
        <v>45129URQUIZA ASCENCIO JORGE LUIS</v>
      </c>
      <c r="B3135" s="83">
        <f>WEEKNUM(BD_ControlRegimen[[#This Row],[FECHA]],2)</f>
        <v>30</v>
      </c>
      <c r="C3135" s="7">
        <v>45129</v>
      </c>
      <c r="D3135" s="3" t="s">
        <v>73</v>
      </c>
      <c r="E3135" s="3"/>
      <c r="F3135" s="3"/>
    </row>
    <row r="3136" spans="1:6" hidden="1" x14ac:dyDescent="0.3">
      <c r="A3136" s="7" t="str">
        <f>BD_ControlRegimen[[#This Row],[FECHA]]&amp;BD_ControlRegimen[[#This Row],[NOMBRE]]</f>
        <v>45130URQUIZA ASCENCIO JORGE LUIS</v>
      </c>
      <c r="B3136" s="83">
        <f>WEEKNUM(BD_ControlRegimen[[#This Row],[FECHA]],2)</f>
        <v>30</v>
      </c>
      <c r="C3136" s="7">
        <v>45130</v>
      </c>
      <c r="D3136" s="3" t="s">
        <v>73</v>
      </c>
      <c r="E3136" s="3"/>
      <c r="F3136" s="3"/>
    </row>
    <row r="3137" spans="1:6" hidden="1" x14ac:dyDescent="0.3">
      <c r="A3137" s="7" t="str">
        <f>BD_ControlRegimen[[#This Row],[FECHA]]&amp;BD_ControlRegimen[[#This Row],[NOMBRE]]</f>
        <v>45131URQUIZA ASCENCIO JORGE LUIS</v>
      </c>
      <c r="B3137" s="83">
        <f>WEEKNUM(BD_ControlRegimen[[#This Row],[FECHA]],2)</f>
        <v>31</v>
      </c>
      <c r="C3137" s="7">
        <v>45131</v>
      </c>
      <c r="D3137" s="3" t="s">
        <v>73</v>
      </c>
      <c r="E3137" s="3"/>
      <c r="F3137" s="3"/>
    </row>
    <row r="3138" spans="1:6" hidden="1" x14ac:dyDescent="0.3">
      <c r="A3138" s="7" t="str">
        <f>BD_ControlRegimen[[#This Row],[FECHA]]&amp;BD_ControlRegimen[[#This Row],[NOMBRE]]</f>
        <v>45132URQUIZA ASCENCIO JORGE LUIS</v>
      </c>
      <c r="B3138" s="83">
        <f>WEEKNUM(BD_ControlRegimen[[#This Row],[FECHA]],2)</f>
        <v>31</v>
      </c>
      <c r="C3138" s="7">
        <v>45132</v>
      </c>
      <c r="D3138" s="3" t="s">
        <v>73</v>
      </c>
      <c r="E3138" s="3"/>
      <c r="F3138" s="3"/>
    </row>
    <row r="3139" spans="1:6" hidden="1" x14ac:dyDescent="0.3">
      <c r="A3139" s="7" t="str">
        <f>BD_ControlRegimen[[#This Row],[FECHA]]&amp;BD_ControlRegimen[[#This Row],[NOMBRE]]</f>
        <v>45133URQUIZA ASCENCIO JORGE LUIS</v>
      </c>
      <c r="B3139" s="83">
        <f>WEEKNUM(BD_ControlRegimen[[#This Row],[FECHA]],2)</f>
        <v>31</v>
      </c>
      <c r="C3139" s="7">
        <v>45133</v>
      </c>
      <c r="D3139" s="3" t="s">
        <v>73</v>
      </c>
      <c r="E3139" s="3"/>
      <c r="F3139" s="3"/>
    </row>
    <row r="3140" spans="1:6" hidden="1" x14ac:dyDescent="0.3">
      <c r="A3140" s="7" t="str">
        <f>BD_ControlRegimen[[#This Row],[FECHA]]&amp;BD_ControlRegimen[[#This Row],[NOMBRE]]</f>
        <v>45134URQUIZA ASCENCIO JORGE LUIS</v>
      </c>
      <c r="B3140" s="83">
        <f>WEEKNUM(BD_ControlRegimen[[#This Row],[FECHA]],2)</f>
        <v>31</v>
      </c>
      <c r="C3140" s="7">
        <v>45134</v>
      </c>
      <c r="D3140" s="3" t="s">
        <v>73</v>
      </c>
      <c r="E3140" s="3"/>
      <c r="F3140" s="3"/>
    </row>
    <row r="3141" spans="1:6" hidden="1" x14ac:dyDescent="0.3">
      <c r="A3141" s="7" t="str">
        <f>BD_ControlRegimen[[#This Row],[FECHA]]&amp;BD_ControlRegimen[[#This Row],[NOMBRE]]</f>
        <v>45135URQUIZA ASCENCIO JORGE LUIS</v>
      </c>
      <c r="B3141" s="83">
        <f>WEEKNUM(BD_ControlRegimen[[#This Row],[FECHA]],2)</f>
        <v>31</v>
      </c>
      <c r="C3141" s="7">
        <v>45135</v>
      </c>
      <c r="D3141" s="3" t="s">
        <v>73</v>
      </c>
      <c r="E3141" s="3"/>
      <c r="F3141" s="3"/>
    </row>
    <row r="3142" spans="1:6" hidden="1" x14ac:dyDescent="0.3">
      <c r="A3142" s="7" t="str">
        <f>BD_ControlRegimen[[#This Row],[FECHA]]&amp;BD_ControlRegimen[[#This Row],[NOMBRE]]</f>
        <v>45136URQUIZA ASCENCIO JORGE LUIS</v>
      </c>
      <c r="B3142" s="83">
        <f>WEEKNUM(BD_ControlRegimen[[#This Row],[FECHA]],2)</f>
        <v>31</v>
      </c>
      <c r="C3142" s="7">
        <v>45136</v>
      </c>
      <c r="D3142" s="3" t="s">
        <v>73</v>
      </c>
      <c r="E3142" s="3"/>
      <c r="F3142" s="3"/>
    </row>
    <row r="3143" spans="1:6" hidden="1" x14ac:dyDescent="0.3">
      <c r="A3143" s="7" t="str">
        <f>BD_ControlRegimen[[#This Row],[FECHA]]&amp;BD_ControlRegimen[[#This Row],[NOMBRE]]</f>
        <v>45137URQUIZA ASCENCIO JORGE LUIS</v>
      </c>
      <c r="B3143" s="83">
        <f>WEEKNUM(BD_ControlRegimen[[#This Row],[FECHA]],2)</f>
        <v>31</v>
      </c>
      <c r="C3143" s="7">
        <v>45137</v>
      </c>
      <c r="D3143" s="3" t="s">
        <v>73</v>
      </c>
      <c r="E3143" s="3"/>
      <c r="F3143" s="3"/>
    </row>
    <row r="3144" spans="1:6" hidden="1" x14ac:dyDescent="0.3">
      <c r="A3144" s="7" t="str">
        <f>BD_ControlRegimen[[#This Row],[FECHA]]&amp;BD_ControlRegimen[[#This Row],[NOMBRE]]</f>
        <v>45138URQUIZA ASCENCIO JORGE LUIS</v>
      </c>
      <c r="B3144" s="83">
        <f>WEEKNUM(BD_ControlRegimen[[#This Row],[FECHA]],2)</f>
        <v>32</v>
      </c>
      <c r="C3144" s="7">
        <v>45138</v>
      </c>
      <c r="D3144" s="3" t="s">
        <v>73</v>
      </c>
      <c r="E3144" s="3"/>
      <c r="F3144" s="3"/>
    </row>
    <row r="3145" spans="1:6" hidden="1" x14ac:dyDescent="0.3">
      <c r="A3145" s="7" t="str">
        <f>BD_ControlRegimen[[#This Row],[FECHA]]&amp;BD_ControlRegimen[[#This Row],[NOMBRE]]</f>
        <v>45139URQUIZA ASCENCIO JORGE LUIS</v>
      </c>
      <c r="B3145" s="83">
        <f>WEEKNUM(BD_ControlRegimen[[#This Row],[FECHA]],2)</f>
        <v>32</v>
      </c>
      <c r="C3145" s="7">
        <v>45139</v>
      </c>
      <c r="D3145" s="3" t="s">
        <v>73</v>
      </c>
      <c r="E3145" s="3"/>
      <c r="F3145" s="3"/>
    </row>
    <row r="3146" spans="1:6" hidden="1" x14ac:dyDescent="0.3">
      <c r="A3146" s="7" t="str">
        <f>BD_ControlRegimen[[#This Row],[FECHA]]&amp;BD_ControlRegimen[[#This Row],[NOMBRE]]</f>
        <v>45140URQUIZA ASCENCIO JORGE LUIS</v>
      </c>
      <c r="B3146" s="83">
        <f>WEEKNUM(BD_ControlRegimen[[#This Row],[FECHA]],2)</f>
        <v>32</v>
      </c>
      <c r="C3146" s="7">
        <v>45140</v>
      </c>
      <c r="D3146" s="3" t="s">
        <v>73</v>
      </c>
      <c r="E3146" s="3"/>
      <c r="F3146" s="3"/>
    </row>
    <row r="3147" spans="1:6" hidden="1" x14ac:dyDescent="0.3">
      <c r="A3147" s="7" t="str">
        <f>BD_ControlRegimen[[#This Row],[FECHA]]&amp;BD_ControlRegimen[[#This Row],[NOMBRE]]</f>
        <v>45141URQUIZA ASCENCIO JORGE LUIS</v>
      </c>
      <c r="B3147" s="83">
        <f>WEEKNUM(BD_ControlRegimen[[#This Row],[FECHA]],2)</f>
        <v>32</v>
      </c>
      <c r="C3147" s="7">
        <v>45141</v>
      </c>
      <c r="D3147" s="3" t="s">
        <v>73</v>
      </c>
      <c r="E3147" s="3"/>
      <c r="F3147" s="3"/>
    </row>
    <row r="3148" spans="1:6" hidden="1" x14ac:dyDescent="0.3">
      <c r="A3148" s="7" t="str">
        <f>BD_ControlRegimen[[#This Row],[FECHA]]&amp;BD_ControlRegimen[[#This Row],[NOMBRE]]</f>
        <v>45142URQUIZA ASCENCIO JORGE LUIS</v>
      </c>
      <c r="B3148" s="83">
        <f>WEEKNUM(BD_ControlRegimen[[#This Row],[FECHA]],2)</f>
        <v>32</v>
      </c>
      <c r="C3148" s="7">
        <v>45142</v>
      </c>
      <c r="D3148" s="3" t="s">
        <v>73</v>
      </c>
      <c r="E3148" s="3"/>
      <c r="F3148" s="3"/>
    </row>
    <row r="3149" spans="1:6" hidden="1" x14ac:dyDescent="0.3">
      <c r="A3149" s="7" t="str">
        <f>BD_ControlRegimen[[#This Row],[FECHA]]&amp;BD_ControlRegimen[[#This Row],[NOMBRE]]</f>
        <v>45143URQUIZA ASCENCIO JORGE LUIS</v>
      </c>
      <c r="B3149" s="83">
        <f>WEEKNUM(BD_ControlRegimen[[#This Row],[FECHA]],2)</f>
        <v>32</v>
      </c>
      <c r="C3149" s="7">
        <v>45143</v>
      </c>
      <c r="D3149" s="3" t="s">
        <v>73</v>
      </c>
      <c r="E3149" s="3"/>
      <c r="F3149" s="3"/>
    </row>
    <row r="3150" spans="1:6" hidden="1" x14ac:dyDescent="0.3">
      <c r="A3150" s="7" t="str">
        <f>BD_ControlRegimen[[#This Row],[FECHA]]&amp;BD_ControlRegimen[[#This Row],[NOMBRE]]</f>
        <v>45144URQUIZA ASCENCIO JORGE LUIS</v>
      </c>
      <c r="B3150" s="83">
        <f>WEEKNUM(BD_ControlRegimen[[#This Row],[FECHA]],2)</f>
        <v>32</v>
      </c>
      <c r="C3150" s="7">
        <v>45144</v>
      </c>
      <c r="D3150" s="3" t="s">
        <v>73</v>
      </c>
      <c r="E3150" s="3"/>
      <c r="F3150" s="3"/>
    </row>
    <row r="3151" spans="1:6" hidden="1" x14ac:dyDescent="0.3">
      <c r="A3151" s="7" t="str">
        <f>BD_ControlRegimen[[#This Row],[FECHA]]&amp;BD_ControlRegimen[[#This Row],[NOMBRE]]</f>
        <v>45145URQUIZA ASCENCIO JORGE LUIS</v>
      </c>
      <c r="B3151" s="83">
        <f>WEEKNUM(BD_ControlRegimen[[#This Row],[FECHA]],2)</f>
        <v>33</v>
      </c>
      <c r="C3151" s="7">
        <v>45145</v>
      </c>
      <c r="D3151" s="3" t="s">
        <v>73</v>
      </c>
      <c r="E3151" s="3"/>
      <c r="F3151" s="3"/>
    </row>
    <row r="3152" spans="1:6" hidden="1" x14ac:dyDescent="0.3">
      <c r="A3152" s="7" t="str">
        <f>BD_ControlRegimen[[#This Row],[FECHA]]&amp;BD_ControlRegimen[[#This Row],[NOMBRE]]</f>
        <v>45146URQUIZA ASCENCIO JORGE LUIS</v>
      </c>
      <c r="B3152" s="83">
        <f>WEEKNUM(BD_ControlRegimen[[#This Row],[FECHA]],2)</f>
        <v>33</v>
      </c>
      <c r="C3152" s="7">
        <v>45146</v>
      </c>
      <c r="D3152" s="3" t="s">
        <v>73</v>
      </c>
      <c r="E3152" s="3"/>
      <c r="F3152" s="3"/>
    </row>
    <row r="3153" spans="1:6" hidden="1" x14ac:dyDescent="0.3">
      <c r="A3153" s="7" t="str">
        <f>BD_ControlRegimen[[#This Row],[FECHA]]&amp;BD_ControlRegimen[[#This Row],[NOMBRE]]</f>
        <v>45147URQUIZA ASCENCIO JORGE LUIS</v>
      </c>
      <c r="B3153" s="83">
        <f>WEEKNUM(BD_ControlRegimen[[#This Row],[FECHA]],2)</f>
        <v>33</v>
      </c>
      <c r="C3153" s="7">
        <v>45147</v>
      </c>
      <c r="D3153" s="3" t="s">
        <v>73</v>
      </c>
      <c r="E3153" s="3"/>
      <c r="F3153" s="3"/>
    </row>
    <row r="3154" spans="1:6" hidden="1" x14ac:dyDescent="0.3">
      <c r="A3154" s="7" t="str">
        <f>BD_ControlRegimen[[#This Row],[FECHA]]&amp;BD_ControlRegimen[[#This Row],[NOMBRE]]</f>
        <v>45148URQUIZA ASCENCIO JORGE LUIS</v>
      </c>
      <c r="B3154" s="83">
        <f>WEEKNUM(BD_ControlRegimen[[#This Row],[FECHA]],2)</f>
        <v>33</v>
      </c>
      <c r="C3154" s="7">
        <v>45148</v>
      </c>
      <c r="D3154" s="3" t="s">
        <v>73</v>
      </c>
      <c r="E3154" s="3"/>
      <c r="F3154" s="3"/>
    </row>
    <row r="3155" spans="1:6" hidden="1" x14ac:dyDescent="0.3">
      <c r="A3155" s="7" t="str">
        <f>BD_ControlRegimen[[#This Row],[FECHA]]&amp;BD_ControlRegimen[[#This Row],[NOMBRE]]</f>
        <v>45149URQUIZA ASCENCIO JORGE LUIS</v>
      </c>
      <c r="B3155" s="83">
        <f>WEEKNUM(BD_ControlRegimen[[#This Row],[FECHA]],2)</f>
        <v>33</v>
      </c>
      <c r="C3155" s="7">
        <v>45149</v>
      </c>
      <c r="D3155" s="3" t="s">
        <v>73</v>
      </c>
      <c r="E3155" s="3"/>
      <c r="F3155" s="3"/>
    </row>
    <row r="3156" spans="1:6" hidden="1" x14ac:dyDescent="0.3">
      <c r="A3156" s="7" t="str">
        <f>BD_ControlRegimen[[#This Row],[FECHA]]&amp;BD_ControlRegimen[[#This Row],[NOMBRE]]</f>
        <v>45150URQUIZA ASCENCIO JORGE LUIS</v>
      </c>
      <c r="B3156" s="83">
        <f>WEEKNUM(BD_ControlRegimen[[#This Row],[FECHA]],2)</f>
        <v>33</v>
      </c>
      <c r="C3156" s="7">
        <v>45150</v>
      </c>
      <c r="D3156" s="3" t="s">
        <v>73</v>
      </c>
      <c r="E3156" s="3"/>
      <c r="F3156" s="3"/>
    </row>
    <row r="3157" spans="1:6" hidden="1" x14ac:dyDescent="0.3">
      <c r="A3157" s="7" t="str">
        <f>BD_ControlRegimen[[#This Row],[FECHA]]&amp;BD_ControlRegimen[[#This Row],[NOMBRE]]</f>
        <v>45151URQUIZA ASCENCIO JORGE LUIS</v>
      </c>
      <c r="B3157" s="83">
        <f>WEEKNUM(BD_ControlRegimen[[#This Row],[FECHA]],2)</f>
        <v>33</v>
      </c>
      <c r="C3157" s="7">
        <v>45151</v>
      </c>
      <c r="D3157" s="3" t="s">
        <v>73</v>
      </c>
      <c r="E3157" s="3"/>
      <c r="F3157" s="3"/>
    </row>
    <row r="3158" spans="1:6" hidden="1" x14ac:dyDescent="0.3">
      <c r="A3158" s="7" t="str">
        <f>BD_ControlRegimen[[#This Row],[FECHA]]&amp;BD_ControlRegimen[[#This Row],[NOMBRE]]</f>
        <v>45152URQUIZA ASCENCIO JORGE LUIS</v>
      </c>
      <c r="B3158" s="83">
        <f>WEEKNUM(BD_ControlRegimen[[#This Row],[FECHA]],2)</f>
        <v>34</v>
      </c>
      <c r="C3158" s="7">
        <v>45152</v>
      </c>
      <c r="D3158" s="3" t="s">
        <v>73</v>
      </c>
      <c r="E3158" s="3"/>
      <c r="F3158" s="3"/>
    </row>
    <row r="3159" spans="1:6" hidden="1" x14ac:dyDescent="0.3">
      <c r="A3159" s="7" t="str">
        <f>BD_ControlRegimen[[#This Row],[FECHA]]&amp;BD_ControlRegimen[[#This Row],[NOMBRE]]</f>
        <v>45153URQUIZA ASCENCIO JORGE LUIS</v>
      </c>
      <c r="B3159" s="83">
        <f>WEEKNUM(BD_ControlRegimen[[#This Row],[FECHA]],2)</f>
        <v>34</v>
      </c>
      <c r="C3159" s="7">
        <v>45153</v>
      </c>
      <c r="D3159" s="3" t="s">
        <v>73</v>
      </c>
      <c r="E3159" s="3"/>
      <c r="F3159" s="3"/>
    </row>
    <row r="3160" spans="1:6" hidden="1" x14ac:dyDescent="0.3">
      <c r="A3160" s="7" t="str">
        <f>BD_ControlRegimen[[#This Row],[FECHA]]&amp;BD_ControlRegimen[[#This Row],[NOMBRE]]</f>
        <v>45154URQUIZA ASCENCIO JORGE LUIS</v>
      </c>
      <c r="B3160" s="83">
        <f>WEEKNUM(BD_ControlRegimen[[#This Row],[FECHA]],2)</f>
        <v>34</v>
      </c>
      <c r="C3160" s="7">
        <v>45154</v>
      </c>
      <c r="D3160" s="3" t="s">
        <v>73</v>
      </c>
      <c r="E3160" s="3"/>
      <c r="F3160" s="3"/>
    </row>
    <row r="3161" spans="1:6" hidden="1" x14ac:dyDescent="0.3">
      <c r="A3161" s="7" t="str">
        <f>BD_ControlRegimen[[#This Row],[FECHA]]&amp;BD_ControlRegimen[[#This Row],[NOMBRE]]</f>
        <v>45155URQUIZA ASCENCIO JORGE LUIS</v>
      </c>
      <c r="B3161" s="83">
        <f>WEEKNUM(BD_ControlRegimen[[#This Row],[FECHA]],2)</f>
        <v>34</v>
      </c>
      <c r="C3161" s="7">
        <v>45155</v>
      </c>
      <c r="D3161" s="3" t="s">
        <v>73</v>
      </c>
      <c r="E3161" s="3"/>
      <c r="F3161" s="3"/>
    </row>
    <row r="3162" spans="1:6" hidden="1" x14ac:dyDescent="0.3">
      <c r="A3162" s="7" t="str">
        <f>BD_ControlRegimen[[#This Row],[FECHA]]&amp;BD_ControlRegimen[[#This Row],[NOMBRE]]</f>
        <v>45156URQUIZA ASCENCIO JORGE LUIS</v>
      </c>
      <c r="B3162" s="83">
        <f>WEEKNUM(BD_ControlRegimen[[#This Row],[FECHA]],2)</f>
        <v>34</v>
      </c>
      <c r="C3162" s="7">
        <v>45156</v>
      </c>
      <c r="D3162" s="3" t="s">
        <v>73</v>
      </c>
      <c r="E3162" s="3"/>
      <c r="F3162" s="3"/>
    </row>
    <row r="3163" spans="1:6" hidden="1" x14ac:dyDescent="0.3">
      <c r="A3163" s="7" t="str">
        <f>BD_ControlRegimen[[#This Row],[FECHA]]&amp;BD_ControlRegimen[[#This Row],[NOMBRE]]</f>
        <v>45157URQUIZA ASCENCIO JORGE LUIS</v>
      </c>
      <c r="B3163" s="83">
        <f>WEEKNUM(BD_ControlRegimen[[#This Row],[FECHA]],2)</f>
        <v>34</v>
      </c>
      <c r="C3163" s="7">
        <v>45157</v>
      </c>
      <c r="D3163" s="3" t="s">
        <v>73</v>
      </c>
      <c r="E3163" s="3"/>
      <c r="F3163" s="3"/>
    </row>
    <row r="3164" spans="1:6" hidden="1" x14ac:dyDescent="0.3">
      <c r="A3164" s="7" t="str">
        <f>BD_ControlRegimen[[#This Row],[FECHA]]&amp;BD_ControlRegimen[[#This Row],[NOMBRE]]</f>
        <v>45158URQUIZA ASCENCIO JORGE LUIS</v>
      </c>
      <c r="B3164" s="83">
        <f>WEEKNUM(BD_ControlRegimen[[#This Row],[FECHA]],2)</f>
        <v>34</v>
      </c>
      <c r="C3164" s="7">
        <v>45158</v>
      </c>
      <c r="D3164" s="3" t="s">
        <v>73</v>
      </c>
      <c r="E3164" s="3"/>
      <c r="F3164" s="3"/>
    </row>
    <row r="3165" spans="1:6" hidden="1" x14ac:dyDescent="0.3">
      <c r="A3165" s="7" t="str">
        <f>BD_ControlRegimen[[#This Row],[FECHA]]&amp;BD_ControlRegimen[[#This Row],[NOMBRE]]</f>
        <v>45159URQUIZA ASCENCIO JORGE LUIS</v>
      </c>
      <c r="B3165" s="83">
        <f>WEEKNUM(BD_ControlRegimen[[#This Row],[FECHA]],2)</f>
        <v>35</v>
      </c>
      <c r="C3165" s="7">
        <v>45159</v>
      </c>
      <c r="D3165" s="3" t="s">
        <v>73</v>
      </c>
      <c r="E3165" s="3"/>
      <c r="F3165" s="3"/>
    </row>
    <row r="3166" spans="1:6" hidden="1" x14ac:dyDescent="0.3">
      <c r="A3166" s="7" t="str">
        <f>BD_ControlRegimen[[#This Row],[FECHA]]&amp;BD_ControlRegimen[[#This Row],[NOMBRE]]</f>
        <v>45160URQUIZA ASCENCIO JORGE LUIS</v>
      </c>
      <c r="B3166" s="83">
        <f>WEEKNUM(BD_ControlRegimen[[#This Row],[FECHA]],2)</f>
        <v>35</v>
      </c>
      <c r="C3166" s="7">
        <v>45160</v>
      </c>
      <c r="D3166" s="3" t="s">
        <v>73</v>
      </c>
      <c r="E3166" s="3"/>
      <c r="F3166" s="3"/>
    </row>
    <row r="3167" spans="1:6" hidden="1" x14ac:dyDescent="0.3">
      <c r="A3167" s="7" t="str">
        <f>BD_ControlRegimen[[#This Row],[FECHA]]&amp;BD_ControlRegimen[[#This Row],[NOMBRE]]</f>
        <v>45161URQUIZA ASCENCIO JORGE LUIS</v>
      </c>
      <c r="B3167" s="83">
        <f>WEEKNUM(BD_ControlRegimen[[#This Row],[FECHA]],2)</f>
        <v>35</v>
      </c>
      <c r="C3167" s="7">
        <v>45161</v>
      </c>
      <c r="D3167" s="3" t="s">
        <v>73</v>
      </c>
      <c r="E3167" s="3"/>
      <c r="F3167" s="3"/>
    </row>
    <row r="3168" spans="1:6" hidden="1" x14ac:dyDescent="0.3">
      <c r="A3168" s="7" t="str">
        <f>BD_ControlRegimen[[#This Row],[FECHA]]&amp;BD_ControlRegimen[[#This Row],[NOMBRE]]</f>
        <v>45162URQUIZA ASCENCIO JORGE LUIS</v>
      </c>
      <c r="B3168" s="83">
        <f>WEEKNUM(BD_ControlRegimen[[#This Row],[FECHA]],2)</f>
        <v>35</v>
      </c>
      <c r="C3168" s="7">
        <v>45162</v>
      </c>
      <c r="D3168" s="3" t="s">
        <v>73</v>
      </c>
      <c r="E3168" s="3"/>
      <c r="F3168" s="3"/>
    </row>
    <row r="3169" spans="1:6" hidden="1" x14ac:dyDescent="0.3">
      <c r="A3169" s="7" t="str">
        <f>BD_ControlRegimen[[#This Row],[FECHA]]&amp;BD_ControlRegimen[[#This Row],[NOMBRE]]</f>
        <v>45163URQUIZA ASCENCIO JORGE LUIS</v>
      </c>
      <c r="B3169" s="83">
        <f>WEEKNUM(BD_ControlRegimen[[#This Row],[FECHA]],2)</f>
        <v>35</v>
      </c>
      <c r="C3169" s="7">
        <v>45163</v>
      </c>
      <c r="D3169" s="3" t="s">
        <v>73</v>
      </c>
      <c r="E3169" s="3"/>
      <c r="F3169" s="3"/>
    </row>
    <row r="3170" spans="1:6" hidden="1" x14ac:dyDescent="0.3">
      <c r="A3170" s="7" t="str">
        <f>BD_ControlRegimen[[#This Row],[FECHA]]&amp;BD_ControlRegimen[[#This Row],[NOMBRE]]</f>
        <v>45164URQUIZA ASCENCIO JORGE LUIS</v>
      </c>
      <c r="B3170" s="83">
        <f>WEEKNUM(BD_ControlRegimen[[#This Row],[FECHA]],2)</f>
        <v>35</v>
      </c>
      <c r="C3170" s="7">
        <v>45164</v>
      </c>
      <c r="D3170" s="3" t="s">
        <v>73</v>
      </c>
      <c r="E3170" s="3"/>
      <c r="F3170" s="3"/>
    </row>
    <row r="3171" spans="1:6" hidden="1" x14ac:dyDescent="0.3">
      <c r="A3171" s="7" t="str">
        <f>BD_ControlRegimen[[#This Row],[FECHA]]&amp;BD_ControlRegimen[[#This Row],[NOMBRE]]</f>
        <v>45165URQUIZA ASCENCIO JORGE LUIS</v>
      </c>
      <c r="B3171" s="83">
        <f>WEEKNUM(BD_ControlRegimen[[#This Row],[FECHA]],2)</f>
        <v>35</v>
      </c>
      <c r="C3171" s="7">
        <v>45165</v>
      </c>
      <c r="D3171" s="3" t="s">
        <v>73</v>
      </c>
      <c r="E3171" s="3"/>
      <c r="F3171" s="3"/>
    </row>
    <row r="3172" spans="1:6" hidden="1" x14ac:dyDescent="0.3">
      <c r="A3172" s="7" t="str">
        <f>BD_ControlRegimen[[#This Row],[FECHA]]&amp;BD_ControlRegimen[[#This Row],[NOMBRE]]</f>
        <v>45166URQUIZA ASCENCIO JORGE LUIS</v>
      </c>
      <c r="B3172" s="83">
        <f>WEEKNUM(BD_ControlRegimen[[#This Row],[FECHA]],2)</f>
        <v>36</v>
      </c>
      <c r="C3172" s="7">
        <v>45166</v>
      </c>
      <c r="D3172" s="3" t="s">
        <v>73</v>
      </c>
      <c r="E3172" s="3"/>
      <c r="F3172" s="3"/>
    </row>
    <row r="3173" spans="1:6" hidden="1" x14ac:dyDescent="0.3">
      <c r="A3173" s="7" t="str">
        <f>BD_ControlRegimen[[#This Row],[FECHA]]&amp;BD_ControlRegimen[[#This Row],[NOMBRE]]</f>
        <v>45167URQUIZA ASCENCIO JORGE LUIS</v>
      </c>
      <c r="B3173" s="83">
        <f>WEEKNUM(BD_ControlRegimen[[#This Row],[FECHA]],2)</f>
        <v>36</v>
      </c>
      <c r="C3173" s="7">
        <v>45167</v>
      </c>
      <c r="D3173" s="3" t="s">
        <v>73</v>
      </c>
      <c r="E3173" s="3"/>
      <c r="F3173" s="3"/>
    </row>
    <row r="3174" spans="1:6" hidden="1" x14ac:dyDescent="0.3">
      <c r="A3174" s="7" t="str">
        <f>BD_ControlRegimen[[#This Row],[FECHA]]&amp;BD_ControlRegimen[[#This Row],[NOMBRE]]</f>
        <v>45168URQUIZA ASCENCIO JORGE LUIS</v>
      </c>
      <c r="B3174" s="83">
        <f>WEEKNUM(BD_ControlRegimen[[#This Row],[FECHA]],2)</f>
        <v>36</v>
      </c>
      <c r="C3174" s="7">
        <v>45168</v>
      </c>
      <c r="D3174" s="3" t="s">
        <v>73</v>
      </c>
      <c r="E3174" s="3"/>
      <c r="F3174" s="3"/>
    </row>
    <row r="3175" spans="1:6" hidden="1" x14ac:dyDescent="0.3">
      <c r="A3175" s="7" t="str">
        <f>BD_ControlRegimen[[#This Row],[FECHA]]&amp;BD_ControlRegimen[[#This Row],[NOMBRE]]</f>
        <v>45169URQUIZA ASCENCIO JORGE LUIS</v>
      </c>
      <c r="B3175" s="83">
        <f>WEEKNUM(BD_ControlRegimen[[#This Row],[FECHA]],2)</f>
        <v>36</v>
      </c>
      <c r="C3175" s="7">
        <v>45169</v>
      </c>
      <c r="D3175" s="3" t="s">
        <v>73</v>
      </c>
      <c r="E3175" s="3"/>
      <c r="F3175" s="3"/>
    </row>
    <row r="3176" spans="1:6" hidden="1" x14ac:dyDescent="0.3">
      <c r="A3176" s="7" t="str">
        <f>BD_ControlRegimen[[#This Row],[FECHA]]&amp;BD_ControlRegimen[[#This Row],[NOMBRE]]</f>
        <v>45170URQUIZA ASCENCIO JORGE LUIS</v>
      </c>
      <c r="B3176" s="83">
        <f>WEEKNUM(BD_ControlRegimen[[#This Row],[FECHA]],2)</f>
        <v>36</v>
      </c>
      <c r="C3176" s="7">
        <v>45170</v>
      </c>
      <c r="D3176" s="3" t="s">
        <v>73</v>
      </c>
      <c r="E3176" s="3"/>
      <c r="F3176" s="3"/>
    </row>
    <row r="3177" spans="1:6" hidden="1" x14ac:dyDescent="0.3">
      <c r="A3177" s="7" t="str">
        <f>BD_ControlRegimen[[#This Row],[FECHA]]&amp;BD_ControlRegimen[[#This Row],[NOMBRE]]</f>
        <v>45171URQUIZA ASCENCIO JORGE LUIS</v>
      </c>
      <c r="B3177" s="83">
        <f>WEEKNUM(BD_ControlRegimen[[#This Row],[FECHA]],2)</f>
        <v>36</v>
      </c>
      <c r="C3177" s="7">
        <v>45171</v>
      </c>
      <c r="D3177" s="3" t="s">
        <v>73</v>
      </c>
      <c r="E3177" s="3"/>
      <c r="F3177" s="3"/>
    </row>
    <row r="3178" spans="1:6" hidden="1" x14ac:dyDescent="0.3">
      <c r="A3178" s="7" t="str">
        <f>BD_ControlRegimen[[#This Row],[FECHA]]&amp;BD_ControlRegimen[[#This Row],[NOMBRE]]</f>
        <v>45172URQUIZA ASCENCIO JORGE LUIS</v>
      </c>
      <c r="B3178" s="83">
        <f>WEEKNUM(BD_ControlRegimen[[#This Row],[FECHA]],2)</f>
        <v>36</v>
      </c>
      <c r="C3178" s="7">
        <v>45172</v>
      </c>
      <c r="D3178" s="3" t="s">
        <v>73</v>
      </c>
      <c r="E3178" s="3"/>
      <c r="F3178" s="3"/>
    </row>
    <row r="3179" spans="1:6" hidden="1" x14ac:dyDescent="0.3">
      <c r="A3179" s="7" t="str">
        <f>BD_ControlRegimen[[#This Row],[FECHA]]&amp;BD_ControlRegimen[[#This Row],[NOMBRE]]</f>
        <v>45173URQUIZA ASCENCIO JORGE LUIS</v>
      </c>
      <c r="B3179" s="83">
        <f>WEEKNUM(BD_ControlRegimen[[#This Row],[FECHA]],2)</f>
        <v>37</v>
      </c>
      <c r="C3179" s="7">
        <v>45173</v>
      </c>
      <c r="D3179" s="3" t="s">
        <v>73</v>
      </c>
      <c r="E3179" s="3"/>
      <c r="F3179" s="3"/>
    </row>
    <row r="3180" spans="1:6" hidden="1" x14ac:dyDescent="0.3">
      <c r="A3180" s="7" t="str">
        <f>BD_ControlRegimen[[#This Row],[FECHA]]&amp;BD_ControlRegimen[[#This Row],[NOMBRE]]</f>
        <v>45174URQUIZA ASCENCIO JORGE LUIS</v>
      </c>
      <c r="B3180" s="83">
        <f>WEEKNUM(BD_ControlRegimen[[#This Row],[FECHA]],2)</f>
        <v>37</v>
      </c>
      <c r="C3180" s="7">
        <v>45174</v>
      </c>
      <c r="D3180" s="3" t="s">
        <v>73</v>
      </c>
      <c r="E3180" s="3"/>
      <c r="F3180" s="3"/>
    </row>
    <row r="3181" spans="1:6" hidden="1" x14ac:dyDescent="0.3">
      <c r="A3181" s="7" t="str">
        <f>BD_ControlRegimen[[#This Row],[FECHA]]&amp;BD_ControlRegimen[[#This Row],[NOMBRE]]</f>
        <v>45175URQUIZA ASCENCIO JORGE LUIS</v>
      </c>
      <c r="B3181" s="83">
        <f>WEEKNUM(BD_ControlRegimen[[#This Row],[FECHA]],2)</f>
        <v>37</v>
      </c>
      <c r="C3181" s="7">
        <v>45175</v>
      </c>
      <c r="D3181" s="3" t="s">
        <v>73</v>
      </c>
      <c r="E3181" s="3"/>
      <c r="F3181" s="3"/>
    </row>
    <row r="3182" spans="1:6" hidden="1" x14ac:dyDescent="0.3">
      <c r="A3182" s="7" t="str">
        <f>BD_ControlRegimen[[#This Row],[FECHA]]&amp;BD_ControlRegimen[[#This Row],[NOMBRE]]</f>
        <v>45176URQUIZA ASCENCIO JORGE LUIS</v>
      </c>
      <c r="B3182" s="83">
        <f>WEEKNUM(BD_ControlRegimen[[#This Row],[FECHA]],2)</f>
        <v>37</v>
      </c>
      <c r="C3182" s="7">
        <v>45176</v>
      </c>
      <c r="D3182" s="3" t="s">
        <v>73</v>
      </c>
      <c r="E3182" s="3"/>
      <c r="F3182" s="3"/>
    </row>
    <row r="3183" spans="1:6" hidden="1" x14ac:dyDescent="0.3">
      <c r="A3183" s="7" t="str">
        <f>BD_ControlRegimen[[#This Row],[FECHA]]&amp;BD_ControlRegimen[[#This Row],[NOMBRE]]</f>
        <v>45177URQUIZA ASCENCIO JORGE LUIS</v>
      </c>
      <c r="B3183" s="83">
        <f>WEEKNUM(BD_ControlRegimen[[#This Row],[FECHA]],2)</f>
        <v>37</v>
      </c>
      <c r="C3183" s="7">
        <v>45177</v>
      </c>
      <c r="D3183" s="3" t="s">
        <v>73</v>
      </c>
      <c r="E3183" s="3"/>
      <c r="F3183" s="3"/>
    </row>
    <row r="3184" spans="1:6" hidden="1" x14ac:dyDescent="0.3">
      <c r="A3184" s="7" t="str">
        <f>BD_ControlRegimen[[#This Row],[FECHA]]&amp;BD_ControlRegimen[[#This Row],[NOMBRE]]</f>
        <v>45178URQUIZA ASCENCIO JORGE LUIS</v>
      </c>
      <c r="B3184" s="83">
        <f>WEEKNUM(BD_ControlRegimen[[#This Row],[FECHA]],2)</f>
        <v>37</v>
      </c>
      <c r="C3184" s="7">
        <v>45178</v>
      </c>
      <c r="D3184" s="3" t="s">
        <v>73</v>
      </c>
      <c r="E3184" s="3"/>
      <c r="F3184" s="3"/>
    </row>
    <row r="3185" spans="1:6" hidden="1" x14ac:dyDescent="0.3">
      <c r="A3185" s="7" t="str">
        <f>BD_ControlRegimen[[#This Row],[FECHA]]&amp;BD_ControlRegimen[[#This Row],[NOMBRE]]</f>
        <v>45179URQUIZA ASCENCIO JORGE LUIS</v>
      </c>
      <c r="B3185" s="83">
        <f>WEEKNUM(BD_ControlRegimen[[#This Row],[FECHA]],2)</f>
        <v>37</v>
      </c>
      <c r="C3185" s="7">
        <v>45179</v>
      </c>
      <c r="D3185" s="3" t="s">
        <v>73</v>
      </c>
      <c r="E3185" s="3"/>
      <c r="F3185" s="3"/>
    </row>
    <row r="3186" spans="1:6" hidden="1" x14ac:dyDescent="0.3">
      <c r="A3186" s="7" t="str">
        <f>BD_ControlRegimen[[#This Row],[FECHA]]&amp;BD_ControlRegimen[[#This Row],[NOMBRE]]</f>
        <v>45180URQUIZA ASCENCIO JORGE LUIS</v>
      </c>
      <c r="B3186" s="83">
        <f>WEEKNUM(BD_ControlRegimen[[#This Row],[FECHA]],2)</f>
        <v>38</v>
      </c>
      <c r="C3186" s="7">
        <v>45180</v>
      </c>
      <c r="D3186" s="3" t="s">
        <v>73</v>
      </c>
      <c r="E3186" s="3"/>
      <c r="F3186" s="3"/>
    </row>
    <row r="3187" spans="1:6" hidden="1" x14ac:dyDescent="0.3">
      <c r="A3187" s="7" t="str">
        <f>BD_ControlRegimen[[#This Row],[FECHA]]&amp;BD_ControlRegimen[[#This Row],[NOMBRE]]</f>
        <v>45181URQUIZA ASCENCIO JORGE LUIS</v>
      </c>
      <c r="B3187" s="83">
        <f>WEEKNUM(BD_ControlRegimen[[#This Row],[FECHA]],2)</f>
        <v>38</v>
      </c>
      <c r="C3187" s="7">
        <v>45181</v>
      </c>
      <c r="D3187" s="3" t="s">
        <v>73</v>
      </c>
      <c r="E3187" s="3"/>
      <c r="F3187" s="3"/>
    </row>
    <row r="3188" spans="1:6" hidden="1" x14ac:dyDescent="0.3">
      <c r="A3188" s="7" t="str">
        <f>BD_ControlRegimen[[#This Row],[FECHA]]&amp;BD_ControlRegimen[[#This Row],[NOMBRE]]</f>
        <v>45182URQUIZA ASCENCIO JORGE LUIS</v>
      </c>
      <c r="B3188" s="83">
        <f>WEEKNUM(BD_ControlRegimen[[#This Row],[FECHA]],2)</f>
        <v>38</v>
      </c>
      <c r="C3188" s="7">
        <v>45182</v>
      </c>
      <c r="D3188" s="3" t="s">
        <v>73</v>
      </c>
      <c r="E3188" s="3"/>
      <c r="F3188" s="3"/>
    </row>
    <row r="3189" spans="1:6" hidden="1" x14ac:dyDescent="0.3">
      <c r="A3189" s="7" t="str">
        <f>BD_ControlRegimen[[#This Row],[FECHA]]&amp;BD_ControlRegimen[[#This Row],[NOMBRE]]</f>
        <v>45183URQUIZA ASCENCIO JORGE LUIS</v>
      </c>
      <c r="B3189" s="83">
        <f>WEEKNUM(BD_ControlRegimen[[#This Row],[FECHA]],2)</f>
        <v>38</v>
      </c>
      <c r="C3189" s="7">
        <v>45183</v>
      </c>
      <c r="D3189" s="3" t="s">
        <v>73</v>
      </c>
      <c r="E3189" s="3"/>
      <c r="F3189" s="3"/>
    </row>
    <row r="3190" spans="1:6" hidden="1" x14ac:dyDescent="0.3">
      <c r="A3190" s="7" t="str">
        <f>BD_ControlRegimen[[#This Row],[FECHA]]&amp;BD_ControlRegimen[[#This Row],[NOMBRE]]</f>
        <v>45184URQUIZA ASCENCIO JORGE LUIS</v>
      </c>
      <c r="B3190" s="83">
        <f>WEEKNUM(BD_ControlRegimen[[#This Row],[FECHA]],2)</f>
        <v>38</v>
      </c>
      <c r="C3190" s="7">
        <v>45184</v>
      </c>
      <c r="D3190" s="3" t="s">
        <v>73</v>
      </c>
      <c r="E3190" s="3"/>
      <c r="F3190" s="3"/>
    </row>
    <row r="3191" spans="1:6" hidden="1" x14ac:dyDescent="0.3">
      <c r="A3191" s="7" t="str">
        <f>BD_ControlRegimen[[#This Row],[FECHA]]&amp;BD_ControlRegimen[[#This Row],[NOMBRE]]</f>
        <v>45185URQUIZA ASCENCIO JORGE LUIS</v>
      </c>
      <c r="B3191" s="83">
        <f>WEEKNUM(BD_ControlRegimen[[#This Row],[FECHA]],2)</f>
        <v>38</v>
      </c>
      <c r="C3191" s="7">
        <v>45185</v>
      </c>
      <c r="D3191" s="3" t="s">
        <v>73</v>
      </c>
      <c r="E3191" s="3"/>
      <c r="F3191" s="3"/>
    </row>
    <row r="3192" spans="1:6" hidden="1" x14ac:dyDescent="0.3">
      <c r="A3192" s="7" t="str">
        <f>BD_ControlRegimen[[#This Row],[FECHA]]&amp;BD_ControlRegimen[[#This Row],[NOMBRE]]</f>
        <v>45186URQUIZA ASCENCIO JORGE LUIS</v>
      </c>
      <c r="B3192" s="83">
        <f>WEEKNUM(BD_ControlRegimen[[#This Row],[FECHA]],2)</f>
        <v>38</v>
      </c>
      <c r="C3192" s="7">
        <v>45186</v>
      </c>
      <c r="D3192" s="3" t="s">
        <v>73</v>
      </c>
      <c r="E3192" s="3"/>
      <c r="F3192" s="3"/>
    </row>
    <row r="3193" spans="1:6" hidden="1" x14ac:dyDescent="0.3">
      <c r="A3193" s="7" t="str">
        <f>BD_ControlRegimen[[#This Row],[FECHA]]&amp;BD_ControlRegimen[[#This Row],[NOMBRE]]</f>
        <v>45187URQUIZA ASCENCIO JORGE LUIS</v>
      </c>
      <c r="B3193" s="83">
        <f>WEEKNUM(BD_ControlRegimen[[#This Row],[FECHA]],2)</f>
        <v>39</v>
      </c>
      <c r="C3193" s="7">
        <v>45187</v>
      </c>
      <c r="D3193" s="3" t="s">
        <v>73</v>
      </c>
      <c r="E3193" s="3"/>
      <c r="F3193" s="3"/>
    </row>
    <row r="3194" spans="1:6" hidden="1" x14ac:dyDescent="0.3">
      <c r="A3194" s="7" t="str">
        <f>BD_ControlRegimen[[#This Row],[FECHA]]&amp;BD_ControlRegimen[[#This Row],[NOMBRE]]</f>
        <v>45188URQUIZA ASCENCIO JORGE LUIS</v>
      </c>
      <c r="B3194" s="83">
        <f>WEEKNUM(BD_ControlRegimen[[#This Row],[FECHA]],2)</f>
        <v>39</v>
      </c>
      <c r="C3194" s="7">
        <v>45188</v>
      </c>
      <c r="D3194" s="3" t="s">
        <v>73</v>
      </c>
      <c r="E3194" s="3"/>
      <c r="F3194" s="3"/>
    </row>
    <row r="3195" spans="1:6" hidden="1" x14ac:dyDescent="0.3">
      <c r="A3195" s="7" t="str">
        <f>BD_ControlRegimen[[#This Row],[FECHA]]&amp;BD_ControlRegimen[[#This Row],[NOMBRE]]</f>
        <v>45189URQUIZA ASCENCIO JORGE LUIS</v>
      </c>
      <c r="B3195" s="83">
        <f>WEEKNUM(BD_ControlRegimen[[#This Row],[FECHA]],2)</f>
        <v>39</v>
      </c>
      <c r="C3195" s="7">
        <v>45189</v>
      </c>
      <c r="D3195" s="3" t="s">
        <v>73</v>
      </c>
      <c r="E3195" s="3"/>
      <c r="F3195" s="3"/>
    </row>
    <row r="3196" spans="1:6" hidden="1" x14ac:dyDescent="0.3">
      <c r="A3196" s="7" t="str">
        <f>BD_ControlRegimen[[#This Row],[FECHA]]&amp;BD_ControlRegimen[[#This Row],[NOMBRE]]</f>
        <v>45190URQUIZA ASCENCIO JORGE LUIS</v>
      </c>
      <c r="B3196" s="83">
        <f>WEEKNUM(BD_ControlRegimen[[#This Row],[FECHA]],2)</f>
        <v>39</v>
      </c>
      <c r="C3196" s="7">
        <v>45190</v>
      </c>
      <c r="D3196" s="3" t="s">
        <v>73</v>
      </c>
      <c r="E3196" s="3"/>
      <c r="F3196" s="3"/>
    </row>
    <row r="3197" spans="1:6" hidden="1" x14ac:dyDescent="0.3">
      <c r="A3197" s="7" t="str">
        <f>BD_ControlRegimen[[#This Row],[FECHA]]&amp;BD_ControlRegimen[[#This Row],[NOMBRE]]</f>
        <v>45191URQUIZA ASCENCIO JORGE LUIS</v>
      </c>
      <c r="B3197" s="83">
        <f>WEEKNUM(BD_ControlRegimen[[#This Row],[FECHA]],2)</f>
        <v>39</v>
      </c>
      <c r="C3197" s="7">
        <v>45191</v>
      </c>
      <c r="D3197" s="3" t="s">
        <v>73</v>
      </c>
      <c r="E3197" s="3"/>
      <c r="F3197" s="3"/>
    </row>
    <row r="3198" spans="1:6" hidden="1" x14ac:dyDescent="0.3">
      <c r="A3198" s="7" t="str">
        <f>BD_ControlRegimen[[#This Row],[FECHA]]&amp;BD_ControlRegimen[[#This Row],[NOMBRE]]</f>
        <v>45192URQUIZA ASCENCIO JORGE LUIS</v>
      </c>
      <c r="B3198" s="83">
        <f>WEEKNUM(BD_ControlRegimen[[#This Row],[FECHA]],2)</f>
        <v>39</v>
      </c>
      <c r="C3198" s="7">
        <v>45192</v>
      </c>
      <c r="D3198" s="3" t="s">
        <v>73</v>
      </c>
      <c r="E3198" s="3"/>
      <c r="F3198" s="3"/>
    </row>
    <row r="3199" spans="1:6" hidden="1" x14ac:dyDescent="0.3">
      <c r="A3199" s="7" t="str">
        <f>BD_ControlRegimen[[#This Row],[FECHA]]&amp;BD_ControlRegimen[[#This Row],[NOMBRE]]</f>
        <v>45193URQUIZA ASCENCIO JORGE LUIS</v>
      </c>
      <c r="B3199" s="83">
        <f>WEEKNUM(BD_ControlRegimen[[#This Row],[FECHA]],2)</f>
        <v>39</v>
      </c>
      <c r="C3199" s="7">
        <v>45193</v>
      </c>
      <c r="D3199" s="3" t="s">
        <v>73</v>
      </c>
      <c r="E3199" s="3"/>
      <c r="F3199" s="3"/>
    </row>
    <row r="3200" spans="1:6" hidden="1" x14ac:dyDescent="0.3">
      <c r="A3200" s="7" t="str">
        <f>BD_ControlRegimen[[#This Row],[FECHA]]&amp;BD_ControlRegimen[[#This Row],[NOMBRE]]</f>
        <v>45194URQUIZA ASCENCIO JORGE LUIS</v>
      </c>
      <c r="B3200" s="83">
        <f>WEEKNUM(BD_ControlRegimen[[#This Row],[FECHA]],2)</f>
        <v>40</v>
      </c>
      <c r="C3200" s="7">
        <v>45194</v>
      </c>
      <c r="D3200" s="3" t="s">
        <v>73</v>
      </c>
      <c r="E3200" s="3"/>
      <c r="F3200" s="3"/>
    </row>
    <row r="3201" spans="1:6" hidden="1" x14ac:dyDescent="0.3">
      <c r="A3201" s="7" t="str">
        <f>BD_ControlRegimen[[#This Row],[FECHA]]&amp;BD_ControlRegimen[[#This Row],[NOMBRE]]</f>
        <v>45195URQUIZA ASCENCIO JORGE LUIS</v>
      </c>
      <c r="B3201" s="83">
        <f>WEEKNUM(BD_ControlRegimen[[#This Row],[FECHA]],2)</f>
        <v>40</v>
      </c>
      <c r="C3201" s="7">
        <v>45195</v>
      </c>
      <c r="D3201" s="3" t="s">
        <v>73</v>
      </c>
      <c r="E3201" s="3"/>
      <c r="F3201" s="3"/>
    </row>
    <row r="3202" spans="1:6" hidden="1" x14ac:dyDescent="0.3">
      <c r="A3202" s="7" t="str">
        <f>BD_ControlRegimen[[#This Row],[FECHA]]&amp;BD_ControlRegimen[[#This Row],[NOMBRE]]</f>
        <v>45196URQUIZA ASCENCIO JORGE LUIS</v>
      </c>
      <c r="B3202" s="83">
        <f>WEEKNUM(BD_ControlRegimen[[#This Row],[FECHA]],2)</f>
        <v>40</v>
      </c>
      <c r="C3202" s="7">
        <v>45196</v>
      </c>
      <c r="D3202" s="3" t="s">
        <v>73</v>
      </c>
      <c r="E3202" s="3"/>
      <c r="F3202" s="3"/>
    </row>
    <row r="3203" spans="1:6" hidden="1" x14ac:dyDescent="0.3">
      <c r="A3203" s="7" t="str">
        <f>BD_ControlRegimen[[#This Row],[FECHA]]&amp;BD_ControlRegimen[[#This Row],[NOMBRE]]</f>
        <v>45197URQUIZA ASCENCIO JORGE LUIS</v>
      </c>
      <c r="B3203" s="83">
        <f>WEEKNUM(BD_ControlRegimen[[#This Row],[FECHA]],2)</f>
        <v>40</v>
      </c>
      <c r="C3203" s="7">
        <v>45197</v>
      </c>
      <c r="D3203" s="3" t="s">
        <v>73</v>
      </c>
      <c r="E3203" s="3"/>
      <c r="F3203" s="3"/>
    </row>
    <row r="3204" spans="1:6" hidden="1" x14ac:dyDescent="0.3">
      <c r="A3204" s="7" t="str">
        <f>BD_ControlRegimen[[#This Row],[FECHA]]&amp;BD_ControlRegimen[[#This Row],[NOMBRE]]</f>
        <v>45198URQUIZA ASCENCIO JORGE LUIS</v>
      </c>
      <c r="B3204" s="83">
        <f>WEEKNUM(BD_ControlRegimen[[#This Row],[FECHA]],2)</f>
        <v>40</v>
      </c>
      <c r="C3204" s="7">
        <v>45198</v>
      </c>
      <c r="D3204" s="3" t="s">
        <v>73</v>
      </c>
      <c r="E3204" s="3"/>
      <c r="F3204" s="3"/>
    </row>
    <row r="3205" spans="1:6" hidden="1" x14ac:dyDescent="0.3">
      <c r="A3205" s="7" t="str">
        <f>BD_ControlRegimen[[#This Row],[FECHA]]&amp;BD_ControlRegimen[[#This Row],[NOMBRE]]</f>
        <v>45199URQUIZA ASCENCIO JORGE LUIS</v>
      </c>
      <c r="B3205" s="83">
        <f>WEEKNUM(BD_ControlRegimen[[#This Row],[FECHA]],2)</f>
        <v>40</v>
      </c>
      <c r="C3205" s="7">
        <v>45199</v>
      </c>
      <c r="D3205" s="3" t="s">
        <v>73</v>
      </c>
      <c r="E3205" s="3"/>
      <c r="F3205" s="3"/>
    </row>
    <row r="3206" spans="1:6" hidden="1" x14ac:dyDescent="0.3">
      <c r="A3206" s="7" t="str">
        <f>BD_ControlRegimen[[#This Row],[FECHA]]&amp;BD_ControlRegimen[[#This Row],[NOMBRE]]</f>
        <v>45200URQUIZA ASCENCIO JORGE LUIS</v>
      </c>
      <c r="B3206" s="83">
        <f>WEEKNUM(BD_ControlRegimen[[#This Row],[FECHA]],2)</f>
        <v>40</v>
      </c>
      <c r="C3206" s="7">
        <v>45200</v>
      </c>
      <c r="D3206" s="3" t="s">
        <v>73</v>
      </c>
      <c r="E3206" s="3"/>
      <c r="F3206" s="3"/>
    </row>
    <row r="3207" spans="1:6" hidden="1" x14ac:dyDescent="0.3">
      <c r="A3207" s="7" t="str">
        <f>BD_ControlRegimen[[#This Row],[FECHA]]&amp;BD_ControlRegimen[[#This Row],[NOMBRE]]</f>
        <v>45201URQUIZA ASCENCIO JORGE LUIS</v>
      </c>
      <c r="B3207" s="83">
        <f>WEEKNUM(BD_ControlRegimen[[#This Row],[FECHA]],2)</f>
        <v>41</v>
      </c>
      <c r="C3207" s="7">
        <v>45201</v>
      </c>
      <c r="D3207" s="3" t="s">
        <v>73</v>
      </c>
      <c r="E3207" s="3"/>
      <c r="F3207" s="3"/>
    </row>
    <row r="3208" spans="1:6" hidden="1" x14ac:dyDescent="0.3">
      <c r="A3208" s="7" t="str">
        <f>BD_ControlRegimen[[#This Row],[FECHA]]&amp;BD_ControlRegimen[[#This Row],[NOMBRE]]</f>
        <v>45202URQUIZA ASCENCIO JORGE LUIS</v>
      </c>
      <c r="B3208" s="83">
        <f>WEEKNUM(BD_ControlRegimen[[#This Row],[FECHA]],2)</f>
        <v>41</v>
      </c>
      <c r="C3208" s="7">
        <v>45202</v>
      </c>
      <c r="D3208" s="3" t="s">
        <v>73</v>
      </c>
      <c r="E3208" s="3"/>
      <c r="F3208" s="3"/>
    </row>
    <row r="3209" spans="1:6" hidden="1" x14ac:dyDescent="0.3">
      <c r="A3209" s="7" t="str">
        <f>BD_ControlRegimen[[#This Row],[FECHA]]&amp;BD_ControlRegimen[[#This Row],[NOMBRE]]</f>
        <v>45203URQUIZA ASCENCIO JORGE LUIS</v>
      </c>
      <c r="B3209" s="83">
        <f>WEEKNUM(BD_ControlRegimen[[#This Row],[FECHA]],2)</f>
        <v>41</v>
      </c>
      <c r="C3209" s="7">
        <v>45203</v>
      </c>
      <c r="D3209" s="3" t="s">
        <v>73</v>
      </c>
      <c r="E3209" s="3"/>
      <c r="F3209" s="3"/>
    </row>
    <row r="3210" spans="1:6" hidden="1" x14ac:dyDescent="0.3">
      <c r="A3210" s="7" t="str">
        <f>BD_ControlRegimen[[#This Row],[FECHA]]&amp;BD_ControlRegimen[[#This Row],[NOMBRE]]</f>
        <v>45204URQUIZA ASCENCIO JORGE LUIS</v>
      </c>
      <c r="B3210" s="83">
        <f>WEEKNUM(BD_ControlRegimen[[#This Row],[FECHA]],2)</f>
        <v>41</v>
      </c>
      <c r="C3210" s="7">
        <v>45204</v>
      </c>
      <c r="D3210" s="3" t="s">
        <v>73</v>
      </c>
      <c r="E3210" s="3"/>
      <c r="F3210" s="3"/>
    </row>
    <row r="3211" spans="1:6" hidden="1" x14ac:dyDescent="0.3">
      <c r="A3211" s="7" t="str">
        <f>BD_ControlRegimen[[#This Row],[FECHA]]&amp;BD_ControlRegimen[[#This Row],[NOMBRE]]</f>
        <v>45205URQUIZA ASCENCIO JORGE LUIS</v>
      </c>
      <c r="B3211" s="83">
        <f>WEEKNUM(BD_ControlRegimen[[#This Row],[FECHA]],2)</f>
        <v>41</v>
      </c>
      <c r="C3211" s="7">
        <v>45205</v>
      </c>
      <c r="D3211" s="3" t="s">
        <v>73</v>
      </c>
      <c r="E3211" s="3"/>
      <c r="F3211" s="3"/>
    </row>
    <row r="3212" spans="1:6" hidden="1" x14ac:dyDescent="0.3">
      <c r="A3212" s="14" t="str">
        <f>BD_ControlRegimen[[#This Row],[FECHA]]&amp;BD_ControlRegimen[[#This Row],[NOMBRE]]</f>
        <v>45206URQUIZA ASCENCIO JORGE LUIS</v>
      </c>
      <c r="B3212" s="105">
        <f>WEEKNUM(BD_ControlRegimen[[#This Row],[FECHA]],2)</f>
        <v>41</v>
      </c>
      <c r="C3212" s="14">
        <v>45206</v>
      </c>
      <c r="D3212" s="3" t="s">
        <v>73</v>
      </c>
      <c r="E3212" s="97"/>
      <c r="F3212" s="97"/>
    </row>
    <row r="3213" spans="1:6" hidden="1" x14ac:dyDescent="0.3">
      <c r="A3213" s="7" t="str">
        <f>BD_ControlRegimen[[#This Row],[FECHA]]&amp;BD_ControlRegimen[[#This Row],[NOMBRE]]</f>
        <v>45207URQUIZA ASCENCIO JORGE LUIS</v>
      </c>
      <c r="B3213" s="83">
        <f>WEEKNUM(BD_ControlRegimen[[#This Row],[FECHA]],2)</f>
        <v>41</v>
      </c>
      <c r="C3213" s="7">
        <v>45207</v>
      </c>
      <c r="D3213" s="3" t="s">
        <v>73</v>
      </c>
      <c r="E3213" s="3"/>
      <c r="F3213" s="3"/>
    </row>
    <row r="3214" spans="1:6" hidden="1" x14ac:dyDescent="0.3">
      <c r="A3214" s="7" t="str">
        <f>BD_ControlRegimen[[#This Row],[FECHA]]&amp;BD_ControlRegimen[[#This Row],[NOMBRE]]</f>
        <v>45208URQUIZA ASCENCIO JORGE LUIS</v>
      </c>
      <c r="B3214" s="83">
        <f>WEEKNUM(BD_ControlRegimen[[#This Row],[FECHA]],2)</f>
        <v>42</v>
      </c>
      <c r="C3214" s="7">
        <v>45208</v>
      </c>
      <c r="D3214" s="3" t="s">
        <v>73</v>
      </c>
      <c r="E3214" s="3"/>
      <c r="F3214" s="3"/>
    </row>
    <row r="3215" spans="1:6" hidden="1" x14ac:dyDescent="0.3">
      <c r="A3215" s="7" t="str">
        <f>BD_ControlRegimen[[#This Row],[FECHA]]&amp;BD_ControlRegimen[[#This Row],[NOMBRE]]</f>
        <v>45209URQUIZA ASCENCIO JORGE LUIS</v>
      </c>
      <c r="B3215" s="83">
        <f>WEEKNUM(BD_ControlRegimen[[#This Row],[FECHA]],2)</f>
        <v>42</v>
      </c>
      <c r="C3215" s="7">
        <v>45209</v>
      </c>
      <c r="D3215" s="3" t="s">
        <v>73</v>
      </c>
      <c r="E3215" s="3"/>
      <c r="F3215" s="3"/>
    </row>
    <row r="3216" spans="1:6" hidden="1" x14ac:dyDescent="0.3">
      <c r="A3216" s="7" t="str">
        <f>BD_ControlRegimen[[#This Row],[FECHA]]&amp;BD_ControlRegimen[[#This Row],[NOMBRE]]</f>
        <v>45210URQUIZA ASCENCIO JORGE LUIS</v>
      </c>
      <c r="B3216" s="83">
        <f>WEEKNUM(BD_ControlRegimen[[#This Row],[FECHA]],2)</f>
        <v>42</v>
      </c>
      <c r="C3216" s="7">
        <v>45210</v>
      </c>
      <c r="D3216" s="3" t="s">
        <v>73</v>
      </c>
      <c r="E3216" s="3"/>
      <c r="F3216" s="3"/>
    </row>
    <row r="3217" spans="1:6" hidden="1" x14ac:dyDescent="0.3">
      <c r="A3217" s="7" t="str">
        <f>BD_ControlRegimen[[#This Row],[FECHA]]&amp;BD_ControlRegimen[[#This Row],[NOMBRE]]</f>
        <v>45211URQUIZA ASCENCIO JORGE LUIS</v>
      </c>
      <c r="B3217" s="83">
        <f>WEEKNUM(BD_ControlRegimen[[#This Row],[FECHA]],2)</f>
        <v>42</v>
      </c>
      <c r="C3217" s="7">
        <v>45211</v>
      </c>
      <c r="D3217" s="3" t="s">
        <v>73</v>
      </c>
      <c r="E3217" s="3"/>
      <c r="F3217" s="3"/>
    </row>
    <row r="3218" spans="1:6" hidden="1" x14ac:dyDescent="0.3">
      <c r="A3218" s="7" t="str">
        <f>BD_ControlRegimen[[#This Row],[FECHA]]&amp;BD_ControlRegimen[[#This Row],[NOMBRE]]</f>
        <v>45212URQUIZA ASCENCIO JORGE LUIS</v>
      </c>
      <c r="B3218" s="83">
        <f>WEEKNUM(BD_ControlRegimen[[#This Row],[FECHA]],2)</f>
        <v>42</v>
      </c>
      <c r="C3218" s="7">
        <v>45212</v>
      </c>
      <c r="D3218" s="3" t="s">
        <v>73</v>
      </c>
      <c r="E3218" s="3"/>
      <c r="F3218" s="3"/>
    </row>
    <row r="3219" spans="1:6" hidden="1" x14ac:dyDescent="0.3">
      <c r="A3219" s="7" t="str">
        <f>BD_ControlRegimen[[#This Row],[FECHA]]&amp;BD_ControlRegimen[[#This Row],[NOMBRE]]</f>
        <v>45213URQUIZA ASCENCIO JORGE LUIS</v>
      </c>
      <c r="B3219" s="83">
        <f>WEEKNUM(BD_ControlRegimen[[#This Row],[FECHA]],2)</f>
        <v>42</v>
      </c>
      <c r="C3219" s="7">
        <v>45213</v>
      </c>
      <c r="D3219" s="3" t="s">
        <v>73</v>
      </c>
      <c r="E3219" s="3"/>
      <c r="F3219" s="3"/>
    </row>
    <row r="3220" spans="1:6" hidden="1" x14ac:dyDescent="0.3">
      <c r="A3220" s="7" t="str">
        <f>BD_ControlRegimen[[#This Row],[FECHA]]&amp;BD_ControlRegimen[[#This Row],[NOMBRE]]</f>
        <v>45214URQUIZA ASCENCIO JORGE LUIS</v>
      </c>
      <c r="B3220" s="83">
        <f>WEEKNUM(BD_ControlRegimen[[#This Row],[FECHA]],2)</f>
        <v>42</v>
      </c>
      <c r="C3220" s="7">
        <v>45214</v>
      </c>
      <c r="D3220" s="3" t="s">
        <v>73</v>
      </c>
      <c r="E3220" s="3"/>
      <c r="F3220" s="3"/>
    </row>
    <row r="3221" spans="1:6" hidden="1" x14ac:dyDescent="0.3">
      <c r="A3221" s="7" t="str">
        <f>BD_ControlRegimen[[#This Row],[FECHA]]&amp;BD_ControlRegimen[[#This Row],[NOMBRE]]</f>
        <v>45215URQUIZA ASCENCIO JORGE LUIS</v>
      </c>
      <c r="B3221" s="83">
        <f>WEEKNUM(BD_ControlRegimen[[#This Row],[FECHA]],2)</f>
        <v>43</v>
      </c>
      <c r="C3221" s="7">
        <v>45215</v>
      </c>
      <c r="D3221" s="3" t="s">
        <v>73</v>
      </c>
      <c r="E3221" s="3"/>
      <c r="F3221" s="3"/>
    </row>
    <row r="3222" spans="1:6" hidden="1" x14ac:dyDescent="0.3">
      <c r="A3222" s="7" t="str">
        <f>BD_ControlRegimen[[#This Row],[FECHA]]&amp;BD_ControlRegimen[[#This Row],[NOMBRE]]</f>
        <v>45216URQUIZA ASCENCIO JORGE LUIS</v>
      </c>
      <c r="B3222" s="83">
        <f>WEEKNUM(BD_ControlRegimen[[#This Row],[FECHA]],2)</f>
        <v>43</v>
      </c>
      <c r="C3222" s="7">
        <v>45216</v>
      </c>
      <c r="D3222" s="3" t="s">
        <v>73</v>
      </c>
      <c r="E3222" s="3"/>
      <c r="F3222" s="3"/>
    </row>
    <row r="3223" spans="1:6" hidden="1" x14ac:dyDescent="0.3">
      <c r="A3223" s="7" t="str">
        <f>BD_ControlRegimen[[#This Row],[FECHA]]&amp;BD_ControlRegimen[[#This Row],[NOMBRE]]</f>
        <v>45217URQUIZA ASCENCIO JORGE LUIS</v>
      </c>
      <c r="B3223" s="83">
        <f>WEEKNUM(BD_ControlRegimen[[#This Row],[FECHA]],2)</f>
        <v>43</v>
      </c>
      <c r="C3223" s="7">
        <v>45217</v>
      </c>
      <c r="D3223" s="3" t="s">
        <v>73</v>
      </c>
      <c r="E3223" s="3"/>
      <c r="F3223" s="3"/>
    </row>
    <row r="3224" spans="1:6" hidden="1" x14ac:dyDescent="0.3">
      <c r="A3224" s="7" t="str">
        <f>BD_ControlRegimen[[#This Row],[FECHA]]&amp;BD_ControlRegimen[[#This Row],[NOMBRE]]</f>
        <v>45218URQUIZA ASCENCIO JORGE LUIS</v>
      </c>
      <c r="B3224" s="83">
        <f>WEEKNUM(BD_ControlRegimen[[#This Row],[FECHA]],2)</f>
        <v>43</v>
      </c>
      <c r="C3224" s="7">
        <v>45218</v>
      </c>
      <c r="D3224" s="3" t="s">
        <v>73</v>
      </c>
      <c r="E3224" s="3"/>
      <c r="F3224" s="3"/>
    </row>
    <row r="3225" spans="1:6" hidden="1" x14ac:dyDescent="0.3">
      <c r="A3225" s="7" t="str">
        <f>BD_ControlRegimen[[#This Row],[FECHA]]&amp;BD_ControlRegimen[[#This Row],[NOMBRE]]</f>
        <v>45219URQUIZA ASCENCIO JORGE LUIS</v>
      </c>
      <c r="B3225" s="83">
        <f>WEEKNUM(BD_ControlRegimen[[#This Row],[FECHA]],2)</f>
        <v>43</v>
      </c>
      <c r="C3225" s="7">
        <v>45219</v>
      </c>
      <c r="D3225" s="3" t="s">
        <v>73</v>
      </c>
      <c r="E3225" s="3"/>
      <c r="F3225" s="3"/>
    </row>
    <row r="3226" spans="1:6" hidden="1" x14ac:dyDescent="0.3">
      <c r="A3226" s="7" t="str">
        <f>BD_ControlRegimen[[#This Row],[FECHA]]&amp;BD_ControlRegimen[[#This Row],[NOMBRE]]</f>
        <v>45220URQUIZA ASCENCIO JORGE LUIS</v>
      </c>
      <c r="B3226" s="83">
        <f>WEEKNUM(BD_ControlRegimen[[#This Row],[FECHA]],2)</f>
        <v>43</v>
      </c>
      <c r="C3226" s="7">
        <v>45220</v>
      </c>
      <c r="D3226" s="3" t="s">
        <v>73</v>
      </c>
      <c r="E3226" s="3"/>
      <c r="F3226" s="3"/>
    </row>
    <row r="3227" spans="1:6" hidden="1" x14ac:dyDescent="0.3">
      <c r="A3227" s="7" t="str">
        <f>BD_ControlRegimen[[#This Row],[FECHA]]&amp;BD_ControlRegimen[[#This Row],[NOMBRE]]</f>
        <v>45221URQUIZA ASCENCIO JORGE LUIS</v>
      </c>
      <c r="B3227" s="83">
        <f>WEEKNUM(BD_ControlRegimen[[#This Row],[FECHA]],2)</f>
        <v>43</v>
      </c>
      <c r="C3227" s="7">
        <v>45221</v>
      </c>
      <c r="D3227" s="3" t="s">
        <v>73</v>
      </c>
      <c r="E3227" s="3"/>
      <c r="F3227" s="3"/>
    </row>
    <row r="3228" spans="1:6" hidden="1" x14ac:dyDescent="0.3">
      <c r="A3228" s="7" t="str">
        <f>BD_ControlRegimen[[#This Row],[FECHA]]&amp;BD_ControlRegimen[[#This Row],[NOMBRE]]</f>
        <v>45222URQUIZA ASCENCIO JORGE LUIS</v>
      </c>
      <c r="B3228" s="83">
        <f>WEEKNUM(BD_ControlRegimen[[#This Row],[FECHA]],2)</f>
        <v>44</v>
      </c>
      <c r="C3228" s="7">
        <v>45222</v>
      </c>
      <c r="D3228" s="3" t="s">
        <v>73</v>
      </c>
      <c r="E3228" s="3"/>
      <c r="F3228" s="3"/>
    </row>
    <row r="3229" spans="1:6" hidden="1" x14ac:dyDescent="0.3">
      <c r="A3229" s="7" t="str">
        <f>BD_ControlRegimen[[#This Row],[FECHA]]&amp;BD_ControlRegimen[[#This Row],[NOMBRE]]</f>
        <v>45223URQUIZA ASCENCIO JORGE LUIS</v>
      </c>
      <c r="B3229" s="83">
        <f>WEEKNUM(BD_ControlRegimen[[#This Row],[FECHA]],2)</f>
        <v>44</v>
      </c>
      <c r="C3229" s="7">
        <v>45223</v>
      </c>
      <c r="D3229" s="3" t="s">
        <v>73</v>
      </c>
      <c r="E3229" s="3"/>
      <c r="F3229" s="3"/>
    </row>
    <row r="3230" spans="1:6" hidden="1" x14ac:dyDescent="0.3">
      <c r="A3230" s="7" t="str">
        <f>BD_ControlRegimen[[#This Row],[FECHA]]&amp;BD_ControlRegimen[[#This Row],[NOMBRE]]</f>
        <v>45224URQUIZA ASCENCIO JORGE LUIS</v>
      </c>
      <c r="B3230" s="83">
        <f>WEEKNUM(BD_ControlRegimen[[#This Row],[FECHA]],2)</f>
        <v>44</v>
      </c>
      <c r="C3230" s="7">
        <v>45224</v>
      </c>
      <c r="D3230" s="3" t="s">
        <v>73</v>
      </c>
      <c r="E3230" s="3"/>
      <c r="F3230" s="3"/>
    </row>
    <row r="3231" spans="1:6" hidden="1" x14ac:dyDescent="0.3">
      <c r="A3231" s="7" t="str">
        <f>BD_ControlRegimen[[#This Row],[FECHA]]&amp;BD_ControlRegimen[[#This Row],[NOMBRE]]</f>
        <v>45225URQUIZA ASCENCIO JORGE LUIS</v>
      </c>
      <c r="B3231" s="83">
        <f>WEEKNUM(BD_ControlRegimen[[#This Row],[FECHA]],2)</f>
        <v>44</v>
      </c>
      <c r="C3231" s="7">
        <v>45225</v>
      </c>
      <c r="D3231" s="3" t="s">
        <v>73</v>
      </c>
      <c r="E3231" s="3"/>
      <c r="F3231" s="3"/>
    </row>
    <row r="3232" spans="1:6" hidden="1" x14ac:dyDescent="0.3">
      <c r="A3232" s="7" t="str">
        <f>BD_ControlRegimen[[#This Row],[FECHA]]&amp;BD_ControlRegimen[[#This Row],[NOMBRE]]</f>
        <v>45226URQUIZA ASCENCIO JORGE LUIS</v>
      </c>
      <c r="B3232" s="83">
        <f>WEEKNUM(BD_ControlRegimen[[#This Row],[FECHA]],2)</f>
        <v>44</v>
      </c>
      <c r="C3232" s="7">
        <v>45226</v>
      </c>
      <c r="D3232" s="3" t="s">
        <v>73</v>
      </c>
      <c r="E3232" s="3"/>
      <c r="F3232" s="3"/>
    </row>
    <row r="3233" spans="1:6" hidden="1" x14ac:dyDescent="0.3">
      <c r="A3233" s="7" t="str">
        <f>BD_ControlRegimen[[#This Row],[FECHA]]&amp;BD_ControlRegimen[[#This Row],[NOMBRE]]</f>
        <v>45227URQUIZA ASCENCIO JORGE LUIS</v>
      </c>
      <c r="B3233" s="83">
        <f>WEEKNUM(BD_ControlRegimen[[#This Row],[FECHA]],2)</f>
        <v>44</v>
      </c>
      <c r="C3233" s="7">
        <v>45227</v>
      </c>
      <c r="D3233" s="3" t="s">
        <v>73</v>
      </c>
      <c r="E3233" s="3"/>
      <c r="F3233" s="3"/>
    </row>
    <row r="3234" spans="1:6" hidden="1" x14ac:dyDescent="0.3">
      <c r="A3234" s="7" t="str">
        <f>BD_ControlRegimen[[#This Row],[FECHA]]&amp;BD_ControlRegimen[[#This Row],[NOMBRE]]</f>
        <v>45228URQUIZA ASCENCIO JORGE LUIS</v>
      </c>
      <c r="B3234" s="83">
        <f>WEEKNUM(BD_ControlRegimen[[#This Row],[FECHA]],2)</f>
        <v>44</v>
      </c>
      <c r="C3234" s="7">
        <v>45228</v>
      </c>
      <c r="D3234" s="3" t="s">
        <v>73</v>
      </c>
      <c r="E3234" s="3"/>
      <c r="F3234" s="3"/>
    </row>
    <row r="3235" spans="1:6" hidden="1" x14ac:dyDescent="0.3">
      <c r="A3235" s="7" t="str">
        <f>BD_ControlRegimen[[#This Row],[FECHA]]&amp;BD_ControlRegimen[[#This Row],[NOMBRE]]</f>
        <v>45229URQUIZA ASCENCIO JORGE LUIS</v>
      </c>
      <c r="B3235" s="83">
        <f>WEEKNUM(BD_ControlRegimen[[#This Row],[FECHA]],2)</f>
        <v>45</v>
      </c>
      <c r="C3235" s="7">
        <v>45229</v>
      </c>
      <c r="D3235" s="3" t="s">
        <v>73</v>
      </c>
      <c r="E3235" s="3"/>
      <c r="F3235" s="3"/>
    </row>
    <row r="3236" spans="1:6" hidden="1" x14ac:dyDescent="0.3">
      <c r="A3236" s="7" t="str">
        <f>BD_ControlRegimen[[#This Row],[FECHA]]&amp;BD_ControlRegimen[[#This Row],[NOMBRE]]</f>
        <v>45230URQUIZA ASCENCIO JORGE LUIS</v>
      </c>
      <c r="B3236" s="83">
        <f>WEEKNUM(BD_ControlRegimen[[#This Row],[FECHA]],2)</f>
        <v>45</v>
      </c>
      <c r="C3236" s="7">
        <v>45230</v>
      </c>
      <c r="D3236" s="3" t="s">
        <v>73</v>
      </c>
      <c r="E3236" s="3"/>
      <c r="F3236" s="3"/>
    </row>
    <row r="3237" spans="1:6" hidden="1" x14ac:dyDescent="0.3">
      <c r="A3237" s="7" t="str">
        <f>BD_ControlRegimen[[#This Row],[FECHA]]&amp;BD_ControlRegimen[[#This Row],[NOMBRE]]</f>
        <v>45231URQUIZA ASCENCIO JORGE LUIS</v>
      </c>
      <c r="B3237" s="83">
        <f>WEEKNUM(BD_ControlRegimen[[#This Row],[FECHA]],2)</f>
        <v>45</v>
      </c>
      <c r="C3237" s="7">
        <v>45231</v>
      </c>
      <c r="D3237" s="3" t="s">
        <v>73</v>
      </c>
      <c r="E3237" s="3"/>
      <c r="F3237" s="3"/>
    </row>
    <row r="3238" spans="1:6" hidden="1" x14ac:dyDescent="0.3">
      <c r="A3238" s="7" t="str">
        <f>BD_ControlRegimen[[#This Row],[FECHA]]&amp;BD_ControlRegimen[[#This Row],[NOMBRE]]</f>
        <v>45232URQUIZA ASCENCIO JORGE LUIS</v>
      </c>
      <c r="B3238" s="83">
        <f>WEEKNUM(BD_ControlRegimen[[#This Row],[FECHA]],2)</f>
        <v>45</v>
      </c>
      <c r="C3238" s="7">
        <v>45232</v>
      </c>
      <c r="D3238" s="3" t="s">
        <v>73</v>
      </c>
      <c r="E3238" s="3"/>
      <c r="F3238" s="3"/>
    </row>
    <row r="3239" spans="1:6" hidden="1" x14ac:dyDescent="0.3">
      <c r="A3239" s="7" t="str">
        <f>BD_ControlRegimen[[#This Row],[FECHA]]&amp;BD_ControlRegimen[[#This Row],[NOMBRE]]</f>
        <v>45233URQUIZA ASCENCIO JORGE LUIS</v>
      </c>
      <c r="B3239" s="83">
        <f>WEEKNUM(BD_ControlRegimen[[#This Row],[FECHA]],2)</f>
        <v>45</v>
      </c>
      <c r="C3239" s="7">
        <v>45233</v>
      </c>
      <c r="D3239" s="3" t="s">
        <v>73</v>
      </c>
      <c r="E3239" s="3"/>
      <c r="F3239" s="3"/>
    </row>
    <row r="3240" spans="1:6" hidden="1" x14ac:dyDescent="0.3">
      <c r="A3240" s="7" t="str">
        <f>BD_ControlRegimen[[#This Row],[FECHA]]&amp;BD_ControlRegimen[[#This Row],[NOMBRE]]</f>
        <v>45234URQUIZA ASCENCIO JORGE LUIS</v>
      </c>
      <c r="B3240" s="83">
        <f>WEEKNUM(BD_ControlRegimen[[#This Row],[FECHA]],2)</f>
        <v>45</v>
      </c>
      <c r="C3240" s="7">
        <v>45234</v>
      </c>
      <c r="D3240" s="3" t="s">
        <v>73</v>
      </c>
      <c r="E3240" s="3"/>
      <c r="F3240" s="3"/>
    </row>
    <row r="3241" spans="1:6" hidden="1" x14ac:dyDescent="0.3">
      <c r="A3241" s="7" t="str">
        <f>BD_ControlRegimen[[#This Row],[FECHA]]&amp;BD_ControlRegimen[[#This Row],[NOMBRE]]</f>
        <v>45235URQUIZA ASCENCIO JORGE LUIS</v>
      </c>
      <c r="B3241" s="83">
        <f>WEEKNUM(BD_ControlRegimen[[#This Row],[FECHA]],2)</f>
        <v>45</v>
      </c>
      <c r="C3241" s="7">
        <v>45235</v>
      </c>
      <c r="D3241" s="3" t="s">
        <v>73</v>
      </c>
      <c r="E3241" s="3"/>
      <c r="F3241" s="3"/>
    </row>
    <row r="3242" spans="1:6" hidden="1" x14ac:dyDescent="0.3">
      <c r="A3242" s="7" t="str">
        <f>BD_ControlRegimen[[#This Row],[FECHA]]&amp;BD_ControlRegimen[[#This Row],[NOMBRE]]</f>
        <v>45236URQUIZA ASCENCIO JORGE LUIS</v>
      </c>
      <c r="B3242" s="83">
        <f>WEEKNUM(BD_ControlRegimen[[#This Row],[FECHA]],2)</f>
        <v>46</v>
      </c>
      <c r="C3242" s="7">
        <v>45236</v>
      </c>
      <c r="D3242" s="3" t="s">
        <v>73</v>
      </c>
      <c r="E3242" s="3"/>
      <c r="F3242" s="3"/>
    </row>
    <row r="3243" spans="1:6" hidden="1" x14ac:dyDescent="0.3">
      <c r="A3243" s="7" t="str">
        <f>BD_ControlRegimen[[#This Row],[FECHA]]&amp;BD_ControlRegimen[[#This Row],[NOMBRE]]</f>
        <v>45237URQUIZA ASCENCIO JORGE LUIS</v>
      </c>
      <c r="B3243" s="83">
        <f>WEEKNUM(BD_ControlRegimen[[#This Row],[FECHA]],2)</f>
        <v>46</v>
      </c>
      <c r="C3243" s="7">
        <v>45237</v>
      </c>
      <c r="D3243" s="3" t="s">
        <v>73</v>
      </c>
      <c r="E3243" s="3"/>
      <c r="F3243" s="3"/>
    </row>
    <row r="3244" spans="1:6" hidden="1" x14ac:dyDescent="0.3">
      <c r="A3244" s="7" t="str">
        <f>BD_ControlRegimen[[#This Row],[FECHA]]&amp;BD_ControlRegimen[[#This Row],[NOMBRE]]</f>
        <v>45238URQUIZA ASCENCIO JORGE LUIS</v>
      </c>
      <c r="B3244" s="83">
        <f>WEEKNUM(BD_ControlRegimen[[#This Row],[FECHA]],2)</f>
        <v>46</v>
      </c>
      <c r="C3244" s="7">
        <v>45238</v>
      </c>
      <c r="D3244" s="3" t="s">
        <v>73</v>
      </c>
      <c r="E3244" s="3"/>
      <c r="F3244" s="3"/>
    </row>
    <row r="3245" spans="1:6" hidden="1" x14ac:dyDescent="0.3">
      <c r="A3245" s="7" t="str">
        <f>BD_ControlRegimen[[#This Row],[FECHA]]&amp;BD_ControlRegimen[[#This Row],[NOMBRE]]</f>
        <v>45239URQUIZA ASCENCIO JORGE LUIS</v>
      </c>
      <c r="B3245" s="83">
        <f>WEEKNUM(BD_ControlRegimen[[#This Row],[FECHA]],2)</f>
        <v>46</v>
      </c>
      <c r="C3245" s="7">
        <v>45239</v>
      </c>
      <c r="D3245" s="3" t="s">
        <v>73</v>
      </c>
      <c r="E3245" s="3"/>
      <c r="F3245" s="3"/>
    </row>
    <row r="3246" spans="1:6" hidden="1" x14ac:dyDescent="0.3">
      <c r="A3246" s="7" t="str">
        <f>BD_ControlRegimen[[#This Row],[FECHA]]&amp;BD_ControlRegimen[[#This Row],[NOMBRE]]</f>
        <v>45240URQUIZA ASCENCIO JORGE LUIS</v>
      </c>
      <c r="B3246" s="83">
        <f>WEEKNUM(BD_ControlRegimen[[#This Row],[FECHA]],2)</f>
        <v>46</v>
      </c>
      <c r="C3246" s="7">
        <v>45240</v>
      </c>
      <c r="D3246" s="3" t="s">
        <v>73</v>
      </c>
      <c r="E3246" s="3"/>
      <c r="F3246" s="3"/>
    </row>
    <row r="3247" spans="1:6" hidden="1" x14ac:dyDescent="0.3">
      <c r="A3247" s="7" t="str">
        <f>BD_ControlRegimen[[#This Row],[FECHA]]&amp;BD_ControlRegimen[[#This Row],[NOMBRE]]</f>
        <v>45241URQUIZA ASCENCIO JORGE LUIS</v>
      </c>
      <c r="B3247" s="83">
        <f>WEEKNUM(BD_ControlRegimen[[#This Row],[FECHA]],2)</f>
        <v>46</v>
      </c>
      <c r="C3247" s="7">
        <v>45241</v>
      </c>
      <c r="D3247" s="3" t="s">
        <v>73</v>
      </c>
      <c r="E3247" s="3"/>
      <c r="F3247" s="3"/>
    </row>
    <row r="3248" spans="1:6" hidden="1" x14ac:dyDescent="0.3">
      <c r="A3248" s="7" t="str">
        <f>BD_ControlRegimen[[#This Row],[FECHA]]&amp;BD_ControlRegimen[[#This Row],[NOMBRE]]</f>
        <v>45242URQUIZA ASCENCIO JORGE LUIS</v>
      </c>
      <c r="B3248" s="83">
        <f>WEEKNUM(BD_ControlRegimen[[#This Row],[FECHA]],2)</f>
        <v>46</v>
      </c>
      <c r="C3248" s="7">
        <v>45242</v>
      </c>
      <c r="D3248" s="3" t="s">
        <v>73</v>
      </c>
      <c r="E3248" s="3"/>
      <c r="F3248" s="3"/>
    </row>
    <row r="3249" spans="1:6" hidden="1" x14ac:dyDescent="0.3">
      <c r="A3249" s="7" t="str">
        <f>BD_ControlRegimen[[#This Row],[FECHA]]&amp;BD_ControlRegimen[[#This Row],[NOMBRE]]</f>
        <v>45243URQUIZA ASCENCIO JORGE LUIS</v>
      </c>
      <c r="B3249" s="83">
        <f>WEEKNUM(BD_ControlRegimen[[#This Row],[FECHA]],2)</f>
        <v>47</v>
      </c>
      <c r="C3249" s="7">
        <v>45243</v>
      </c>
      <c r="D3249" s="3" t="s">
        <v>73</v>
      </c>
      <c r="E3249" s="3"/>
      <c r="F3249" s="3"/>
    </row>
    <row r="3250" spans="1:6" hidden="1" x14ac:dyDescent="0.3">
      <c r="A3250" s="7" t="str">
        <f>BD_ControlRegimen[[#This Row],[FECHA]]&amp;BD_ControlRegimen[[#This Row],[NOMBRE]]</f>
        <v>45244URQUIZA ASCENCIO JORGE LUIS</v>
      </c>
      <c r="B3250" s="83">
        <f>WEEKNUM(BD_ControlRegimen[[#This Row],[FECHA]],2)</f>
        <v>47</v>
      </c>
      <c r="C3250" s="7">
        <v>45244</v>
      </c>
      <c r="D3250" s="3" t="s">
        <v>73</v>
      </c>
      <c r="E3250" s="3"/>
      <c r="F3250" s="3"/>
    </row>
    <row r="3251" spans="1:6" hidden="1" x14ac:dyDescent="0.3">
      <c r="A3251" s="7" t="str">
        <f>BD_ControlRegimen[[#This Row],[FECHA]]&amp;BD_ControlRegimen[[#This Row],[NOMBRE]]</f>
        <v>45245URQUIZA ASCENCIO JORGE LUIS</v>
      </c>
      <c r="B3251" s="83">
        <f>WEEKNUM(BD_ControlRegimen[[#This Row],[FECHA]],2)</f>
        <v>47</v>
      </c>
      <c r="C3251" s="7">
        <v>45245</v>
      </c>
      <c r="D3251" s="3" t="s">
        <v>73</v>
      </c>
      <c r="E3251" s="3"/>
      <c r="F3251" s="3"/>
    </row>
    <row r="3252" spans="1:6" hidden="1" x14ac:dyDescent="0.3">
      <c r="A3252" s="7" t="str">
        <f>BD_ControlRegimen[[#This Row],[FECHA]]&amp;BD_ControlRegimen[[#This Row],[NOMBRE]]</f>
        <v>45246URQUIZA ASCENCIO JORGE LUIS</v>
      </c>
      <c r="B3252" s="83">
        <f>WEEKNUM(BD_ControlRegimen[[#This Row],[FECHA]],2)</f>
        <v>47</v>
      </c>
      <c r="C3252" s="7">
        <v>45246</v>
      </c>
      <c r="D3252" s="3" t="s">
        <v>73</v>
      </c>
      <c r="E3252" s="3"/>
      <c r="F3252" s="3"/>
    </row>
    <row r="3253" spans="1:6" hidden="1" x14ac:dyDescent="0.3">
      <c r="A3253" s="7" t="str">
        <f>BD_ControlRegimen[[#This Row],[FECHA]]&amp;BD_ControlRegimen[[#This Row],[NOMBRE]]</f>
        <v>45247URQUIZA ASCENCIO JORGE LUIS</v>
      </c>
      <c r="B3253" s="83">
        <f>WEEKNUM(BD_ControlRegimen[[#This Row],[FECHA]],2)</f>
        <v>47</v>
      </c>
      <c r="C3253" s="7">
        <v>45247</v>
      </c>
      <c r="D3253" s="3" t="s">
        <v>73</v>
      </c>
      <c r="E3253" s="3"/>
      <c r="F3253" s="3"/>
    </row>
    <row r="3254" spans="1:6" hidden="1" x14ac:dyDescent="0.3">
      <c r="A3254" s="7" t="str">
        <f>BD_ControlRegimen[[#This Row],[FECHA]]&amp;BD_ControlRegimen[[#This Row],[NOMBRE]]</f>
        <v>45248URQUIZA ASCENCIO JORGE LUIS</v>
      </c>
      <c r="B3254" s="83">
        <f>WEEKNUM(BD_ControlRegimen[[#This Row],[FECHA]],2)</f>
        <v>47</v>
      </c>
      <c r="C3254" s="7">
        <v>45248</v>
      </c>
      <c r="D3254" s="3" t="s">
        <v>73</v>
      </c>
      <c r="E3254" s="3"/>
      <c r="F3254" s="3"/>
    </row>
    <row r="3255" spans="1:6" hidden="1" x14ac:dyDescent="0.3">
      <c r="A3255" s="7" t="str">
        <f>BD_ControlRegimen[[#This Row],[FECHA]]&amp;BD_ControlRegimen[[#This Row],[NOMBRE]]</f>
        <v>45249URQUIZA ASCENCIO JORGE LUIS</v>
      </c>
      <c r="B3255" s="83">
        <f>WEEKNUM(BD_ControlRegimen[[#This Row],[FECHA]],2)</f>
        <v>47</v>
      </c>
      <c r="C3255" s="7">
        <v>45249</v>
      </c>
      <c r="D3255" s="3" t="s">
        <v>73</v>
      </c>
      <c r="E3255" s="3"/>
      <c r="F3255" s="3"/>
    </row>
    <row r="3256" spans="1:6" hidden="1" x14ac:dyDescent="0.3">
      <c r="A3256" s="7" t="str">
        <f>BD_ControlRegimen[[#This Row],[FECHA]]&amp;BD_ControlRegimen[[#This Row],[NOMBRE]]</f>
        <v>45250URQUIZA ASCENCIO JORGE LUIS</v>
      </c>
      <c r="B3256" s="83">
        <f>WEEKNUM(BD_ControlRegimen[[#This Row],[FECHA]],2)</f>
        <v>48</v>
      </c>
      <c r="C3256" s="7">
        <v>45250</v>
      </c>
      <c r="D3256" s="3" t="s">
        <v>73</v>
      </c>
      <c r="E3256" s="3"/>
      <c r="F3256" s="3"/>
    </row>
    <row r="3257" spans="1:6" hidden="1" x14ac:dyDescent="0.3">
      <c r="A3257" s="7" t="str">
        <f>BD_ControlRegimen[[#This Row],[FECHA]]&amp;BD_ControlRegimen[[#This Row],[NOMBRE]]</f>
        <v>45251URQUIZA ASCENCIO JORGE LUIS</v>
      </c>
      <c r="B3257" s="83">
        <f>WEEKNUM(BD_ControlRegimen[[#This Row],[FECHA]],2)</f>
        <v>48</v>
      </c>
      <c r="C3257" s="7">
        <v>45251</v>
      </c>
      <c r="D3257" s="3" t="s">
        <v>73</v>
      </c>
      <c r="E3257" s="3"/>
      <c r="F3257" s="3"/>
    </row>
    <row r="3258" spans="1:6" hidden="1" x14ac:dyDescent="0.3">
      <c r="A3258" s="7" t="str">
        <f>BD_ControlRegimen[[#This Row],[FECHA]]&amp;BD_ControlRegimen[[#This Row],[NOMBRE]]</f>
        <v>45252URQUIZA ASCENCIO JORGE LUIS</v>
      </c>
      <c r="B3258" s="83">
        <f>WEEKNUM(BD_ControlRegimen[[#This Row],[FECHA]],2)</f>
        <v>48</v>
      </c>
      <c r="C3258" s="7">
        <v>45252</v>
      </c>
      <c r="D3258" s="3" t="s">
        <v>73</v>
      </c>
      <c r="E3258" s="3"/>
      <c r="F3258" s="3"/>
    </row>
    <row r="3259" spans="1:6" hidden="1" x14ac:dyDescent="0.3">
      <c r="A3259" s="7" t="str">
        <f>BD_ControlRegimen[[#This Row],[FECHA]]&amp;BD_ControlRegimen[[#This Row],[NOMBRE]]</f>
        <v>45253URQUIZA ASCENCIO JORGE LUIS</v>
      </c>
      <c r="B3259" s="83">
        <f>WEEKNUM(BD_ControlRegimen[[#This Row],[FECHA]],2)</f>
        <v>48</v>
      </c>
      <c r="C3259" s="7">
        <v>45253</v>
      </c>
      <c r="D3259" s="3" t="s">
        <v>73</v>
      </c>
      <c r="E3259" s="3"/>
      <c r="F3259" s="3"/>
    </row>
    <row r="3260" spans="1:6" hidden="1" x14ac:dyDescent="0.3">
      <c r="A3260" s="7" t="str">
        <f>BD_ControlRegimen[[#This Row],[FECHA]]&amp;BD_ControlRegimen[[#This Row],[NOMBRE]]</f>
        <v>45254URQUIZA ASCENCIO JORGE LUIS</v>
      </c>
      <c r="B3260" s="83">
        <f>WEEKNUM(BD_ControlRegimen[[#This Row],[FECHA]],2)</f>
        <v>48</v>
      </c>
      <c r="C3260" s="7">
        <v>45254</v>
      </c>
      <c r="D3260" s="3" t="s">
        <v>73</v>
      </c>
      <c r="E3260" s="3"/>
      <c r="F3260" s="3"/>
    </row>
    <row r="3261" spans="1:6" hidden="1" x14ac:dyDescent="0.3">
      <c r="A3261" s="7" t="str">
        <f>BD_ControlRegimen[[#This Row],[FECHA]]&amp;BD_ControlRegimen[[#This Row],[NOMBRE]]</f>
        <v>45255URQUIZA ASCENCIO JORGE LUIS</v>
      </c>
      <c r="B3261" s="83">
        <f>WEEKNUM(BD_ControlRegimen[[#This Row],[FECHA]],2)</f>
        <v>48</v>
      </c>
      <c r="C3261" s="7">
        <v>45255</v>
      </c>
      <c r="D3261" s="3" t="s">
        <v>73</v>
      </c>
      <c r="E3261" s="3"/>
      <c r="F3261" s="3"/>
    </row>
    <row r="3262" spans="1:6" hidden="1" x14ac:dyDescent="0.3">
      <c r="A3262" s="7" t="str">
        <f>BD_ControlRegimen[[#This Row],[FECHA]]&amp;BD_ControlRegimen[[#This Row],[NOMBRE]]</f>
        <v>45256URQUIZA ASCENCIO JORGE LUIS</v>
      </c>
      <c r="B3262" s="83">
        <f>WEEKNUM(BD_ControlRegimen[[#This Row],[FECHA]],2)</f>
        <v>48</v>
      </c>
      <c r="C3262" s="7">
        <v>45256</v>
      </c>
      <c r="D3262" s="3" t="s">
        <v>73</v>
      </c>
      <c r="E3262" s="3"/>
      <c r="F3262" s="3"/>
    </row>
    <row r="3263" spans="1:6" hidden="1" x14ac:dyDescent="0.3">
      <c r="A3263" s="7" t="str">
        <f>BD_ControlRegimen[[#This Row],[FECHA]]&amp;BD_ControlRegimen[[#This Row],[NOMBRE]]</f>
        <v>45257URQUIZA ASCENCIO JORGE LUIS</v>
      </c>
      <c r="B3263" s="83">
        <f>WEEKNUM(BD_ControlRegimen[[#This Row],[FECHA]],2)</f>
        <v>49</v>
      </c>
      <c r="C3263" s="7">
        <v>45257</v>
      </c>
      <c r="D3263" s="3" t="s">
        <v>73</v>
      </c>
      <c r="E3263" s="3"/>
      <c r="F3263" s="3"/>
    </row>
    <row r="3264" spans="1:6" hidden="1" x14ac:dyDescent="0.3">
      <c r="A3264" s="7" t="str">
        <f>BD_ControlRegimen[[#This Row],[FECHA]]&amp;BD_ControlRegimen[[#This Row],[NOMBRE]]</f>
        <v>45258URQUIZA ASCENCIO JORGE LUIS</v>
      </c>
      <c r="B3264" s="83">
        <f>WEEKNUM(BD_ControlRegimen[[#This Row],[FECHA]],2)</f>
        <v>49</v>
      </c>
      <c r="C3264" s="7">
        <v>45258</v>
      </c>
      <c r="D3264" s="3" t="s">
        <v>73</v>
      </c>
      <c r="E3264" s="3"/>
      <c r="F3264" s="3"/>
    </row>
    <row r="3265" spans="1:6" hidden="1" x14ac:dyDescent="0.3">
      <c r="A3265" s="7" t="str">
        <f>BD_ControlRegimen[[#This Row],[FECHA]]&amp;BD_ControlRegimen[[#This Row],[NOMBRE]]</f>
        <v>45259URQUIZA ASCENCIO JORGE LUIS</v>
      </c>
      <c r="B3265" s="83">
        <f>WEEKNUM(BD_ControlRegimen[[#This Row],[FECHA]],2)</f>
        <v>49</v>
      </c>
      <c r="C3265" s="7">
        <v>45259</v>
      </c>
      <c r="D3265" s="3" t="s">
        <v>73</v>
      </c>
      <c r="E3265" s="3"/>
      <c r="F3265" s="3"/>
    </row>
    <row r="3266" spans="1:6" hidden="1" x14ac:dyDescent="0.3">
      <c r="A3266" s="7" t="str">
        <f>BD_ControlRegimen[[#This Row],[FECHA]]&amp;BD_ControlRegimen[[#This Row],[NOMBRE]]</f>
        <v>45260URQUIZA ASCENCIO JORGE LUIS</v>
      </c>
      <c r="B3266" s="83">
        <f>WEEKNUM(BD_ControlRegimen[[#This Row],[FECHA]],2)</f>
        <v>49</v>
      </c>
      <c r="C3266" s="7">
        <v>45260</v>
      </c>
      <c r="D3266" s="3" t="s">
        <v>73</v>
      </c>
      <c r="E3266" s="3"/>
      <c r="F3266" s="3"/>
    </row>
    <row r="3267" spans="1:6" hidden="1" x14ac:dyDescent="0.3">
      <c r="A3267" s="7" t="str">
        <f>BD_ControlRegimen[[#This Row],[FECHA]]&amp;BD_ControlRegimen[[#This Row],[NOMBRE]]</f>
        <v>45261URQUIZA ASCENCIO JORGE LUIS</v>
      </c>
      <c r="B3267" s="83">
        <f>WEEKNUM(BD_ControlRegimen[[#This Row],[FECHA]],2)</f>
        <v>49</v>
      </c>
      <c r="C3267" s="7">
        <v>45261</v>
      </c>
      <c r="D3267" s="3" t="s">
        <v>73</v>
      </c>
      <c r="E3267" s="3"/>
      <c r="F3267" s="3"/>
    </row>
    <row r="3268" spans="1:6" hidden="1" x14ac:dyDescent="0.3">
      <c r="A3268" s="7" t="str">
        <f>BD_ControlRegimen[[#This Row],[FECHA]]&amp;BD_ControlRegimen[[#This Row],[NOMBRE]]</f>
        <v>45262URQUIZA ASCENCIO JORGE LUIS</v>
      </c>
      <c r="B3268" s="83">
        <f>WEEKNUM(BD_ControlRegimen[[#This Row],[FECHA]],2)</f>
        <v>49</v>
      </c>
      <c r="C3268" s="7">
        <v>45262</v>
      </c>
      <c r="D3268" s="3" t="s">
        <v>73</v>
      </c>
      <c r="E3268" s="3"/>
      <c r="F3268" s="3"/>
    </row>
    <row r="3269" spans="1:6" hidden="1" x14ac:dyDescent="0.3">
      <c r="A3269" s="7" t="str">
        <f>BD_ControlRegimen[[#This Row],[FECHA]]&amp;BD_ControlRegimen[[#This Row],[NOMBRE]]</f>
        <v>45263URQUIZA ASCENCIO JORGE LUIS</v>
      </c>
      <c r="B3269" s="83">
        <f>WEEKNUM(BD_ControlRegimen[[#This Row],[FECHA]],2)</f>
        <v>49</v>
      </c>
      <c r="C3269" s="7">
        <v>45263</v>
      </c>
      <c r="D3269" s="3" t="s">
        <v>73</v>
      </c>
      <c r="E3269" s="3"/>
      <c r="F3269" s="3"/>
    </row>
    <row r="3270" spans="1:6" hidden="1" x14ac:dyDescent="0.3">
      <c r="A3270" s="7" t="str">
        <f>BD_ControlRegimen[[#This Row],[FECHA]]&amp;BD_ControlRegimen[[#This Row],[NOMBRE]]</f>
        <v>45264URQUIZA ASCENCIO JORGE LUIS</v>
      </c>
      <c r="B3270" s="83">
        <f>WEEKNUM(BD_ControlRegimen[[#This Row],[FECHA]],2)</f>
        <v>50</v>
      </c>
      <c r="C3270" s="7">
        <v>45264</v>
      </c>
      <c r="D3270" s="3" t="s">
        <v>73</v>
      </c>
      <c r="E3270" s="3"/>
      <c r="F3270" s="3"/>
    </row>
    <row r="3271" spans="1:6" hidden="1" x14ac:dyDescent="0.3">
      <c r="A3271" s="7" t="str">
        <f>BD_ControlRegimen[[#This Row],[FECHA]]&amp;BD_ControlRegimen[[#This Row],[NOMBRE]]</f>
        <v>45265URQUIZA ASCENCIO JORGE LUIS</v>
      </c>
      <c r="B3271" s="83">
        <f>WEEKNUM(BD_ControlRegimen[[#This Row],[FECHA]],2)</f>
        <v>50</v>
      </c>
      <c r="C3271" s="7">
        <v>45265</v>
      </c>
      <c r="D3271" s="3" t="s">
        <v>73</v>
      </c>
      <c r="E3271" s="3"/>
      <c r="F3271" s="3"/>
    </row>
    <row r="3272" spans="1:6" hidden="1" x14ac:dyDescent="0.3">
      <c r="A3272" s="7" t="str">
        <f>BD_ControlRegimen[[#This Row],[FECHA]]&amp;BD_ControlRegimen[[#This Row],[NOMBRE]]</f>
        <v>45266URQUIZA ASCENCIO JORGE LUIS</v>
      </c>
      <c r="B3272" s="83">
        <f>WEEKNUM(BD_ControlRegimen[[#This Row],[FECHA]],2)</f>
        <v>50</v>
      </c>
      <c r="C3272" s="7">
        <v>45266</v>
      </c>
      <c r="D3272" s="3" t="s">
        <v>73</v>
      </c>
      <c r="E3272" s="3"/>
      <c r="F3272" s="3"/>
    </row>
    <row r="3273" spans="1:6" hidden="1" x14ac:dyDescent="0.3">
      <c r="A3273" s="7" t="str">
        <f>BD_ControlRegimen[[#This Row],[FECHA]]&amp;BD_ControlRegimen[[#This Row],[NOMBRE]]</f>
        <v>45267URQUIZA ASCENCIO JORGE LUIS</v>
      </c>
      <c r="B3273" s="83">
        <f>WEEKNUM(BD_ControlRegimen[[#This Row],[FECHA]],2)</f>
        <v>50</v>
      </c>
      <c r="C3273" s="7">
        <v>45267</v>
      </c>
      <c r="D3273" s="3" t="s">
        <v>73</v>
      </c>
      <c r="E3273" s="3"/>
      <c r="F3273" s="3"/>
    </row>
    <row r="3274" spans="1:6" hidden="1" x14ac:dyDescent="0.3">
      <c r="A3274" s="7" t="str">
        <f>BD_ControlRegimen[[#This Row],[FECHA]]&amp;BD_ControlRegimen[[#This Row],[NOMBRE]]</f>
        <v>45268URQUIZA ASCENCIO JORGE LUIS</v>
      </c>
      <c r="B3274" s="83">
        <f>WEEKNUM(BD_ControlRegimen[[#This Row],[FECHA]],2)</f>
        <v>50</v>
      </c>
      <c r="C3274" s="7">
        <v>45268</v>
      </c>
      <c r="D3274" s="3" t="s">
        <v>73</v>
      </c>
      <c r="E3274" s="3"/>
      <c r="F3274" s="3"/>
    </row>
    <row r="3275" spans="1:6" hidden="1" x14ac:dyDescent="0.3">
      <c r="A3275" s="7" t="str">
        <f>BD_ControlRegimen[[#This Row],[FECHA]]&amp;BD_ControlRegimen[[#This Row],[NOMBRE]]</f>
        <v>45269URQUIZA ASCENCIO JORGE LUIS</v>
      </c>
      <c r="B3275" s="83">
        <f>WEEKNUM(BD_ControlRegimen[[#This Row],[FECHA]],2)</f>
        <v>50</v>
      </c>
      <c r="C3275" s="7">
        <v>45269</v>
      </c>
      <c r="D3275" s="3" t="s">
        <v>73</v>
      </c>
      <c r="E3275" s="3"/>
      <c r="F3275" s="3"/>
    </row>
    <row r="3276" spans="1:6" hidden="1" x14ac:dyDescent="0.3">
      <c r="A3276" s="7" t="str">
        <f>BD_ControlRegimen[[#This Row],[FECHA]]&amp;BD_ControlRegimen[[#This Row],[NOMBRE]]</f>
        <v>45270URQUIZA ASCENCIO JORGE LUIS</v>
      </c>
      <c r="B3276" s="83">
        <f>WEEKNUM(BD_ControlRegimen[[#This Row],[FECHA]],2)</f>
        <v>50</v>
      </c>
      <c r="C3276" s="7">
        <v>45270</v>
      </c>
      <c r="D3276" s="3" t="s">
        <v>73</v>
      </c>
      <c r="E3276" s="3"/>
      <c r="F3276" s="3"/>
    </row>
    <row r="3277" spans="1:6" hidden="1" x14ac:dyDescent="0.3">
      <c r="A3277" s="7" t="str">
        <f>BD_ControlRegimen[[#This Row],[FECHA]]&amp;BD_ControlRegimen[[#This Row],[NOMBRE]]</f>
        <v>45271URQUIZA ASCENCIO JORGE LUIS</v>
      </c>
      <c r="B3277" s="83">
        <f>WEEKNUM(BD_ControlRegimen[[#This Row],[FECHA]],2)</f>
        <v>51</v>
      </c>
      <c r="C3277" s="7">
        <v>45271</v>
      </c>
      <c r="D3277" s="3" t="s">
        <v>73</v>
      </c>
      <c r="E3277" s="3"/>
      <c r="F3277" s="3"/>
    </row>
    <row r="3278" spans="1:6" hidden="1" x14ac:dyDescent="0.3">
      <c r="A3278" s="7" t="str">
        <f>BD_ControlRegimen[[#This Row],[FECHA]]&amp;BD_ControlRegimen[[#This Row],[NOMBRE]]</f>
        <v>45272URQUIZA ASCENCIO JORGE LUIS</v>
      </c>
      <c r="B3278" s="83">
        <f>WEEKNUM(BD_ControlRegimen[[#This Row],[FECHA]],2)</f>
        <v>51</v>
      </c>
      <c r="C3278" s="7">
        <v>45272</v>
      </c>
      <c r="D3278" s="3" t="s">
        <v>73</v>
      </c>
      <c r="E3278" s="3"/>
      <c r="F3278" s="3"/>
    </row>
    <row r="3279" spans="1:6" hidden="1" x14ac:dyDescent="0.3">
      <c r="A3279" s="7" t="str">
        <f>BD_ControlRegimen[[#This Row],[FECHA]]&amp;BD_ControlRegimen[[#This Row],[NOMBRE]]</f>
        <v>45273URQUIZA ASCENCIO JORGE LUIS</v>
      </c>
      <c r="B3279" s="83">
        <f>WEEKNUM(BD_ControlRegimen[[#This Row],[FECHA]],2)</f>
        <v>51</v>
      </c>
      <c r="C3279" s="7">
        <v>45273</v>
      </c>
      <c r="D3279" s="3" t="s">
        <v>73</v>
      </c>
      <c r="E3279" s="3"/>
      <c r="F3279" s="3"/>
    </row>
    <row r="3280" spans="1:6" hidden="1" x14ac:dyDescent="0.3">
      <c r="A3280" s="7" t="str">
        <f>BD_ControlRegimen[[#This Row],[FECHA]]&amp;BD_ControlRegimen[[#This Row],[NOMBRE]]</f>
        <v>45274URQUIZA ASCENCIO JORGE LUIS</v>
      </c>
      <c r="B3280" s="83">
        <f>WEEKNUM(BD_ControlRegimen[[#This Row],[FECHA]],2)</f>
        <v>51</v>
      </c>
      <c r="C3280" s="7">
        <v>45274</v>
      </c>
      <c r="D3280" s="3" t="s">
        <v>73</v>
      </c>
      <c r="E3280" s="3"/>
      <c r="F3280" s="3"/>
    </row>
    <row r="3281" spans="1:6" hidden="1" x14ac:dyDescent="0.3">
      <c r="A3281" s="7" t="str">
        <f>BD_ControlRegimen[[#This Row],[FECHA]]&amp;BD_ControlRegimen[[#This Row],[NOMBRE]]</f>
        <v>45275URQUIZA ASCENCIO JORGE LUIS</v>
      </c>
      <c r="B3281" s="83">
        <f>WEEKNUM(BD_ControlRegimen[[#This Row],[FECHA]],2)</f>
        <v>51</v>
      </c>
      <c r="C3281" s="7">
        <v>45275</v>
      </c>
      <c r="D3281" s="3" t="s">
        <v>73</v>
      </c>
      <c r="E3281" s="3"/>
      <c r="F3281" s="3"/>
    </row>
    <row r="3282" spans="1:6" hidden="1" x14ac:dyDescent="0.3">
      <c r="A3282" s="7" t="str">
        <f>BD_ControlRegimen[[#This Row],[FECHA]]&amp;BD_ControlRegimen[[#This Row],[NOMBRE]]</f>
        <v>45276URQUIZA ASCENCIO JORGE LUIS</v>
      </c>
      <c r="B3282" s="83">
        <f>WEEKNUM(BD_ControlRegimen[[#This Row],[FECHA]],2)</f>
        <v>51</v>
      </c>
      <c r="C3282" s="7">
        <v>45276</v>
      </c>
      <c r="D3282" s="3" t="s">
        <v>73</v>
      </c>
      <c r="E3282" s="3"/>
      <c r="F3282" s="3"/>
    </row>
    <row r="3283" spans="1:6" hidden="1" x14ac:dyDescent="0.3">
      <c r="A3283" s="7" t="str">
        <f>BD_ControlRegimen[[#This Row],[FECHA]]&amp;BD_ControlRegimen[[#This Row],[NOMBRE]]</f>
        <v>45277URQUIZA ASCENCIO JORGE LUIS</v>
      </c>
      <c r="B3283" s="83">
        <f>WEEKNUM(BD_ControlRegimen[[#This Row],[FECHA]],2)</f>
        <v>51</v>
      </c>
      <c r="C3283" s="7">
        <v>45277</v>
      </c>
      <c r="D3283" s="3" t="s">
        <v>73</v>
      </c>
      <c r="E3283" s="3"/>
      <c r="F3283" s="3"/>
    </row>
    <row r="3284" spans="1:6" hidden="1" x14ac:dyDescent="0.3">
      <c r="A3284" s="7" t="str">
        <f>BD_ControlRegimen[[#This Row],[FECHA]]&amp;BD_ControlRegimen[[#This Row],[NOMBRE]]</f>
        <v>45278URQUIZA ASCENCIO JORGE LUIS</v>
      </c>
      <c r="B3284" s="83">
        <f>WEEKNUM(BD_ControlRegimen[[#This Row],[FECHA]],2)</f>
        <v>52</v>
      </c>
      <c r="C3284" s="7">
        <v>45278</v>
      </c>
      <c r="D3284" s="3" t="s">
        <v>73</v>
      </c>
      <c r="E3284" s="3"/>
      <c r="F3284" s="3"/>
    </row>
    <row r="3285" spans="1:6" hidden="1" x14ac:dyDescent="0.3">
      <c r="A3285" s="7" t="str">
        <f>BD_ControlRegimen[[#This Row],[FECHA]]&amp;BD_ControlRegimen[[#This Row],[NOMBRE]]</f>
        <v>45279URQUIZA ASCENCIO JORGE LUIS</v>
      </c>
      <c r="B3285" s="83">
        <f>WEEKNUM(BD_ControlRegimen[[#This Row],[FECHA]],2)</f>
        <v>52</v>
      </c>
      <c r="C3285" s="7">
        <v>45279</v>
      </c>
      <c r="D3285" s="3" t="s">
        <v>73</v>
      </c>
      <c r="E3285" s="3"/>
      <c r="F3285" s="3"/>
    </row>
    <row r="3286" spans="1:6" hidden="1" x14ac:dyDescent="0.3">
      <c r="A3286" s="7" t="str">
        <f>BD_ControlRegimen[[#This Row],[FECHA]]&amp;BD_ControlRegimen[[#This Row],[NOMBRE]]</f>
        <v>45280URQUIZA ASCENCIO JORGE LUIS</v>
      </c>
      <c r="B3286" s="83">
        <f>WEEKNUM(BD_ControlRegimen[[#This Row],[FECHA]],2)</f>
        <v>52</v>
      </c>
      <c r="C3286" s="7">
        <v>45280</v>
      </c>
      <c r="D3286" s="3" t="s">
        <v>73</v>
      </c>
      <c r="E3286" s="3"/>
      <c r="F3286" s="3"/>
    </row>
    <row r="3287" spans="1:6" hidden="1" x14ac:dyDescent="0.3">
      <c r="A3287" s="7" t="str">
        <f>BD_ControlRegimen[[#This Row],[FECHA]]&amp;BD_ControlRegimen[[#This Row],[NOMBRE]]</f>
        <v>45281URQUIZA ASCENCIO JORGE LUIS</v>
      </c>
      <c r="B3287" s="83">
        <f>WEEKNUM(BD_ControlRegimen[[#This Row],[FECHA]],2)</f>
        <v>52</v>
      </c>
      <c r="C3287" s="7">
        <v>45281</v>
      </c>
      <c r="D3287" s="3" t="s">
        <v>73</v>
      </c>
      <c r="E3287" s="3"/>
      <c r="F3287" s="3"/>
    </row>
    <row r="3288" spans="1:6" hidden="1" x14ac:dyDescent="0.3">
      <c r="A3288" s="7" t="str">
        <f>BD_ControlRegimen[[#This Row],[FECHA]]&amp;BD_ControlRegimen[[#This Row],[NOMBRE]]</f>
        <v>45282URQUIZA ASCENCIO JORGE LUIS</v>
      </c>
      <c r="B3288" s="83">
        <f>WEEKNUM(BD_ControlRegimen[[#This Row],[FECHA]],2)</f>
        <v>52</v>
      </c>
      <c r="C3288" s="7">
        <v>45282</v>
      </c>
      <c r="D3288" s="3" t="s">
        <v>73</v>
      </c>
      <c r="E3288" s="3"/>
      <c r="F3288" s="3"/>
    </row>
    <row r="3289" spans="1:6" hidden="1" x14ac:dyDescent="0.3">
      <c r="A3289" s="7" t="str">
        <f>BD_ControlRegimen[[#This Row],[FECHA]]&amp;BD_ControlRegimen[[#This Row],[NOMBRE]]</f>
        <v>45283URQUIZA ASCENCIO JORGE LUIS</v>
      </c>
      <c r="B3289" s="83">
        <f>WEEKNUM(BD_ControlRegimen[[#This Row],[FECHA]],2)</f>
        <v>52</v>
      </c>
      <c r="C3289" s="7">
        <v>45283</v>
      </c>
      <c r="D3289" s="3" t="s">
        <v>73</v>
      </c>
      <c r="E3289" s="3"/>
      <c r="F3289" s="3"/>
    </row>
    <row r="3290" spans="1:6" hidden="1" x14ac:dyDescent="0.3">
      <c r="A3290" s="7" t="str">
        <f>BD_ControlRegimen[[#This Row],[FECHA]]&amp;BD_ControlRegimen[[#This Row],[NOMBRE]]</f>
        <v>45284URQUIZA ASCENCIO JORGE LUIS</v>
      </c>
      <c r="B3290" s="83">
        <f>WEEKNUM(BD_ControlRegimen[[#This Row],[FECHA]],2)</f>
        <v>52</v>
      </c>
      <c r="C3290" s="7">
        <v>45284</v>
      </c>
      <c r="D3290" s="3" t="s">
        <v>73</v>
      </c>
      <c r="E3290" s="3"/>
      <c r="F3290" s="3"/>
    </row>
    <row r="3291" spans="1:6" hidden="1" x14ac:dyDescent="0.3">
      <c r="A3291" s="7" t="str">
        <f>BD_ControlRegimen[[#This Row],[FECHA]]&amp;BD_ControlRegimen[[#This Row],[NOMBRE]]</f>
        <v>45285URQUIZA ASCENCIO JORGE LUIS</v>
      </c>
      <c r="B3291" s="83">
        <f>WEEKNUM(BD_ControlRegimen[[#This Row],[FECHA]],2)</f>
        <v>53</v>
      </c>
      <c r="C3291" s="7">
        <v>45285</v>
      </c>
      <c r="D3291" s="3" t="s">
        <v>73</v>
      </c>
      <c r="E3291" s="3"/>
      <c r="F3291" s="3"/>
    </row>
    <row r="3292" spans="1:6" hidden="1" x14ac:dyDescent="0.3">
      <c r="A3292" s="7" t="str">
        <f>BD_ControlRegimen[[#This Row],[FECHA]]&amp;BD_ControlRegimen[[#This Row],[NOMBRE]]</f>
        <v>45286URQUIZA ASCENCIO JORGE LUIS</v>
      </c>
      <c r="B3292" s="83">
        <f>WEEKNUM(BD_ControlRegimen[[#This Row],[FECHA]],2)</f>
        <v>53</v>
      </c>
      <c r="C3292" s="7">
        <v>45286</v>
      </c>
      <c r="D3292" s="3" t="s">
        <v>73</v>
      </c>
      <c r="E3292" s="3"/>
      <c r="F3292" s="3"/>
    </row>
    <row r="3293" spans="1:6" hidden="1" x14ac:dyDescent="0.3">
      <c r="A3293" s="7" t="str">
        <f>BD_ControlRegimen[[#This Row],[FECHA]]&amp;BD_ControlRegimen[[#This Row],[NOMBRE]]</f>
        <v>45287URQUIZA ASCENCIO JORGE LUIS</v>
      </c>
      <c r="B3293" s="83">
        <f>WEEKNUM(BD_ControlRegimen[[#This Row],[FECHA]],2)</f>
        <v>53</v>
      </c>
      <c r="C3293" s="7">
        <v>45287</v>
      </c>
      <c r="D3293" s="3" t="s">
        <v>73</v>
      </c>
      <c r="E3293" s="3"/>
      <c r="F3293" s="3"/>
    </row>
    <row r="3294" spans="1:6" hidden="1" x14ac:dyDescent="0.3">
      <c r="A3294" s="7" t="str">
        <f>BD_ControlRegimen[[#This Row],[FECHA]]&amp;BD_ControlRegimen[[#This Row],[NOMBRE]]</f>
        <v>45288URQUIZA ASCENCIO JORGE LUIS</v>
      </c>
      <c r="B3294" s="83">
        <f>WEEKNUM(BD_ControlRegimen[[#This Row],[FECHA]],2)</f>
        <v>53</v>
      </c>
      <c r="C3294" s="7">
        <v>45288</v>
      </c>
      <c r="D3294" s="3" t="s">
        <v>73</v>
      </c>
      <c r="E3294" s="3"/>
      <c r="F3294" s="3"/>
    </row>
    <row r="3295" spans="1:6" hidden="1" x14ac:dyDescent="0.3">
      <c r="A3295" s="7" t="str">
        <f>BD_ControlRegimen[[#This Row],[FECHA]]&amp;BD_ControlRegimen[[#This Row],[NOMBRE]]</f>
        <v>45289URQUIZA ASCENCIO JORGE LUIS</v>
      </c>
      <c r="B3295" s="83">
        <f>WEEKNUM(BD_ControlRegimen[[#This Row],[FECHA]],2)</f>
        <v>53</v>
      </c>
      <c r="C3295" s="7">
        <v>45289</v>
      </c>
      <c r="D3295" s="3" t="s">
        <v>73</v>
      </c>
      <c r="E3295" s="3"/>
      <c r="F3295" s="3"/>
    </row>
    <row r="3296" spans="1:6" hidden="1" x14ac:dyDescent="0.3">
      <c r="A3296" s="7" t="str">
        <f>BD_ControlRegimen[[#This Row],[FECHA]]&amp;BD_ControlRegimen[[#This Row],[NOMBRE]]</f>
        <v>45290URQUIZA ASCENCIO JORGE LUIS</v>
      </c>
      <c r="B3296" s="83">
        <f>WEEKNUM(BD_ControlRegimen[[#This Row],[FECHA]],2)</f>
        <v>53</v>
      </c>
      <c r="C3296" s="7">
        <v>45290</v>
      </c>
      <c r="D3296" s="3" t="s">
        <v>73</v>
      </c>
      <c r="E3296" s="3"/>
      <c r="F3296" s="3"/>
    </row>
    <row r="3297" spans="1:6" hidden="1" x14ac:dyDescent="0.3">
      <c r="A3297" s="14" t="str">
        <f>BD_ControlRegimen[[#This Row],[FECHA]]&amp;BD_ControlRegimen[[#This Row],[NOMBRE]]</f>
        <v>45291URQUIZA ASCENCIO JORGE LUIS</v>
      </c>
      <c r="B3297" s="105">
        <f>WEEKNUM(BD_ControlRegimen[[#This Row],[FECHA]],2)</f>
        <v>53</v>
      </c>
      <c r="C3297" s="14">
        <v>45291</v>
      </c>
      <c r="D3297" s="3" t="s">
        <v>73</v>
      </c>
      <c r="E3297" s="97"/>
      <c r="F3297" s="97"/>
    </row>
  </sheetData>
  <conditionalFormatting sqref="E13:E3297">
    <cfRule type="cellIs" dxfId="25" priority="3" operator="equal">
      <formula>"Descanso"</formula>
    </cfRule>
    <cfRule type="cellIs" dxfId="24" priority="4" operator="equal">
      <formula>"Trabajo"</formula>
    </cfRule>
  </conditionalFormatting>
  <conditionalFormatting sqref="C2:C10">
    <cfRule type="cellIs" dxfId="23" priority="2" operator="greaterThan">
      <formula>0</formula>
    </cfRule>
  </conditionalFormatting>
  <conditionalFormatting sqref="B2:B10">
    <cfRule type="cellIs" dxfId="22" priority="1" operator="greaterThan">
      <formula>0</formula>
    </cfRule>
  </conditionalFormatting>
  <dataValidations disablePrompts="1" count="1">
    <dataValidation type="list" allowBlank="1" showInputMessage="1" showErrorMessage="1" sqref="E13:E3297" xr:uid="{95132215-4023-4852-94C0-33A0CA0852C1}">
      <formula1>"Trabajo, Descanso"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8B7CA-0867-4949-A16A-6CFBDB87FD92}">
  <sheetPr codeName="Hoja7"/>
  <dimension ref="A1:AB32"/>
  <sheetViews>
    <sheetView topLeftCell="F1" zoomScale="115" zoomScaleNormal="115" workbookViewId="0">
      <selection activeCell="O20" sqref="O20"/>
    </sheetView>
  </sheetViews>
  <sheetFormatPr baseColWidth="10" defaultRowHeight="14.4" x14ac:dyDescent="0.3"/>
  <cols>
    <col min="1" max="1" width="8.88671875" bestFit="1" customWidth="1"/>
    <col min="2" max="2" width="10.88671875" bestFit="1" customWidth="1"/>
    <col min="3" max="3" width="36.77734375" customWidth="1"/>
    <col min="4" max="4" width="11.88671875" customWidth="1"/>
    <col min="5" max="5" width="10.109375" bestFit="1" customWidth="1"/>
    <col min="6" max="6" width="3.5546875" bestFit="1" customWidth="1"/>
    <col min="7" max="7" width="9.109375" bestFit="1" customWidth="1"/>
    <col min="8" max="8" width="10.109375" bestFit="1" customWidth="1"/>
    <col min="9" max="9" width="3.5546875" bestFit="1" customWidth="1"/>
    <col min="10" max="11" width="9.109375" bestFit="1" customWidth="1"/>
    <col min="12" max="12" width="4.5546875" bestFit="1" customWidth="1"/>
    <col min="13" max="13" width="9.109375" bestFit="1" customWidth="1"/>
    <col min="14" max="14" width="10.109375" bestFit="1" customWidth="1"/>
    <col min="15" max="15" width="3.5546875" bestFit="1" customWidth="1"/>
    <col min="16" max="16" width="9.109375" bestFit="1" customWidth="1"/>
    <col min="17" max="17" width="10.109375" bestFit="1" customWidth="1"/>
    <col min="18" max="18" width="3.5546875" bestFit="1" customWidth="1"/>
    <col min="19" max="19" width="9.109375" bestFit="1" customWidth="1"/>
    <col min="20" max="20" width="10.109375" bestFit="1" customWidth="1"/>
    <col min="21" max="21" width="3.5546875" bestFit="1" customWidth="1"/>
    <col min="22" max="22" width="9.21875" bestFit="1" customWidth="1"/>
    <col min="23" max="23" width="10.33203125" bestFit="1" customWidth="1"/>
    <col min="24" max="24" width="3.5546875" bestFit="1" customWidth="1"/>
    <col min="25" max="25" width="9.21875" bestFit="1" customWidth="1"/>
    <col min="26" max="26" width="10.33203125" bestFit="1" customWidth="1"/>
    <col min="27" max="27" width="3.5546875" bestFit="1" customWidth="1"/>
    <col min="28" max="28" width="11.21875" bestFit="1" customWidth="1"/>
  </cols>
  <sheetData>
    <row r="1" spans="1:28" ht="16.2" thickBot="1" x14ac:dyDescent="0.35">
      <c r="A1" s="43" t="s">
        <v>104</v>
      </c>
      <c r="B1" s="44"/>
      <c r="C1" s="45"/>
      <c r="D1" s="87" t="s">
        <v>107</v>
      </c>
      <c r="E1" s="87"/>
      <c r="F1" s="87"/>
      <c r="G1" s="88" t="s">
        <v>112</v>
      </c>
      <c r="H1" s="88"/>
      <c r="I1" s="88"/>
      <c r="J1" s="89" t="s">
        <v>97</v>
      </c>
      <c r="K1" s="89"/>
      <c r="L1" s="89"/>
      <c r="M1" s="90" t="s">
        <v>98</v>
      </c>
      <c r="N1" s="90"/>
      <c r="O1" s="90"/>
      <c r="P1" s="91" t="s">
        <v>99</v>
      </c>
      <c r="Q1" s="91"/>
      <c r="R1" s="91"/>
      <c r="S1" s="92" t="s">
        <v>100</v>
      </c>
      <c r="T1" s="92"/>
      <c r="U1" s="92"/>
      <c r="V1" s="85" t="s">
        <v>101</v>
      </c>
      <c r="W1" s="85"/>
      <c r="X1" s="85"/>
      <c r="Y1" s="86" t="s">
        <v>102</v>
      </c>
      <c r="Z1" s="86"/>
      <c r="AA1" s="86"/>
    </row>
    <row r="2" spans="1:28" ht="15" thickBot="1" x14ac:dyDescent="0.35">
      <c r="A2" s="41" t="s">
        <v>103</v>
      </c>
      <c r="B2" s="41" t="s">
        <v>0</v>
      </c>
      <c r="C2" s="41" t="s">
        <v>106</v>
      </c>
      <c r="D2" s="33" t="s">
        <v>110</v>
      </c>
      <c r="E2" s="33" t="s">
        <v>111</v>
      </c>
      <c r="F2" s="39" t="s">
        <v>95</v>
      </c>
      <c r="G2" s="33" t="s">
        <v>110</v>
      </c>
      <c r="H2" s="33" t="s">
        <v>111</v>
      </c>
      <c r="I2" s="39" t="s">
        <v>95</v>
      </c>
      <c r="J2" s="33" t="s">
        <v>110</v>
      </c>
      <c r="K2" s="33" t="s">
        <v>111</v>
      </c>
      <c r="L2" s="39" t="s">
        <v>95</v>
      </c>
      <c r="M2" s="33" t="s">
        <v>110</v>
      </c>
      <c r="N2" s="33" t="s">
        <v>111</v>
      </c>
      <c r="O2" s="39" t="s">
        <v>95</v>
      </c>
      <c r="P2" s="33" t="s">
        <v>110</v>
      </c>
      <c r="Q2" s="33" t="s">
        <v>111</v>
      </c>
      <c r="R2" s="39" t="s">
        <v>95</v>
      </c>
      <c r="S2" s="33" t="s">
        <v>110</v>
      </c>
      <c r="T2" s="33" t="s">
        <v>111</v>
      </c>
      <c r="U2" s="39" t="s">
        <v>95</v>
      </c>
      <c r="V2" s="33" t="s">
        <v>110</v>
      </c>
      <c r="W2" s="33" t="s">
        <v>111</v>
      </c>
      <c r="X2" s="39" t="s">
        <v>95</v>
      </c>
      <c r="Y2" s="33" t="s">
        <v>110</v>
      </c>
      <c r="Z2" s="33" t="s">
        <v>111</v>
      </c>
      <c r="AA2" s="39" t="s">
        <v>95</v>
      </c>
      <c r="AB2" s="40" t="s">
        <v>105</v>
      </c>
    </row>
    <row r="3" spans="1:28" x14ac:dyDescent="0.3">
      <c r="A3" s="35" t="str">
        <f>IFERROR(TEXT(B3,"dddd"),"-")</f>
        <v>martes</v>
      </c>
      <c r="B3" s="36">
        <v>45034</v>
      </c>
      <c r="C3" s="32" t="s">
        <v>58</v>
      </c>
      <c r="D3" s="37">
        <v>0.33333333333333331</v>
      </c>
      <c r="E3" s="37">
        <v>0.52083333333333337</v>
      </c>
      <c r="F3" s="42">
        <f>24*(E3-D3)</f>
        <v>4.5000000000000018</v>
      </c>
      <c r="G3" s="37">
        <v>0.33333333333333331</v>
      </c>
      <c r="H3" s="37">
        <v>0.52083333333333337</v>
      </c>
      <c r="I3" s="42">
        <f>24*(H3-G3)</f>
        <v>4.5000000000000018</v>
      </c>
      <c r="J3" s="37">
        <v>0.33333333333333331</v>
      </c>
      <c r="K3" s="37">
        <v>0.75</v>
      </c>
      <c r="L3" s="42">
        <f>24*(K3-J3)</f>
        <v>10</v>
      </c>
      <c r="M3" s="37">
        <v>0.33333333333333331</v>
      </c>
      <c r="N3" s="37">
        <v>0.52083333333333337</v>
      </c>
      <c r="O3" s="42">
        <f>24*(N3-M3)</f>
        <v>4.5000000000000018</v>
      </c>
      <c r="P3" s="37">
        <v>0.33333333333333331</v>
      </c>
      <c r="Q3" s="37">
        <v>0.52083333333333337</v>
      </c>
      <c r="R3" s="42">
        <f>24*(Q3-P3)</f>
        <v>4.5000000000000018</v>
      </c>
      <c r="S3" s="37">
        <v>0.33333333333333331</v>
      </c>
      <c r="T3" s="37">
        <v>0.52083333333333337</v>
      </c>
      <c r="U3" s="42">
        <f>24*(T3-S3)</f>
        <v>4.5000000000000018</v>
      </c>
      <c r="V3" s="37">
        <v>0.33333333333333331</v>
      </c>
      <c r="W3" s="37">
        <v>0.52083333333333337</v>
      </c>
      <c r="X3" s="42">
        <f>24*(W3-V3)</f>
        <v>4.5000000000000018</v>
      </c>
      <c r="Y3" s="37">
        <v>0.33333333333333331</v>
      </c>
      <c r="Z3" s="37">
        <v>0.52083333333333337</v>
      </c>
      <c r="AA3" s="42">
        <f>24*(Z3-Y3)</f>
        <v>4.5000000000000018</v>
      </c>
      <c r="AB3" s="38">
        <f>SUM(F3,I3,L3,O3,R3,U3,X3,AA3)</f>
        <v>41.500000000000007</v>
      </c>
    </row>
    <row r="4" spans="1:28" x14ac:dyDescent="0.3">
      <c r="A4" s="35" t="str">
        <f t="shared" ref="A4:A18" si="0">IFERROR(TEXT(B4,"dddd"),"-")</f>
        <v>martes</v>
      </c>
      <c r="B4" s="36">
        <v>45034</v>
      </c>
      <c r="C4" s="32" t="s">
        <v>59</v>
      </c>
      <c r="D4" s="3"/>
      <c r="E4" s="3"/>
      <c r="F4" s="42">
        <f t="shared" ref="F4:F18" si="1">24*(E4-D4)</f>
        <v>0</v>
      </c>
      <c r="G4" s="3"/>
      <c r="H4" s="3"/>
      <c r="I4" s="42">
        <f t="shared" ref="I4:I18" si="2">24*(H4-G4)</f>
        <v>0</v>
      </c>
      <c r="J4" s="3"/>
      <c r="K4" s="3"/>
      <c r="L4" s="42">
        <f t="shared" ref="L4:L18" si="3">24*(K4-J4)</f>
        <v>0</v>
      </c>
      <c r="M4" s="3"/>
      <c r="N4" s="3"/>
      <c r="O4" s="42">
        <f t="shared" ref="O4:O18" si="4">24*(N4-M4)</f>
        <v>0</v>
      </c>
      <c r="P4" s="3"/>
      <c r="Q4" s="3"/>
      <c r="R4" s="42">
        <f t="shared" ref="R4:R18" si="5">24*(Q4-P4)</f>
        <v>0</v>
      </c>
      <c r="S4" s="3"/>
      <c r="T4" s="3"/>
      <c r="U4" s="42">
        <f t="shared" ref="U4:U18" si="6">24*(T4-S4)</f>
        <v>0</v>
      </c>
      <c r="V4" s="3"/>
      <c r="W4" s="3"/>
      <c r="X4" s="42">
        <f t="shared" ref="X4:X18" si="7">24*(W4-V4)</f>
        <v>0</v>
      </c>
      <c r="Y4" s="3"/>
      <c r="Z4" s="3"/>
      <c r="AA4" s="42">
        <f t="shared" ref="AA4:AA18" si="8">24*(Z4-Y4)</f>
        <v>0</v>
      </c>
      <c r="AB4" s="34"/>
    </row>
    <row r="5" spans="1:28" x14ac:dyDescent="0.3">
      <c r="A5" s="35" t="str">
        <f t="shared" si="0"/>
        <v>martes</v>
      </c>
      <c r="B5" s="36">
        <v>45034</v>
      </c>
      <c r="C5" s="32" t="s">
        <v>61</v>
      </c>
      <c r="D5" s="3"/>
      <c r="E5" s="3"/>
      <c r="F5" s="42">
        <f t="shared" si="1"/>
        <v>0</v>
      </c>
      <c r="G5" s="3"/>
      <c r="H5" s="3"/>
      <c r="I5" s="42">
        <f t="shared" si="2"/>
        <v>0</v>
      </c>
      <c r="J5" s="3"/>
      <c r="K5" s="3"/>
      <c r="L5" s="42">
        <f t="shared" si="3"/>
        <v>0</v>
      </c>
      <c r="M5" s="3"/>
      <c r="N5" s="3"/>
      <c r="O5" s="42">
        <f t="shared" si="4"/>
        <v>0</v>
      </c>
      <c r="P5" s="3"/>
      <c r="Q5" s="3"/>
      <c r="R5" s="42">
        <f t="shared" si="5"/>
        <v>0</v>
      </c>
      <c r="S5" s="3"/>
      <c r="T5" s="3"/>
      <c r="U5" s="42">
        <f t="shared" si="6"/>
        <v>0</v>
      </c>
      <c r="V5" s="3"/>
      <c r="W5" s="3"/>
      <c r="X5" s="42">
        <f t="shared" si="7"/>
        <v>0</v>
      </c>
      <c r="Y5" s="3"/>
      <c r="Z5" s="3"/>
      <c r="AA5" s="42">
        <f t="shared" si="8"/>
        <v>0</v>
      </c>
      <c r="AB5" s="34"/>
    </row>
    <row r="6" spans="1:28" x14ac:dyDescent="0.3">
      <c r="A6" s="35" t="str">
        <f t="shared" si="0"/>
        <v>martes</v>
      </c>
      <c r="B6" s="36">
        <v>45034</v>
      </c>
      <c r="C6" s="32" t="s">
        <v>62</v>
      </c>
      <c r="D6" s="3"/>
      <c r="E6" s="3"/>
      <c r="F6" s="42">
        <f t="shared" si="1"/>
        <v>0</v>
      </c>
      <c r="G6" s="3"/>
      <c r="H6" s="3"/>
      <c r="I6" s="42">
        <f t="shared" si="2"/>
        <v>0</v>
      </c>
      <c r="J6" s="3"/>
      <c r="K6" s="3"/>
      <c r="L6" s="42">
        <f t="shared" si="3"/>
        <v>0</v>
      </c>
      <c r="M6" s="3"/>
      <c r="N6" s="3"/>
      <c r="O6" s="42">
        <f t="shared" si="4"/>
        <v>0</v>
      </c>
      <c r="P6" s="3"/>
      <c r="Q6" s="3"/>
      <c r="R6" s="42">
        <f t="shared" si="5"/>
        <v>0</v>
      </c>
      <c r="S6" s="3"/>
      <c r="T6" s="3"/>
      <c r="U6" s="42">
        <f t="shared" si="6"/>
        <v>0</v>
      </c>
      <c r="V6" s="3"/>
      <c r="W6" s="3"/>
      <c r="X6" s="42">
        <f t="shared" si="7"/>
        <v>0</v>
      </c>
      <c r="Y6" s="3"/>
      <c r="Z6" s="3"/>
      <c r="AA6" s="42">
        <f t="shared" si="8"/>
        <v>0</v>
      </c>
      <c r="AB6" s="34"/>
    </row>
    <row r="7" spans="1:28" x14ac:dyDescent="0.3">
      <c r="A7" s="35" t="str">
        <f t="shared" si="0"/>
        <v>martes</v>
      </c>
      <c r="B7" s="36">
        <v>45034</v>
      </c>
      <c r="C7" s="32" t="s">
        <v>63</v>
      </c>
      <c r="D7" s="3"/>
      <c r="E7" s="3"/>
      <c r="F7" s="42">
        <f t="shared" si="1"/>
        <v>0</v>
      </c>
      <c r="G7" s="3"/>
      <c r="H7" s="3"/>
      <c r="I7" s="42">
        <f t="shared" si="2"/>
        <v>0</v>
      </c>
      <c r="J7" s="3"/>
      <c r="K7" s="3"/>
      <c r="L7" s="42">
        <f t="shared" si="3"/>
        <v>0</v>
      </c>
      <c r="M7" s="3"/>
      <c r="N7" s="3"/>
      <c r="O7" s="42">
        <f t="shared" si="4"/>
        <v>0</v>
      </c>
      <c r="P7" s="3"/>
      <c r="Q7" s="3"/>
      <c r="R7" s="42">
        <f t="shared" si="5"/>
        <v>0</v>
      </c>
      <c r="S7" s="3"/>
      <c r="T7" s="3"/>
      <c r="U7" s="42">
        <f t="shared" si="6"/>
        <v>0</v>
      </c>
      <c r="V7" s="3"/>
      <c r="W7" s="3"/>
      <c r="X7" s="42">
        <f t="shared" si="7"/>
        <v>0</v>
      </c>
      <c r="Y7" s="3"/>
      <c r="Z7" s="3"/>
      <c r="AA7" s="42">
        <f t="shared" si="8"/>
        <v>0</v>
      </c>
      <c r="AB7" s="34"/>
    </row>
    <row r="8" spans="1:28" x14ac:dyDescent="0.3">
      <c r="A8" s="35" t="str">
        <f t="shared" si="0"/>
        <v>martes</v>
      </c>
      <c r="B8" s="36">
        <v>45034</v>
      </c>
      <c r="C8" s="32" t="s">
        <v>64</v>
      </c>
      <c r="D8" s="3"/>
      <c r="E8" s="3"/>
      <c r="F8" s="42">
        <f t="shared" si="1"/>
        <v>0</v>
      </c>
      <c r="G8" s="3"/>
      <c r="H8" s="3"/>
      <c r="I8" s="42">
        <f t="shared" si="2"/>
        <v>0</v>
      </c>
      <c r="J8" s="3"/>
      <c r="K8" s="3"/>
      <c r="L8" s="42">
        <f t="shared" si="3"/>
        <v>0</v>
      </c>
      <c r="M8" s="3"/>
      <c r="N8" s="3"/>
      <c r="O8" s="42">
        <f t="shared" si="4"/>
        <v>0</v>
      </c>
      <c r="P8" s="3"/>
      <c r="Q8" s="3"/>
      <c r="R8" s="42">
        <f t="shared" si="5"/>
        <v>0</v>
      </c>
      <c r="S8" s="3"/>
      <c r="T8" s="3"/>
      <c r="U8" s="42">
        <f t="shared" si="6"/>
        <v>0</v>
      </c>
      <c r="V8" s="3"/>
      <c r="W8" s="3"/>
      <c r="X8" s="42">
        <f t="shared" si="7"/>
        <v>0</v>
      </c>
      <c r="Y8" s="3"/>
      <c r="Z8" s="3"/>
      <c r="AA8" s="42">
        <f t="shared" si="8"/>
        <v>0</v>
      </c>
      <c r="AB8" s="34"/>
    </row>
    <row r="9" spans="1:28" x14ac:dyDescent="0.3">
      <c r="A9" s="35" t="str">
        <f t="shared" si="0"/>
        <v>martes</v>
      </c>
      <c r="B9" s="36">
        <v>45034</v>
      </c>
      <c r="C9" s="32" t="s">
        <v>65</v>
      </c>
      <c r="D9" s="3"/>
      <c r="E9" s="3"/>
      <c r="F9" s="42">
        <f t="shared" si="1"/>
        <v>0</v>
      </c>
      <c r="G9" s="3"/>
      <c r="H9" s="3"/>
      <c r="I9" s="42">
        <f t="shared" si="2"/>
        <v>0</v>
      </c>
      <c r="J9" s="3"/>
      <c r="K9" s="3"/>
      <c r="L9" s="42">
        <f t="shared" si="3"/>
        <v>0</v>
      </c>
      <c r="M9" s="3"/>
      <c r="N9" s="3"/>
      <c r="O9" s="42">
        <f t="shared" si="4"/>
        <v>0</v>
      </c>
      <c r="P9" s="3"/>
      <c r="Q9" s="3"/>
      <c r="R9" s="42">
        <f t="shared" si="5"/>
        <v>0</v>
      </c>
      <c r="S9" s="3"/>
      <c r="T9" s="3"/>
      <c r="U9" s="42">
        <f t="shared" si="6"/>
        <v>0</v>
      </c>
      <c r="V9" s="3"/>
      <c r="W9" s="3"/>
      <c r="X9" s="42">
        <f t="shared" si="7"/>
        <v>0</v>
      </c>
      <c r="Y9" s="3"/>
      <c r="Z9" s="3"/>
      <c r="AA9" s="42">
        <f t="shared" si="8"/>
        <v>0</v>
      </c>
      <c r="AB9" s="34"/>
    </row>
    <row r="10" spans="1:28" x14ac:dyDescent="0.3">
      <c r="A10" s="35" t="str">
        <f t="shared" si="0"/>
        <v>martes</v>
      </c>
      <c r="B10" s="36">
        <v>45034</v>
      </c>
      <c r="C10" s="32" t="s">
        <v>66</v>
      </c>
      <c r="D10" s="3"/>
      <c r="E10" s="3"/>
      <c r="F10" s="42">
        <f t="shared" si="1"/>
        <v>0</v>
      </c>
      <c r="G10" s="3"/>
      <c r="H10" s="3"/>
      <c r="I10" s="42">
        <f t="shared" si="2"/>
        <v>0</v>
      </c>
      <c r="J10" s="3"/>
      <c r="K10" s="3"/>
      <c r="L10" s="42">
        <f t="shared" si="3"/>
        <v>0</v>
      </c>
      <c r="M10" s="3"/>
      <c r="N10" s="3"/>
      <c r="O10" s="42">
        <f t="shared" si="4"/>
        <v>0</v>
      </c>
      <c r="P10" s="3"/>
      <c r="Q10" s="3"/>
      <c r="R10" s="42">
        <f t="shared" si="5"/>
        <v>0</v>
      </c>
      <c r="S10" s="3"/>
      <c r="T10" s="3"/>
      <c r="U10" s="42">
        <f t="shared" si="6"/>
        <v>0</v>
      </c>
      <c r="V10" s="3"/>
      <c r="W10" s="3"/>
      <c r="X10" s="42">
        <f t="shared" si="7"/>
        <v>0</v>
      </c>
      <c r="Y10" s="3"/>
      <c r="Z10" s="3"/>
      <c r="AA10" s="42">
        <f t="shared" si="8"/>
        <v>0</v>
      </c>
      <c r="AB10" s="34"/>
    </row>
    <row r="11" spans="1:28" x14ac:dyDescent="0.3">
      <c r="A11" s="35" t="str">
        <f t="shared" si="0"/>
        <v>martes</v>
      </c>
      <c r="B11" s="36">
        <v>45034</v>
      </c>
      <c r="C11" s="32" t="s">
        <v>67</v>
      </c>
      <c r="D11" s="3"/>
      <c r="E11" s="3"/>
      <c r="F11" s="42">
        <f t="shared" si="1"/>
        <v>0</v>
      </c>
      <c r="G11" s="3"/>
      <c r="H11" s="3"/>
      <c r="I11" s="42">
        <f t="shared" si="2"/>
        <v>0</v>
      </c>
      <c r="J11" s="3"/>
      <c r="K11" s="3"/>
      <c r="L11" s="42">
        <f t="shared" si="3"/>
        <v>0</v>
      </c>
      <c r="M11" s="3"/>
      <c r="N11" s="3"/>
      <c r="O11" s="42">
        <f t="shared" si="4"/>
        <v>0</v>
      </c>
      <c r="P11" s="3"/>
      <c r="Q11" s="3"/>
      <c r="R11" s="42">
        <f t="shared" si="5"/>
        <v>0</v>
      </c>
      <c r="S11" s="3"/>
      <c r="T11" s="3"/>
      <c r="U11" s="42">
        <f t="shared" si="6"/>
        <v>0</v>
      </c>
      <c r="V11" s="3"/>
      <c r="W11" s="3"/>
      <c r="X11" s="42">
        <f t="shared" si="7"/>
        <v>0</v>
      </c>
      <c r="Y11" s="3"/>
      <c r="Z11" s="3"/>
      <c r="AA11" s="42">
        <f t="shared" si="8"/>
        <v>0</v>
      </c>
      <c r="AB11" s="34"/>
    </row>
    <row r="12" spans="1:28" x14ac:dyDescent="0.3">
      <c r="A12" s="35" t="str">
        <f t="shared" si="0"/>
        <v>miércoles</v>
      </c>
      <c r="B12" s="36">
        <v>45035</v>
      </c>
      <c r="C12" s="32" t="s">
        <v>61</v>
      </c>
      <c r="D12" s="3"/>
      <c r="E12" s="3"/>
      <c r="F12" s="42">
        <f t="shared" si="1"/>
        <v>0</v>
      </c>
      <c r="G12" s="3"/>
      <c r="H12" s="3"/>
      <c r="I12" s="42">
        <f t="shared" si="2"/>
        <v>0</v>
      </c>
      <c r="J12" s="3"/>
      <c r="K12" s="3"/>
      <c r="L12" s="42">
        <f t="shared" si="3"/>
        <v>0</v>
      </c>
      <c r="M12" s="3"/>
      <c r="N12" s="3"/>
      <c r="O12" s="42">
        <f t="shared" si="4"/>
        <v>0</v>
      </c>
      <c r="P12" s="3"/>
      <c r="Q12" s="3"/>
      <c r="R12" s="42">
        <f t="shared" si="5"/>
        <v>0</v>
      </c>
      <c r="S12" s="3"/>
      <c r="T12" s="3"/>
      <c r="U12" s="42">
        <f t="shared" si="6"/>
        <v>0</v>
      </c>
      <c r="V12" s="3"/>
      <c r="W12" s="3"/>
      <c r="X12" s="42">
        <f t="shared" si="7"/>
        <v>0</v>
      </c>
      <c r="Y12" s="3"/>
      <c r="Z12" s="3"/>
      <c r="AA12" s="42">
        <f t="shared" si="8"/>
        <v>0</v>
      </c>
      <c r="AB12" s="34"/>
    </row>
    <row r="13" spans="1:28" x14ac:dyDescent="0.3">
      <c r="A13" s="35" t="str">
        <f t="shared" si="0"/>
        <v>miércoles</v>
      </c>
      <c r="B13" s="36">
        <v>45035</v>
      </c>
      <c r="C13" s="32" t="s">
        <v>62</v>
      </c>
      <c r="D13" s="3"/>
      <c r="E13" s="3"/>
      <c r="F13" s="42">
        <f t="shared" si="1"/>
        <v>0</v>
      </c>
      <c r="G13" s="3"/>
      <c r="H13" s="3"/>
      <c r="I13" s="42">
        <f t="shared" si="2"/>
        <v>0</v>
      </c>
      <c r="J13" s="3"/>
      <c r="K13" s="3"/>
      <c r="L13" s="42">
        <f t="shared" si="3"/>
        <v>0</v>
      </c>
      <c r="M13" s="3"/>
      <c r="N13" s="3"/>
      <c r="O13" s="42">
        <f t="shared" si="4"/>
        <v>0</v>
      </c>
      <c r="P13" s="3"/>
      <c r="Q13" s="3"/>
      <c r="R13" s="42">
        <f t="shared" si="5"/>
        <v>0</v>
      </c>
      <c r="S13" s="3"/>
      <c r="T13" s="3"/>
      <c r="U13" s="42">
        <f t="shared" si="6"/>
        <v>0</v>
      </c>
      <c r="V13" s="3"/>
      <c r="W13" s="3"/>
      <c r="X13" s="42">
        <f t="shared" si="7"/>
        <v>0</v>
      </c>
      <c r="Y13" s="3"/>
      <c r="Z13" s="3"/>
      <c r="AA13" s="42">
        <f t="shared" si="8"/>
        <v>0</v>
      </c>
      <c r="AB13" s="34"/>
    </row>
    <row r="14" spans="1:28" x14ac:dyDescent="0.3">
      <c r="A14" s="35" t="str">
        <f t="shared" si="0"/>
        <v>miércoles</v>
      </c>
      <c r="B14" s="36">
        <v>45035</v>
      </c>
      <c r="C14" s="32" t="s">
        <v>63</v>
      </c>
      <c r="D14" s="3"/>
      <c r="E14" s="3"/>
      <c r="F14" s="42">
        <f t="shared" si="1"/>
        <v>0</v>
      </c>
      <c r="G14" s="3"/>
      <c r="H14" s="3"/>
      <c r="I14" s="42">
        <f t="shared" si="2"/>
        <v>0</v>
      </c>
      <c r="J14" s="3"/>
      <c r="K14" s="3"/>
      <c r="L14" s="42">
        <f t="shared" si="3"/>
        <v>0</v>
      </c>
      <c r="M14" s="3"/>
      <c r="N14" s="3"/>
      <c r="O14" s="42">
        <f t="shared" si="4"/>
        <v>0</v>
      </c>
      <c r="P14" s="3"/>
      <c r="Q14" s="3"/>
      <c r="R14" s="42">
        <f t="shared" si="5"/>
        <v>0</v>
      </c>
      <c r="S14" s="3"/>
      <c r="T14" s="3"/>
      <c r="U14" s="42">
        <f t="shared" si="6"/>
        <v>0</v>
      </c>
      <c r="V14" s="3"/>
      <c r="W14" s="3"/>
      <c r="X14" s="42">
        <f t="shared" si="7"/>
        <v>0</v>
      </c>
      <c r="Y14" s="3"/>
      <c r="Z14" s="3"/>
      <c r="AA14" s="42">
        <f t="shared" si="8"/>
        <v>0</v>
      </c>
      <c r="AB14" s="34"/>
    </row>
    <row r="15" spans="1:28" x14ac:dyDescent="0.3">
      <c r="A15" s="35" t="str">
        <f t="shared" si="0"/>
        <v>miércoles</v>
      </c>
      <c r="B15" s="36">
        <v>45035</v>
      </c>
      <c r="C15" s="32" t="s">
        <v>64</v>
      </c>
      <c r="D15" s="3"/>
      <c r="E15" s="3"/>
      <c r="F15" s="42">
        <f t="shared" si="1"/>
        <v>0</v>
      </c>
      <c r="G15" s="3"/>
      <c r="H15" s="3"/>
      <c r="I15" s="42">
        <f t="shared" si="2"/>
        <v>0</v>
      </c>
      <c r="J15" s="3"/>
      <c r="K15" s="3"/>
      <c r="L15" s="42">
        <f t="shared" si="3"/>
        <v>0</v>
      </c>
      <c r="M15" s="3"/>
      <c r="N15" s="3"/>
      <c r="O15" s="42">
        <f t="shared" si="4"/>
        <v>0</v>
      </c>
      <c r="P15" s="3"/>
      <c r="Q15" s="3"/>
      <c r="R15" s="42">
        <f t="shared" si="5"/>
        <v>0</v>
      </c>
      <c r="S15" s="3"/>
      <c r="T15" s="3"/>
      <c r="U15" s="42">
        <f t="shared" si="6"/>
        <v>0</v>
      </c>
      <c r="V15" s="3"/>
      <c r="W15" s="3"/>
      <c r="X15" s="42">
        <f t="shared" si="7"/>
        <v>0</v>
      </c>
      <c r="Y15" s="3"/>
      <c r="Z15" s="3"/>
      <c r="AA15" s="42">
        <f t="shared" si="8"/>
        <v>0</v>
      </c>
      <c r="AB15" s="34"/>
    </row>
    <row r="16" spans="1:28" x14ac:dyDescent="0.3">
      <c r="A16" s="35" t="str">
        <f t="shared" si="0"/>
        <v>miércoles</v>
      </c>
      <c r="B16" s="36">
        <v>45035</v>
      </c>
      <c r="C16" s="32" t="s">
        <v>65</v>
      </c>
      <c r="D16" s="3"/>
      <c r="E16" s="3"/>
      <c r="F16" s="42">
        <f t="shared" si="1"/>
        <v>0</v>
      </c>
      <c r="G16" s="3"/>
      <c r="H16" s="3"/>
      <c r="I16" s="42">
        <f t="shared" si="2"/>
        <v>0</v>
      </c>
      <c r="J16" s="3"/>
      <c r="K16" s="3"/>
      <c r="L16" s="42">
        <f t="shared" si="3"/>
        <v>0</v>
      </c>
      <c r="M16" s="3"/>
      <c r="N16" s="3"/>
      <c r="O16" s="42">
        <f t="shared" si="4"/>
        <v>0</v>
      </c>
      <c r="P16" s="3"/>
      <c r="Q16" s="3"/>
      <c r="R16" s="42">
        <f t="shared" si="5"/>
        <v>0</v>
      </c>
      <c r="S16" s="3"/>
      <c r="T16" s="3"/>
      <c r="U16" s="42">
        <f t="shared" si="6"/>
        <v>0</v>
      </c>
      <c r="V16" s="3"/>
      <c r="W16" s="3"/>
      <c r="X16" s="42">
        <f t="shared" si="7"/>
        <v>0</v>
      </c>
      <c r="Y16" s="3"/>
      <c r="Z16" s="3"/>
      <c r="AA16" s="42">
        <f t="shared" si="8"/>
        <v>0</v>
      </c>
      <c r="AB16" s="34"/>
    </row>
    <row r="17" spans="1:28" x14ac:dyDescent="0.3">
      <c r="A17" s="35" t="str">
        <f t="shared" si="0"/>
        <v>miércoles</v>
      </c>
      <c r="B17" s="36">
        <v>45035</v>
      </c>
      <c r="C17" s="32" t="s">
        <v>66</v>
      </c>
      <c r="D17" s="3"/>
      <c r="E17" s="3"/>
      <c r="F17" s="42">
        <f t="shared" si="1"/>
        <v>0</v>
      </c>
      <c r="G17" s="3"/>
      <c r="H17" s="3"/>
      <c r="I17" s="42">
        <f t="shared" si="2"/>
        <v>0</v>
      </c>
      <c r="J17" s="3"/>
      <c r="K17" s="3"/>
      <c r="L17" s="42">
        <f t="shared" si="3"/>
        <v>0</v>
      </c>
      <c r="M17" s="3"/>
      <c r="N17" s="3"/>
      <c r="O17" s="42">
        <f t="shared" si="4"/>
        <v>0</v>
      </c>
      <c r="P17" s="3"/>
      <c r="Q17" s="3"/>
      <c r="R17" s="42">
        <f t="shared" si="5"/>
        <v>0</v>
      </c>
      <c r="S17" s="3"/>
      <c r="T17" s="3"/>
      <c r="U17" s="42">
        <f t="shared" si="6"/>
        <v>0</v>
      </c>
      <c r="V17" s="3"/>
      <c r="W17" s="3"/>
      <c r="X17" s="42">
        <f t="shared" si="7"/>
        <v>0</v>
      </c>
      <c r="Y17" s="3"/>
      <c r="Z17" s="3"/>
      <c r="AA17" s="42">
        <f t="shared" si="8"/>
        <v>0</v>
      </c>
      <c r="AB17" s="34"/>
    </row>
    <row r="18" spans="1:28" x14ac:dyDescent="0.3">
      <c r="A18" s="35" t="str">
        <f t="shared" si="0"/>
        <v>miércoles</v>
      </c>
      <c r="B18" s="36">
        <v>45035</v>
      </c>
      <c r="C18" s="32" t="s">
        <v>67</v>
      </c>
      <c r="D18" s="3"/>
      <c r="E18" s="3"/>
      <c r="F18" s="42">
        <f t="shared" si="1"/>
        <v>0</v>
      </c>
      <c r="G18" s="3"/>
      <c r="H18" s="3"/>
      <c r="I18" s="42">
        <f t="shared" si="2"/>
        <v>0</v>
      </c>
      <c r="J18" s="3"/>
      <c r="K18" s="3"/>
      <c r="L18" s="42">
        <f t="shared" si="3"/>
        <v>0</v>
      </c>
      <c r="M18" s="3"/>
      <c r="N18" s="3"/>
      <c r="O18" s="42">
        <f t="shared" si="4"/>
        <v>0</v>
      </c>
      <c r="P18" s="3"/>
      <c r="Q18" s="3"/>
      <c r="R18" s="42">
        <f t="shared" si="5"/>
        <v>0</v>
      </c>
      <c r="S18" s="3"/>
      <c r="T18" s="3"/>
      <c r="U18" s="42">
        <f t="shared" si="6"/>
        <v>0</v>
      </c>
      <c r="V18" s="3"/>
      <c r="W18" s="3"/>
      <c r="X18" s="42">
        <f t="shared" si="7"/>
        <v>0</v>
      </c>
      <c r="Y18" s="3"/>
      <c r="Z18" s="3"/>
      <c r="AA18" s="42">
        <f t="shared" si="8"/>
        <v>0</v>
      </c>
      <c r="AB18" s="34"/>
    </row>
    <row r="20" spans="1:28" ht="15" thickBot="1" x14ac:dyDescent="0.35"/>
    <row r="21" spans="1:28" ht="16.2" thickBot="1" x14ac:dyDescent="0.35">
      <c r="A21" s="43" t="s">
        <v>109</v>
      </c>
      <c r="B21" s="44"/>
      <c r="C21" s="45"/>
      <c r="D21" s="87" t="s">
        <v>107</v>
      </c>
      <c r="E21" s="87"/>
      <c r="F21" s="87"/>
      <c r="G21" s="88" t="s">
        <v>96</v>
      </c>
      <c r="H21" s="88"/>
      <c r="I21" s="88"/>
      <c r="J21" s="89" t="s">
        <v>97</v>
      </c>
      <c r="K21" s="89"/>
      <c r="L21" s="89"/>
      <c r="M21" s="90" t="s">
        <v>98</v>
      </c>
      <c r="N21" s="90"/>
      <c r="O21" s="90"/>
      <c r="P21" s="91" t="s">
        <v>99</v>
      </c>
      <c r="Q21" s="91"/>
      <c r="R21" s="91"/>
      <c r="S21" s="92" t="s">
        <v>100</v>
      </c>
      <c r="T21" s="92"/>
      <c r="U21" s="92"/>
      <c r="V21" s="85" t="s">
        <v>101</v>
      </c>
      <c r="W21" s="85"/>
      <c r="X21" s="85"/>
      <c r="Y21" s="86" t="s">
        <v>102</v>
      </c>
      <c r="Z21" s="86"/>
      <c r="AA21" s="86"/>
    </row>
    <row r="22" spans="1:28" ht="15" thickBot="1" x14ac:dyDescent="0.35">
      <c r="A22" s="41" t="s">
        <v>103</v>
      </c>
      <c r="B22" s="41" t="s">
        <v>0</v>
      </c>
      <c r="C22" s="41" t="s">
        <v>108</v>
      </c>
      <c r="D22" s="33" t="s">
        <v>110</v>
      </c>
      <c r="E22" s="33" t="s">
        <v>111</v>
      </c>
      <c r="F22" s="39" t="s">
        <v>95</v>
      </c>
      <c r="G22" s="33" t="s">
        <v>110</v>
      </c>
      <c r="H22" s="33" t="s">
        <v>111</v>
      </c>
      <c r="I22" s="39" t="s">
        <v>95</v>
      </c>
      <c r="J22" s="33" t="s">
        <v>110</v>
      </c>
      <c r="K22" s="33" t="s">
        <v>111</v>
      </c>
      <c r="L22" s="39" t="s">
        <v>95</v>
      </c>
      <c r="M22" s="33" t="s">
        <v>110</v>
      </c>
      <c r="N22" s="33" t="s">
        <v>111</v>
      </c>
      <c r="O22" s="39" t="s">
        <v>95</v>
      </c>
      <c r="P22" s="33" t="s">
        <v>110</v>
      </c>
      <c r="Q22" s="33" t="s">
        <v>111</v>
      </c>
      <c r="R22" s="39" t="s">
        <v>95</v>
      </c>
      <c r="S22" s="33" t="s">
        <v>110</v>
      </c>
      <c r="T22" s="33" t="s">
        <v>111</v>
      </c>
      <c r="U22" s="39" t="s">
        <v>95</v>
      </c>
      <c r="V22" s="33" t="s">
        <v>110</v>
      </c>
      <c r="W22" s="33" t="s">
        <v>111</v>
      </c>
      <c r="X22" s="39" t="s">
        <v>95</v>
      </c>
      <c r="Y22" s="33" t="s">
        <v>110</v>
      </c>
      <c r="Z22" s="33" t="s">
        <v>111</v>
      </c>
      <c r="AA22" s="39" t="s">
        <v>95</v>
      </c>
      <c r="AB22" s="40" t="s">
        <v>105</v>
      </c>
    </row>
    <row r="23" spans="1:28" x14ac:dyDescent="0.3">
      <c r="A23" s="35" t="str">
        <f>TEXT(B23,"dddd")</f>
        <v>martes</v>
      </c>
      <c r="B23" s="36">
        <v>45034</v>
      </c>
      <c r="C23" s="32" t="s">
        <v>80</v>
      </c>
      <c r="D23" s="37">
        <v>0.33333333333333331</v>
      </c>
      <c r="E23" s="37">
        <v>0.52083333333333337</v>
      </c>
      <c r="F23" s="42">
        <f>24*(E23-D23)</f>
        <v>4.5000000000000018</v>
      </c>
      <c r="G23" s="37">
        <v>0.33333333333333331</v>
      </c>
      <c r="H23" s="37">
        <v>0.52083333333333337</v>
      </c>
      <c r="I23" s="42">
        <f>24*(H23-G23)</f>
        <v>4.5000000000000018</v>
      </c>
      <c r="J23" s="37">
        <v>0.33333333333333331</v>
      </c>
      <c r="K23" s="37">
        <v>0.75</v>
      </c>
      <c r="L23" s="42">
        <f>24*(K23-J23)</f>
        <v>10</v>
      </c>
      <c r="M23" s="37">
        <v>0.33333333333333331</v>
      </c>
      <c r="N23" s="37">
        <v>0.52083333333333337</v>
      </c>
      <c r="O23" s="42">
        <f>24*(N23-M23)</f>
        <v>4.5000000000000018</v>
      </c>
      <c r="P23" s="37">
        <v>0.33333333333333331</v>
      </c>
      <c r="Q23" s="37">
        <v>0.52083333333333337</v>
      </c>
      <c r="R23" s="42">
        <f>24*(Q23-P23)</f>
        <v>4.5000000000000018</v>
      </c>
      <c r="S23" s="37">
        <v>0.33333333333333331</v>
      </c>
      <c r="T23" s="37">
        <v>0.52083333333333337</v>
      </c>
      <c r="U23" s="42">
        <f>24*(T23-S23)</f>
        <v>4.5000000000000018</v>
      </c>
      <c r="V23" s="37">
        <v>0.33333333333333331</v>
      </c>
      <c r="W23" s="37">
        <v>0.52083333333333337</v>
      </c>
      <c r="X23" s="42">
        <f>24*(W23-V23)</f>
        <v>4.5000000000000018</v>
      </c>
      <c r="Y23" s="37">
        <v>0.33333333333333331</v>
      </c>
      <c r="Z23" s="37">
        <v>0.52083333333333337</v>
      </c>
      <c r="AA23" s="42">
        <f>24*(Z23-Y23)</f>
        <v>4.5000000000000018</v>
      </c>
      <c r="AB23" s="38">
        <f>SUM(F23,I23,L23,O23,R23,U23,X23,AA23)</f>
        <v>41.500000000000007</v>
      </c>
    </row>
    <row r="24" spans="1:28" x14ac:dyDescent="0.3">
      <c r="A24" s="35" t="str">
        <f t="shared" ref="A24:A32" si="9">TEXT(B24,"dddd")</f>
        <v>martes</v>
      </c>
      <c r="B24" s="36">
        <v>45034</v>
      </c>
      <c r="C24" s="3" t="s">
        <v>81</v>
      </c>
      <c r="D24" s="3"/>
      <c r="E24" s="3"/>
      <c r="F24" s="42">
        <f t="shared" ref="F24:F32" si="10">24*(E24-D24)</f>
        <v>0</v>
      </c>
      <c r="G24" s="3"/>
      <c r="H24" s="3"/>
      <c r="I24" s="42">
        <f t="shared" ref="I24:I32" si="11">24*(H24-G24)</f>
        <v>0</v>
      </c>
      <c r="J24" s="3"/>
      <c r="K24" s="3"/>
      <c r="L24" s="42">
        <f t="shared" ref="L24:L32" si="12">24*(K24-J24)</f>
        <v>0</v>
      </c>
      <c r="M24" s="3"/>
      <c r="N24" s="3"/>
      <c r="O24" s="42">
        <f t="shared" ref="O24:O32" si="13">24*(N24-M24)</f>
        <v>0</v>
      </c>
      <c r="P24" s="3"/>
      <c r="Q24" s="3"/>
      <c r="R24" s="42">
        <f t="shared" ref="R24:R32" si="14">24*(Q24-P24)</f>
        <v>0</v>
      </c>
      <c r="S24" s="3"/>
      <c r="T24" s="3"/>
      <c r="U24" s="42">
        <f t="shared" ref="U24:U32" si="15">24*(T24-S24)</f>
        <v>0</v>
      </c>
      <c r="V24" s="3"/>
      <c r="W24" s="3"/>
      <c r="X24" s="42">
        <f t="shared" ref="X24:X32" si="16">24*(W24-V24)</f>
        <v>0</v>
      </c>
      <c r="Y24" s="3"/>
      <c r="Z24" s="3"/>
      <c r="AA24" s="42">
        <f t="shared" ref="AA24:AA32" si="17">24*(Z24-Y24)</f>
        <v>0</v>
      </c>
      <c r="AB24" s="34"/>
    </row>
    <row r="25" spans="1:28" x14ac:dyDescent="0.3">
      <c r="A25" s="35" t="str">
        <f t="shared" si="9"/>
        <v>martes</v>
      </c>
      <c r="B25" s="36">
        <v>45034</v>
      </c>
      <c r="C25" s="3" t="s">
        <v>82</v>
      </c>
      <c r="D25" s="3"/>
      <c r="E25" s="3"/>
      <c r="F25" s="42">
        <f t="shared" si="10"/>
        <v>0</v>
      </c>
      <c r="G25" s="3"/>
      <c r="H25" s="3"/>
      <c r="I25" s="42">
        <f t="shared" si="11"/>
        <v>0</v>
      </c>
      <c r="J25" s="3"/>
      <c r="K25" s="3"/>
      <c r="L25" s="42">
        <f t="shared" si="12"/>
        <v>0</v>
      </c>
      <c r="M25" s="3"/>
      <c r="N25" s="3"/>
      <c r="O25" s="42">
        <f t="shared" si="13"/>
        <v>0</v>
      </c>
      <c r="P25" s="3"/>
      <c r="Q25" s="3"/>
      <c r="R25" s="42">
        <f t="shared" si="14"/>
        <v>0</v>
      </c>
      <c r="S25" s="3"/>
      <c r="T25" s="3"/>
      <c r="U25" s="42">
        <f t="shared" si="15"/>
        <v>0</v>
      </c>
      <c r="V25" s="3"/>
      <c r="W25" s="3"/>
      <c r="X25" s="42">
        <f t="shared" si="16"/>
        <v>0</v>
      </c>
      <c r="Y25" s="3"/>
      <c r="Z25" s="3"/>
      <c r="AA25" s="42">
        <f t="shared" si="17"/>
        <v>0</v>
      </c>
      <c r="AB25" s="34"/>
    </row>
    <row r="26" spans="1:28" x14ac:dyDescent="0.3">
      <c r="A26" s="35" t="str">
        <f t="shared" si="9"/>
        <v>martes</v>
      </c>
      <c r="B26" s="36">
        <v>45034</v>
      </c>
      <c r="C26" s="3" t="s">
        <v>83</v>
      </c>
      <c r="D26" s="3"/>
      <c r="E26" s="3"/>
      <c r="F26" s="42">
        <f t="shared" si="10"/>
        <v>0</v>
      </c>
      <c r="G26" s="3"/>
      <c r="H26" s="3"/>
      <c r="I26" s="42">
        <f t="shared" si="11"/>
        <v>0</v>
      </c>
      <c r="J26" s="3"/>
      <c r="K26" s="3"/>
      <c r="L26" s="42">
        <f t="shared" si="12"/>
        <v>0</v>
      </c>
      <c r="M26" s="3"/>
      <c r="N26" s="3"/>
      <c r="O26" s="42">
        <f t="shared" si="13"/>
        <v>0</v>
      </c>
      <c r="P26" s="3"/>
      <c r="Q26" s="3"/>
      <c r="R26" s="42">
        <f t="shared" si="14"/>
        <v>0</v>
      </c>
      <c r="S26" s="3"/>
      <c r="T26" s="3"/>
      <c r="U26" s="42">
        <f t="shared" si="15"/>
        <v>0</v>
      </c>
      <c r="V26" s="3"/>
      <c r="W26" s="3"/>
      <c r="X26" s="42">
        <f t="shared" si="16"/>
        <v>0</v>
      </c>
      <c r="Y26" s="3"/>
      <c r="Z26" s="3"/>
      <c r="AA26" s="42">
        <f t="shared" si="17"/>
        <v>0</v>
      </c>
      <c r="AB26" s="34"/>
    </row>
    <row r="27" spans="1:28" x14ac:dyDescent="0.3">
      <c r="A27" s="35" t="str">
        <f t="shared" si="9"/>
        <v>martes</v>
      </c>
      <c r="B27" s="36">
        <v>45034</v>
      </c>
      <c r="C27" s="3" t="s">
        <v>84</v>
      </c>
      <c r="D27" s="3"/>
      <c r="E27" s="3"/>
      <c r="F27" s="42">
        <f t="shared" si="10"/>
        <v>0</v>
      </c>
      <c r="G27" s="3"/>
      <c r="H27" s="3"/>
      <c r="I27" s="42">
        <f t="shared" si="11"/>
        <v>0</v>
      </c>
      <c r="J27" s="3"/>
      <c r="K27" s="3"/>
      <c r="L27" s="42">
        <f t="shared" si="12"/>
        <v>0</v>
      </c>
      <c r="M27" s="3"/>
      <c r="N27" s="3"/>
      <c r="O27" s="42">
        <f t="shared" si="13"/>
        <v>0</v>
      </c>
      <c r="P27" s="3"/>
      <c r="Q27" s="3"/>
      <c r="R27" s="42">
        <f t="shared" si="14"/>
        <v>0</v>
      </c>
      <c r="S27" s="3"/>
      <c r="T27" s="3"/>
      <c r="U27" s="42">
        <f t="shared" si="15"/>
        <v>0</v>
      </c>
      <c r="V27" s="3"/>
      <c r="W27" s="3"/>
      <c r="X27" s="42">
        <f t="shared" si="16"/>
        <v>0</v>
      </c>
      <c r="Y27" s="3"/>
      <c r="Z27" s="3"/>
      <c r="AA27" s="42">
        <f t="shared" si="17"/>
        <v>0</v>
      </c>
      <c r="AB27" s="34"/>
    </row>
    <row r="28" spans="1:28" x14ac:dyDescent="0.3">
      <c r="A28" s="35" t="str">
        <f t="shared" si="9"/>
        <v>miércoles</v>
      </c>
      <c r="B28" s="36">
        <v>45035</v>
      </c>
      <c r="C28" s="32" t="s">
        <v>80</v>
      </c>
      <c r="D28" s="3"/>
      <c r="E28" s="3"/>
      <c r="F28" s="42">
        <f t="shared" si="10"/>
        <v>0</v>
      </c>
      <c r="G28" s="3"/>
      <c r="H28" s="3"/>
      <c r="I28" s="42">
        <f t="shared" si="11"/>
        <v>0</v>
      </c>
      <c r="J28" s="3"/>
      <c r="K28" s="3"/>
      <c r="L28" s="42">
        <f t="shared" si="12"/>
        <v>0</v>
      </c>
      <c r="M28" s="3"/>
      <c r="N28" s="3"/>
      <c r="O28" s="42">
        <f t="shared" si="13"/>
        <v>0</v>
      </c>
      <c r="P28" s="3"/>
      <c r="Q28" s="3"/>
      <c r="R28" s="42">
        <f t="shared" si="14"/>
        <v>0</v>
      </c>
      <c r="S28" s="3"/>
      <c r="T28" s="3"/>
      <c r="U28" s="42">
        <f t="shared" si="15"/>
        <v>0</v>
      </c>
      <c r="V28" s="3"/>
      <c r="W28" s="3"/>
      <c r="X28" s="42">
        <f t="shared" si="16"/>
        <v>0</v>
      </c>
      <c r="Y28" s="3"/>
      <c r="Z28" s="3"/>
      <c r="AA28" s="42">
        <f t="shared" si="17"/>
        <v>0</v>
      </c>
      <c r="AB28" s="34"/>
    </row>
    <row r="29" spans="1:28" x14ac:dyDescent="0.3">
      <c r="A29" s="35" t="str">
        <f t="shared" si="9"/>
        <v>miércoles</v>
      </c>
      <c r="B29" s="36">
        <v>45035</v>
      </c>
      <c r="C29" s="3" t="s">
        <v>81</v>
      </c>
      <c r="D29" s="3"/>
      <c r="E29" s="3"/>
      <c r="F29" s="42">
        <f t="shared" si="10"/>
        <v>0</v>
      </c>
      <c r="G29" s="3"/>
      <c r="H29" s="3"/>
      <c r="I29" s="42">
        <f t="shared" si="11"/>
        <v>0</v>
      </c>
      <c r="J29" s="3"/>
      <c r="K29" s="3"/>
      <c r="L29" s="42">
        <f t="shared" si="12"/>
        <v>0</v>
      </c>
      <c r="M29" s="3"/>
      <c r="N29" s="3"/>
      <c r="O29" s="42">
        <f t="shared" si="13"/>
        <v>0</v>
      </c>
      <c r="P29" s="3"/>
      <c r="Q29" s="3"/>
      <c r="R29" s="42">
        <f t="shared" si="14"/>
        <v>0</v>
      </c>
      <c r="S29" s="3"/>
      <c r="T29" s="3"/>
      <c r="U29" s="42">
        <f t="shared" si="15"/>
        <v>0</v>
      </c>
      <c r="V29" s="3"/>
      <c r="W29" s="3"/>
      <c r="X29" s="42">
        <f t="shared" si="16"/>
        <v>0</v>
      </c>
      <c r="Y29" s="3"/>
      <c r="Z29" s="3"/>
      <c r="AA29" s="42">
        <f t="shared" si="17"/>
        <v>0</v>
      </c>
      <c r="AB29" s="34"/>
    </row>
    <row r="30" spans="1:28" x14ac:dyDescent="0.3">
      <c r="A30" s="35" t="str">
        <f t="shared" si="9"/>
        <v>miércoles</v>
      </c>
      <c r="B30" s="36">
        <v>45035</v>
      </c>
      <c r="C30" s="3" t="s">
        <v>82</v>
      </c>
      <c r="D30" s="3"/>
      <c r="E30" s="3"/>
      <c r="F30" s="42">
        <f t="shared" si="10"/>
        <v>0</v>
      </c>
      <c r="G30" s="3"/>
      <c r="H30" s="3"/>
      <c r="I30" s="42">
        <f t="shared" si="11"/>
        <v>0</v>
      </c>
      <c r="J30" s="3"/>
      <c r="K30" s="3"/>
      <c r="L30" s="42">
        <f t="shared" si="12"/>
        <v>0</v>
      </c>
      <c r="M30" s="3"/>
      <c r="N30" s="3"/>
      <c r="O30" s="42">
        <f t="shared" si="13"/>
        <v>0</v>
      </c>
      <c r="P30" s="3"/>
      <c r="Q30" s="3"/>
      <c r="R30" s="42">
        <f t="shared" si="14"/>
        <v>0</v>
      </c>
      <c r="S30" s="3"/>
      <c r="T30" s="3"/>
      <c r="U30" s="42">
        <f t="shared" si="15"/>
        <v>0</v>
      </c>
      <c r="V30" s="3"/>
      <c r="W30" s="3"/>
      <c r="X30" s="42">
        <f t="shared" si="16"/>
        <v>0</v>
      </c>
      <c r="Y30" s="3"/>
      <c r="Z30" s="3"/>
      <c r="AA30" s="42">
        <f t="shared" si="17"/>
        <v>0</v>
      </c>
      <c r="AB30" s="34"/>
    </row>
    <row r="31" spans="1:28" x14ac:dyDescent="0.3">
      <c r="A31" s="35" t="str">
        <f t="shared" si="9"/>
        <v>miércoles</v>
      </c>
      <c r="B31" s="36">
        <v>45035</v>
      </c>
      <c r="C31" s="3" t="s">
        <v>83</v>
      </c>
      <c r="D31" s="3"/>
      <c r="E31" s="3"/>
      <c r="F31" s="42">
        <f t="shared" si="10"/>
        <v>0</v>
      </c>
      <c r="G31" s="3"/>
      <c r="H31" s="3"/>
      <c r="I31" s="42">
        <f t="shared" si="11"/>
        <v>0</v>
      </c>
      <c r="J31" s="3"/>
      <c r="K31" s="3"/>
      <c r="L31" s="42">
        <f t="shared" si="12"/>
        <v>0</v>
      </c>
      <c r="M31" s="3"/>
      <c r="N31" s="3"/>
      <c r="O31" s="42">
        <f t="shared" si="13"/>
        <v>0</v>
      </c>
      <c r="P31" s="3"/>
      <c r="Q31" s="3"/>
      <c r="R31" s="42">
        <f t="shared" si="14"/>
        <v>0</v>
      </c>
      <c r="S31" s="3"/>
      <c r="T31" s="3"/>
      <c r="U31" s="42">
        <f t="shared" si="15"/>
        <v>0</v>
      </c>
      <c r="V31" s="3"/>
      <c r="W31" s="3"/>
      <c r="X31" s="42">
        <f t="shared" si="16"/>
        <v>0</v>
      </c>
      <c r="Y31" s="3"/>
      <c r="Z31" s="3"/>
      <c r="AA31" s="42">
        <f t="shared" si="17"/>
        <v>0</v>
      </c>
      <c r="AB31" s="34"/>
    </row>
    <row r="32" spans="1:28" x14ac:dyDescent="0.3">
      <c r="A32" s="35" t="str">
        <f t="shared" si="9"/>
        <v>miércoles</v>
      </c>
      <c r="B32" s="36">
        <v>45035</v>
      </c>
      <c r="C32" s="3" t="s">
        <v>84</v>
      </c>
      <c r="D32" s="3"/>
      <c r="E32" s="3"/>
      <c r="F32" s="42">
        <f t="shared" si="10"/>
        <v>0</v>
      </c>
      <c r="G32" s="3"/>
      <c r="H32" s="3"/>
      <c r="I32" s="42">
        <f t="shared" si="11"/>
        <v>0</v>
      </c>
      <c r="J32" s="3"/>
      <c r="K32" s="3"/>
      <c r="L32" s="42">
        <f t="shared" si="12"/>
        <v>0</v>
      </c>
      <c r="M32" s="3"/>
      <c r="N32" s="3"/>
      <c r="O32" s="42">
        <f t="shared" si="13"/>
        <v>0</v>
      </c>
      <c r="P32" s="3"/>
      <c r="Q32" s="3"/>
      <c r="R32" s="42">
        <f t="shared" si="14"/>
        <v>0</v>
      </c>
      <c r="S32" s="3"/>
      <c r="T32" s="3"/>
      <c r="U32" s="42">
        <f t="shared" si="15"/>
        <v>0</v>
      </c>
      <c r="V32" s="3"/>
      <c r="W32" s="3"/>
      <c r="X32" s="42">
        <f t="shared" si="16"/>
        <v>0</v>
      </c>
      <c r="Y32" s="3"/>
      <c r="Z32" s="3"/>
      <c r="AA32" s="42">
        <f t="shared" si="17"/>
        <v>0</v>
      </c>
      <c r="AB32" s="34"/>
    </row>
  </sheetData>
  <mergeCells count="16">
    <mergeCell ref="V1:X1"/>
    <mergeCell ref="Y1:AA1"/>
    <mergeCell ref="D21:F21"/>
    <mergeCell ref="G21:I21"/>
    <mergeCell ref="J21:L21"/>
    <mergeCell ref="M21:O21"/>
    <mergeCell ref="P21:R21"/>
    <mergeCell ref="S21:U21"/>
    <mergeCell ref="V21:X21"/>
    <mergeCell ref="Y21:AA21"/>
    <mergeCell ref="D1:F1"/>
    <mergeCell ref="G1:I1"/>
    <mergeCell ref="J1:L1"/>
    <mergeCell ref="M1:O1"/>
    <mergeCell ref="P1:R1"/>
    <mergeCell ref="S1:U1"/>
  </mergeCells>
  <pageMargins left="0.7" right="0.7" top="0.75" bottom="0.75" header="0.3" footer="0.3"/>
  <pageSetup paperSize="9"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9F60A84-DA23-43D9-A550-104248A9DD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BD_PERSONAL</vt:lpstr>
      <vt:lpstr>CARGA DATOS MOD</vt:lpstr>
      <vt:lpstr>CARGA DATOS MOI</vt:lpstr>
      <vt:lpstr>MOD</vt:lpstr>
      <vt:lpstr>MOI</vt:lpstr>
      <vt:lpstr>ADMINISTRATIVO</vt:lpstr>
      <vt:lpstr>CONTROL REGIMEN</vt:lpstr>
      <vt:lpstr>FORMATOS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LAPTOP - TALLER CRS</dc:creator>
  <cp:lastModifiedBy>LAPTOP - TALLER CRS</cp:lastModifiedBy>
  <dcterms:created xsi:type="dcterms:W3CDTF">2023-04-18T14:13:32Z</dcterms:created>
  <dcterms:modified xsi:type="dcterms:W3CDTF">2023-04-20T22:19:15Z</dcterms:modified>
</cp:coreProperties>
</file>